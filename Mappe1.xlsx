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Jensen-VITA\source\repos\martykimm\Vita.Atlas\"/>
    </mc:Choice>
  </mc:AlternateContent>
  <xr:revisionPtr revIDLastSave="0" documentId="13_ncr:1_{E62F7861-65D4-41F1-B9CD-A63D95C76798}" xr6:coauthVersionLast="47" xr6:coauthVersionMax="47" xr10:uidLastSave="{00000000-0000-0000-0000-000000000000}"/>
  <bookViews>
    <workbookView xWindow="-120" yWindow="-120" windowWidth="51840" windowHeight="21120" xr2:uid="{8233293F-7C7F-41A7-A501-6B2DC8945081}"/>
  </bookViews>
  <sheets>
    <sheet name="Ark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1907" i="1" l="1"/>
  <c r="AF1907" i="1"/>
  <c r="S1907" i="1"/>
  <c r="I1907" i="1"/>
  <c r="AG1906" i="1"/>
  <c r="AF1906" i="1"/>
  <c r="S1906" i="1"/>
  <c r="I1906" i="1"/>
  <c r="AG1905" i="1"/>
  <c r="AF1905" i="1"/>
  <c r="AE1905" i="1"/>
  <c r="AD1905" i="1"/>
  <c r="AC1905" i="1"/>
  <c r="AB1905" i="1"/>
  <c r="AA1905" i="1"/>
  <c r="Z1905" i="1"/>
  <c r="Y1905" i="1"/>
  <c r="X1905" i="1"/>
  <c r="W1905" i="1"/>
  <c r="V1905" i="1"/>
  <c r="U1905" i="1"/>
  <c r="T1905" i="1"/>
  <c r="S1905" i="1"/>
  <c r="I1905" i="1"/>
  <c r="AG1904" i="1"/>
  <c r="AF1904" i="1"/>
  <c r="S1904" i="1"/>
  <c r="I1904" i="1"/>
  <c r="AG1903" i="1"/>
  <c r="AF1903" i="1"/>
  <c r="S1903" i="1"/>
  <c r="I1903" i="1"/>
  <c r="AG1902" i="1"/>
  <c r="AF1902" i="1"/>
  <c r="S1902" i="1"/>
  <c r="I1902" i="1"/>
  <c r="AG1901" i="1"/>
  <c r="AF1901" i="1"/>
  <c r="S1901" i="1"/>
  <c r="I1901" i="1"/>
  <c r="AG1900" i="1"/>
  <c r="AF1900" i="1"/>
  <c r="S1900" i="1"/>
  <c r="I1900" i="1"/>
  <c r="AG1899" i="1"/>
  <c r="AF1899" i="1"/>
  <c r="S1899" i="1"/>
  <c r="I1899" i="1"/>
  <c r="AG1898" i="1"/>
  <c r="AF1898" i="1"/>
  <c r="S1898" i="1"/>
  <c r="I1898" i="1"/>
  <c r="AG1897" i="1"/>
  <c r="AF1897" i="1"/>
  <c r="S1897" i="1"/>
  <c r="I1897" i="1"/>
  <c r="AG1896" i="1"/>
  <c r="AF1896" i="1"/>
  <c r="S1896" i="1"/>
  <c r="I1896" i="1"/>
  <c r="AG1895" i="1"/>
  <c r="AF1895" i="1"/>
  <c r="S1895" i="1"/>
  <c r="I1895" i="1"/>
  <c r="AG1894" i="1"/>
  <c r="AF1894" i="1"/>
  <c r="S1894" i="1"/>
  <c r="I1894" i="1"/>
  <c r="AG1893" i="1"/>
  <c r="AF1893" i="1"/>
  <c r="AE1893" i="1"/>
  <c r="AD1893" i="1"/>
  <c r="AC1893" i="1"/>
  <c r="AB1893" i="1"/>
  <c r="AA1893" i="1"/>
  <c r="Z1893" i="1"/>
  <c r="Y1893" i="1"/>
  <c r="X1893" i="1"/>
  <c r="W1893" i="1"/>
  <c r="V1893" i="1"/>
  <c r="U1893" i="1"/>
  <c r="T1893" i="1"/>
  <c r="S1893" i="1"/>
  <c r="I1893" i="1"/>
  <c r="AG1892" i="1"/>
  <c r="AF1892" i="1"/>
  <c r="AE1892" i="1"/>
  <c r="AD1892" i="1"/>
  <c r="AC1892" i="1"/>
  <c r="AB1892" i="1"/>
  <c r="AA1892" i="1"/>
  <c r="Z1892" i="1"/>
  <c r="Y1892" i="1"/>
  <c r="X1892" i="1"/>
  <c r="W1892" i="1"/>
  <c r="V1892" i="1"/>
  <c r="U1892" i="1"/>
  <c r="T1892" i="1"/>
  <c r="S1892" i="1"/>
  <c r="I1892" i="1"/>
  <c r="AG1891" i="1"/>
  <c r="AF1891" i="1"/>
  <c r="AE1891" i="1"/>
  <c r="AD1891" i="1"/>
  <c r="AC1891" i="1"/>
  <c r="AB1891" i="1"/>
  <c r="AA1891" i="1"/>
  <c r="Z1891" i="1"/>
  <c r="Y1891" i="1"/>
  <c r="X1891" i="1"/>
  <c r="W1891" i="1"/>
  <c r="V1891" i="1"/>
  <c r="U1891" i="1"/>
  <c r="T1891" i="1"/>
  <c r="S1891" i="1"/>
  <c r="I1891" i="1"/>
  <c r="AG1890" i="1"/>
  <c r="AF1890" i="1"/>
  <c r="S1890" i="1"/>
  <c r="I1890" i="1"/>
  <c r="AG1889" i="1"/>
  <c r="AF1889" i="1"/>
  <c r="S1889" i="1"/>
  <c r="I1889" i="1"/>
  <c r="AG1888" i="1"/>
  <c r="AF1888" i="1"/>
  <c r="S1888" i="1"/>
  <c r="I1888" i="1"/>
  <c r="AG1887" i="1"/>
  <c r="AF1887" i="1"/>
  <c r="S1887" i="1"/>
  <c r="I1887" i="1"/>
  <c r="AG1886" i="1"/>
  <c r="AF1886" i="1"/>
  <c r="S1886" i="1"/>
  <c r="I1886" i="1"/>
  <c r="AG1885" i="1"/>
  <c r="AF1885" i="1"/>
  <c r="S1885" i="1"/>
  <c r="I1885" i="1"/>
  <c r="AG1884" i="1"/>
  <c r="AF1884" i="1"/>
  <c r="AE1884" i="1"/>
  <c r="AD1884" i="1"/>
  <c r="AC1884" i="1"/>
  <c r="AB1884" i="1"/>
  <c r="AA1884" i="1"/>
  <c r="Z1884" i="1"/>
  <c r="Y1884" i="1"/>
  <c r="X1884" i="1"/>
  <c r="W1884" i="1"/>
  <c r="V1884" i="1"/>
  <c r="U1884" i="1"/>
  <c r="T1884" i="1"/>
  <c r="S1884" i="1"/>
  <c r="I1884" i="1"/>
  <c r="AG1883" i="1"/>
  <c r="AF1883" i="1"/>
  <c r="S1883" i="1"/>
  <c r="I1883" i="1"/>
  <c r="AG1882" i="1"/>
  <c r="AF1882" i="1"/>
  <c r="S1882" i="1"/>
  <c r="I1882" i="1"/>
  <c r="AG1881" i="1"/>
  <c r="AF1881" i="1"/>
  <c r="AE1881" i="1"/>
  <c r="AD1881" i="1"/>
  <c r="AC1881" i="1"/>
  <c r="AB1881" i="1"/>
  <c r="AA1881" i="1"/>
  <c r="Z1881" i="1"/>
  <c r="Y1881" i="1"/>
  <c r="X1881" i="1"/>
  <c r="W1881" i="1"/>
  <c r="V1881" i="1"/>
  <c r="U1881" i="1"/>
  <c r="T1881" i="1"/>
  <c r="S1881" i="1"/>
  <c r="I1881" i="1"/>
  <c r="AG1880" i="1"/>
  <c r="AF1880" i="1"/>
  <c r="S1880" i="1"/>
  <c r="I1880" i="1"/>
  <c r="AG1879" i="1"/>
  <c r="AF1879" i="1"/>
  <c r="S1879" i="1"/>
  <c r="I1879" i="1"/>
  <c r="AG1878" i="1"/>
  <c r="AF1878" i="1"/>
  <c r="S1878" i="1"/>
  <c r="I1878" i="1"/>
  <c r="AG1877" i="1"/>
  <c r="AF1877" i="1"/>
  <c r="S1877" i="1"/>
  <c r="I1877" i="1"/>
  <c r="AG1876" i="1"/>
  <c r="AF1876" i="1"/>
  <c r="S1876" i="1"/>
  <c r="I1876" i="1"/>
  <c r="AG1875" i="1"/>
  <c r="AF1875" i="1"/>
  <c r="S1875" i="1"/>
  <c r="I1875" i="1"/>
  <c r="AG1874" i="1"/>
  <c r="AF1874" i="1"/>
  <c r="S1874" i="1"/>
  <c r="I1874" i="1"/>
  <c r="AG1873" i="1"/>
  <c r="AF1873" i="1"/>
  <c r="S1873" i="1"/>
  <c r="I1873" i="1"/>
  <c r="AG1872" i="1"/>
  <c r="AF1872" i="1"/>
  <c r="S1872" i="1"/>
  <c r="I1872" i="1"/>
  <c r="AG1871" i="1"/>
  <c r="AF1871" i="1"/>
  <c r="S1871" i="1"/>
  <c r="I1871" i="1"/>
  <c r="AG1870" i="1"/>
  <c r="AF1870" i="1"/>
  <c r="S1870" i="1"/>
  <c r="I1870" i="1"/>
  <c r="AG1869" i="1"/>
  <c r="AF1869" i="1"/>
  <c r="S1869" i="1"/>
  <c r="I1869" i="1"/>
  <c r="AG1868" i="1"/>
  <c r="AF1868" i="1"/>
  <c r="S1868" i="1"/>
  <c r="I1868" i="1"/>
  <c r="AG1867" i="1"/>
  <c r="AF1867" i="1"/>
  <c r="S1867" i="1"/>
  <c r="I1867" i="1"/>
  <c r="AG1866" i="1"/>
  <c r="AF1866" i="1"/>
  <c r="S1866" i="1"/>
  <c r="I1866" i="1"/>
  <c r="AG1865" i="1"/>
  <c r="AF1865" i="1"/>
  <c r="S1865" i="1"/>
  <c r="I1865" i="1"/>
  <c r="AG1864" i="1"/>
  <c r="AF1864" i="1"/>
  <c r="S1864" i="1"/>
  <c r="I1864" i="1"/>
  <c r="AG1863" i="1"/>
  <c r="AF1863" i="1"/>
  <c r="AE1863" i="1"/>
  <c r="AD1863" i="1"/>
  <c r="AC1863" i="1"/>
  <c r="AB1863" i="1"/>
  <c r="AA1863" i="1"/>
  <c r="Z1863" i="1"/>
  <c r="Y1863" i="1"/>
  <c r="X1863" i="1"/>
  <c r="W1863" i="1"/>
  <c r="V1863" i="1"/>
  <c r="U1863" i="1"/>
  <c r="T1863" i="1"/>
  <c r="S1863" i="1"/>
  <c r="I1863" i="1"/>
  <c r="AG1862" i="1"/>
  <c r="AF1862" i="1"/>
  <c r="AE1862" i="1"/>
  <c r="AD1862" i="1"/>
  <c r="AC1862" i="1"/>
  <c r="AB1862" i="1"/>
  <c r="AA1862" i="1"/>
  <c r="Z1862" i="1"/>
  <c r="Y1862" i="1"/>
  <c r="X1862" i="1"/>
  <c r="W1862" i="1"/>
  <c r="V1862" i="1"/>
  <c r="U1862" i="1"/>
  <c r="T1862" i="1"/>
  <c r="S1862" i="1"/>
  <c r="I1862" i="1"/>
  <c r="AG1861" i="1"/>
  <c r="AF1861" i="1"/>
  <c r="S1861" i="1"/>
  <c r="I1861" i="1"/>
  <c r="AG1860" i="1"/>
  <c r="AF1860" i="1"/>
  <c r="S1860" i="1"/>
  <c r="I1860" i="1"/>
  <c r="AG1859" i="1"/>
  <c r="AF1859" i="1"/>
  <c r="S1859" i="1"/>
  <c r="I1859" i="1"/>
  <c r="AG1858" i="1"/>
  <c r="AF1858" i="1"/>
  <c r="S1858" i="1"/>
  <c r="I1858" i="1"/>
  <c r="AG1857" i="1"/>
  <c r="AF1857" i="1"/>
  <c r="S1857" i="1"/>
  <c r="I1857" i="1"/>
  <c r="AG1856" i="1"/>
  <c r="AF1856" i="1"/>
  <c r="S1856" i="1"/>
  <c r="I1856" i="1"/>
  <c r="AG1855" i="1"/>
  <c r="AF1855" i="1"/>
  <c r="S1855" i="1"/>
  <c r="I1855" i="1"/>
  <c r="AG1854" i="1"/>
  <c r="AF1854" i="1"/>
  <c r="S1854" i="1"/>
  <c r="I1854" i="1"/>
  <c r="AG1853" i="1"/>
  <c r="AF1853" i="1"/>
  <c r="S1853" i="1"/>
  <c r="I1853" i="1"/>
  <c r="AG1852" i="1"/>
  <c r="AF1852" i="1"/>
  <c r="S1852" i="1"/>
  <c r="I1852" i="1"/>
  <c r="AG1851" i="1"/>
  <c r="AF1851" i="1"/>
  <c r="S1851" i="1"/>
  <c r="I1851" i="1"/>
  <c r="AG1850" i="1"/>
  <c r="AF1850" i="1"/>
  <c r="S1850" i="1"/>
  <c r="I1850" i="1"/>
  <c r="AG1849" i="1"/>
  <c r="AF1849" i="1"/>
  <c r="S1849" i="1"/>
  <c r="I1849" i="1"/>
  <c r="AG1848" i="1"/>
  <c r="AF1848" i="1"/>
  <c r="S1848" i="1"/>
  <c r="I1848" i="1"/>
  <c r="AG1847" i="1"/>
  <c r="AF1847" i="1"/>
  <c r="S1847" i="1"/>
  <c r="I1847" i="1"/>
  <c r="AG1846" i="1"/>
  <c r="AF1846" i="1"/>
  <c r="S1846" i="1"/>
  <c r="I1846" i="1"/>
  <c r="AG1845" i="1"/>
  <c r="AF1845" i="1"/>
  <c r="S1845" i="1"/>
  <c r="I1845" i="1"/>
  <c r="AG1844" i="1"/>
  <c r="AF1844" i="1"/>
  <c r="S1844" i="1"/>
  <c r="I1844" i="1"/>
  <c r="AG1843" i="1"/>
  <c r="AF1843" i="1"/>
  <c r="S1843" i="1"/>
  <c r="I1843" i="1"/>
  <c r="AG1842" i="1"/>
  <c r="AF1842" i="1"/>
  <c r="S1842" i="1"/>
  <c r="I1842" i="1"/>
  <c r="AG1841" i="1"/>
  <c r="AF1841" i="1"/>
  <c r="S1841" i="1"/>
  <c r="I1841" i="1"/>
  <c r="AG1840" i="1"/>
  <c r="AF1840" i="1"/>
  <c r="S1840" i="1"/>
  <c r="I1840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I1839" i="1"/>
  <c r="AG1838" i="1"/>
  <c r="AF1838" i="1"/>
  <c r="S1838" i="1"/>
  <c r="I1838" i="1"/>
  <c r="AG1837" i="1"/>
  <c r="AF1837" i="1"/>
  <c r="S1837" i="1"/>
  <c r="I1837" i="1"/>
  <c r="AG1836" i="1"/>
  <c r="AF1836" i="1"/>
  <c r="S1836" i="1"/>
  <c r="I1836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I1835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I1834" i="1"/>
  <c r="AG1833" i="1"/>
  <c r="AF1833" i="1"/>
  <c r="S1833" i="1"/>
  <c r="I1833" i="1"/>
  <c r="AG1832" i="1"/>
  <c r="AF1832" i="1"/>
  <c r="S1832" i="1"/>
  <c r="I1832" i="1"/>
  <c r="AG1831" i="1"/>
  <c r="AF1831" i="1"/>
  <c r="S1831" i="1"/>
  <c r="I1831" i="1"/>
  <c r="AG1830" i="1"/>
  <c r="AF1830" i="1"/>
  <c r="S1830" i="1"/>
  <c r="I1830" i="1"/>
  <c r="AG1829" i="1"/>
  <c r="AF1829" i="1"/>
  <c r="S1829" i="1"/>
  <c r="I1829" i="1"/>
  <c r="AG1828" i="1"/>
  <c r="AF1828" i="1"/>
  <c r="S1828" i="1"/>
  <c r="I1828" i="1"/>
  <c r="AG1827" i="1"/>
  <c r="AF1827" i="1"/>
  <c r="S1827" i="1"/>
  <c r="I1827" i="1"/>
  <c r="AG1826" i="1"/>
  <c r="AF1826" i="1"/>
  <c r="S1826" i="1"/>
  <c r="I1826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I1825" i="1"/>
  <c r="AG1824" i="1"/>
  <c r="AF1824" i="1"/>
  <c r="S1824" i="1"/>
  <c r="I1824" i="1"/>
  <c r="AG1823" i="1"/>
  <c r="AF1823" i="1"/>
  <c r="S1823" i="1"/>
  <c r="I1823" i="1"/>
  <c r="AG1822" i="1"/>
  <c r="AF1822" i="1"/>
  <c r="S1822" i="1"/>
  <c r="I1822" i="1"/>
  <c r="AG1821" i="1"/>
  <c r="AF1821" i="1"/>
  <c r="S1821" i="1"/>
  <c r="I1821" i="1"/>
  <c r="AG1820" i="1"/>
  <c r="AF1820" i="1"/>
  <c r="S1820" i="1"/>
  <c r="I1820" i="1"/>
  <c r="AG1819" i="1"/>
  <c r="AF1819" i="1"/>
  <c r="S1819" i="1"/>
  <c r="I1819" i="1"/>
  <c r="AG1818" i="1"/>
  <c r="AF1818" i="1"/>
  <c r="S1818" i="1"/>
  <c r="I1818" i="1"/>
  <c r="AG1817" i="1"/>
  <c r="AF1817" i="1"/>
  <c r="S1817" i="1"/>
  <c r="I1817" i="1"/>
  <c r="AG1816" i="1"/>
  <c r="AF1816" i="1"/>
  <c r="S1816" i="1"/>
  <c r="I1816" i="1"/>
  <c r="AG1815" i="1"/>
  <c r="AF1815" i="1"/>
  <c r="S1815" i="1"/>
  <c r="I1815" i="1"/>
  <c r="AG1814" i="1"/>
  <c r="AF1814" i="1"/>
  <c r="S1814" i="1"/>
  <c r="I1814" i="1"/>
  <c r="AG1813" i="1"/>
  <c r="AF1813" i="1"/>
  <c r="S1813" i="1"/>
  <c r="I1813" i="1"/>
  <c r="AG1812" i="1"/>
  <c r="AF1812" i="1"/>
  <c r="S1812" i="1"/>
  <c r="I1812" i="1"/>
  <c r="AG1811" i="1"/>
  <c r="AF1811" i="1"/>
  <c r="S1811" i="1"/>
  <c r="I1811" i="1"/>
  <c r="AG1810" i="1"/>
  <c r="AF1810" i="1"/>
  <c r="S1810" i="1"/>
  <c r="I1810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I1809" i="1"/>
  <c r="AG1808" i="1"/>
  <c r="AF1808" i="1"/>
  <c r="S1808" i="1"/>
  <c r="I1808" i="1"/>
  <c r="AG1807" i="1"/>
  <c r="AF1807" i="1"/>
  <c r="S1807" i="1"/>
  <c r="I1807" i="1"/>
  <c r="AG1806" i="1"/>
  <c r="AF1806" i="1"/>
  <c r="S1806" i="1"/>
  <c r="I1806" i="1"/>
  <c r="AG1805" i="1"/>
  <c r="AF1805" i="1"/>
  <c r="S1805" i="1"/>
  <c r="I1805" i="1"/>
  <c r="AG1804" i="1"/>
  <c r="AF1804" i="1"/>
  <c r="S1804" i="1"/>
  <c r="I1804" i="1"/>
  <c r="AG1803" i="1"/>
  <c r="AF1803" i="1"/>
  <c r="S1803" i="1"/>
  <c r="I1803" i="1"/>
  <c r="AG1802" i="1"/>
  <c r="AF1802" i="1"/>
  <c r="S1802" i="1"/>
  <c r="I1802" i="1"/>
  <c r="AG1801" i="1"/>
  <c r="AF1801" i="1"/>
  <c r="S1801" i="1"/>
  <c r="I1801" i="1"/>
  <c r="AG1800" i="1"/>
  <c r="AF1800" i="1"/>
  <c r="S1800" i="1"/>
  <c r="I1800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I1799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I1798" i="1"/>
  <c r="AG1797" i="1"/>
  <c r="AF1797" i="1"/>
  <c r="AE1797" i="1"/>
  <c r="AD1797" i="1"/>
  <c r="AC1797" i="1"/>
  <c r="AB1797" i="1"/>
  <c r="AA1797" i="1"/>
  <c r="Z1797" i="1"/>
  <c r="Y1797" i="1"/>
  <c r="X1797" i="1"/>
  <c r="W1797" i="1"/>
  <c r="V1797" i="1"/>
  <c r="U1797" i="1"/>
  <c r="T1797" i="1"/>
  <c r="S1797" i="1"/>
  <c r="I1797" i="1"/>
  <c r="AG1796" i="1"/>
  <c r="AF1796" i="1"/>
  <c r="AE1796" i="1"/>
  <c r="AD1796" i="1"/>
  <c r="AC1796" i="1"/>
  <c r="AB1796" i="1"/>
  <c r="AA1796" i="1"/>
  <c r="Z1796" i="1"/>
  <c r="Y1796" i="1"/>
  <c r="X1796" i="1"/>
  <c r="W1796" i="1"/>
  <c r="V1796" i="1"/>
  <c r="U1796" i="1"/>
  <c r="T1796" i="1"/>
  <c r="S1796" i="1"/>
  <c r="I1796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I1795" i="1"/>
  <c r="AG1794" i="1"/>
  <c r="AF1794" i="1"/>
  <c r="AE1794" i="1"/>
  <c r="AD1794" i="1"/>
  <c r="AC1794" i="1"/>
  <c r="AB1794" i="1"/>
  <c r="AA1794" i="1"/>
  <c r="Z1794" i="1"/>
  <c r="Y1794" i="1"/>
  <c r="X1794" i="1"/>
  <c r="W1794" i="1"/>
  <c r="V1794" i="1"/>
  <c r="U1794" i="1"/>
  <c r="T1794" i="1"/>
  <c r="S1794" i="1"/>
  <c r="I1794" i="1"/>
  <c r="AG1793" i="1"/>
  <c r="AF1793" i="1"/>
  <c r="S1793" i="1"/>
  <c r="I1793" i="1"/>
  <c r="AG1792" i="1"/>
  <c r="AF1792" i="1"/>
  <c r="AE1792" i="1"/>
  <c r="AD1792" i="1"/>
  <c r="AC1792" i="1"/>
  <c r="AB1792" i="1"/>
  <c r="AA1792" i="1"/>
  <c r="Z1792" i="1"/>
  <c r="Y1792" i="1"/>
  <c r="X1792" i="1"/>
  <c r="W1792" i="1"/>
  <c r="V1792" i="1"/>
  <c r="U1792" i="1"/>
  <c r="T1792" i="1"/>
  <c r="S1792" i="1"/>
  <c r="I1792" i="1"/>
  <c r="AG1791" i="1"/>
  <c r="AF1791" i="1"/>
  <c r="S1791" i="1"/>
  <c r="I1791" i="1"/>
  <c r="AG1790" i="1"/>
  <c r="AF1790" i="1"/>
  <c r="S1790" i="1"/>
  <c r="I1790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U1789" i="1"/>
  <c r="T1789" i="1"/>
  <c r="S1789" i="1"/>
  <c r="I1789" i="1"/>
  <c r="AG1788" i="1"/>
  <c r="AF1788" i="1"/>
  <c r="AE1788" i="1"/>
  <c r="AD1788" i="1"/>
  <c r="AC1788" i="1"/>
  <c r="AB1788" i="1"/>
  <c r="AA1788" i="1"/>
  <c r="Z1788" i="1"/>
  <c r="Y1788" i="1"/>
  <c r="X1788" i="1"/>
  <c r="W1788" i="1"/>
  <c r="V1788" i="1"/>
  <c r="U1788" i="1"/>
  <c r="T1788" i="1"/>
  <c r="S1788" i="1"/>
  <c r="I1788" i="1"/>
  <c r="AG1787" i="1"/>
  <c r="AF1787" i="1"/>
  <c r="S1787" i="1"/>
  <c r="I1787" i="1"/>
  <c r="AG1786" i="1"/>
  <c r="AF1786" i="1"/>
  <c r="S1786" i="1"/>
  <c r="I1786" i="1"/>
  <c r="AG1785" i="1"/>
  <c r="AF1785" i="1"/>
  <c r="S1785" i="1"/>
  <c r="I1785" i="1"/>
  <c r="AG1784" i="1"/>
  <c r="AF1784" i="1"/>
  <c r="S1784" i="1"/>
  <c r="I1784" i="1"/>
  <c r="AG1783" i="1"/>
  <c r="AF1783" i="1"/>
  <c r="S1783" i="1"/>
  <c r="I1783" i="1"/>
  <c r="AG1782" i="1"/>
  <c r="AF1782" i="1"/>
  <c r="AE1782" i="1"/>
  <c r="AD1782" i="1"/>
  <c r="AC1782" i="1"/>
  <c r="AB1782" i="1"/>
  <c r="AA1782" i="1"/>
  <c r="Z1782" i="1"/>
  <c r="Y1782" i="1"/>
  <c r="X1782" i="1"/>
  <c r="W1782" i="1"/>
  <c r="V1782" i="1"/>
  <c r="U1782" i="1"/>
  <c r="T1782" i="1"/>
  <c r="S1782" i="1"/>
  <c r="I1782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I1781" i="1"/>
  <c r="AG1780" i="1"/>
  <c r="AF1780" i="1"/>
  <c r="S1780" i="1"/>
  <c r="I1780" i="1"/>
  <c r="AG1779" i="1"/>
  <c r="AF1779" i="1"/>
  <c r="S1779" i="1"/>
  <c r="I1779" i="1"/>
  <c r="AG1778" i="1"/>
  <c r="AF1778" i="1"/>
  <c r="S1778" i="1"/>
  <c r="I1778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I1777" i="1"/>
  <c r="AG1776" i="1"/>
  <c r="AF1776" i="1"/>
  <c r="AE1776" i="1"/>
  <c r="AD1776" i="1"/>
  <c r="AC1776" i="1"/>
  <c r="AB1776" i="1"/>
  <c r="AA1776" i="1"/>
  <c r="Z1776" i="1"/>
  <c r="Y1776" i="1"/>
  <c r="X1776" i="1"/>
  <c r="W1776" i="1"/>
  <c r="V1776" i="1"/>
  <c r="U1776" i="1"/>
  <c r="T1776" i="1"/>
  <c r="S1776" i="1"/>
  <c r="I1776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I1775" i="1"/>
  <c r="AG1774" i="1"/>
  <c r="AF1774" i="1"/>
  <c r="S1774" i="1"/>
  <c r="I1774" i="1"/>
  <c r="AG1773" i="1"/>
  <c r="AF1773" i="1"/>
  <c r="S1773" i="1"/>
  <c r="I1773" i="1"/>
  <c r="AG1772" i="1"/>
  <c r="AF1772" i="1"/>
  <c r="S1772" i="1"/>
  <c r="I1772" i="1"/>
  <c r="AG1771" i="1"/>
  <c r="AF1771" i="1"/>
  <c r="S1771" i="1"/>
  <c r="I1771" i="1"/>
  <c r="AG1770" i="1"/>
  <c r="AF1770" i="1"/>
  <c r="S1770" i="1"/>
  <c r="I1770" i="1"/>
  <c r="AG1769" i="1"/>
  <c r="AF1769" i="1"/>
  <c r="S1769" i="1"/>
  <c r="I1769" i="1"/>
  <c r="AG1768" i="1"/>
  <c r="AF1768" i="1"/>
  <c r="AE1768" i="1"/>
  <c r="AD1768" i="1"/>
  <c r="AC1768" i="1"/>
  <c r="AB1768" i="1"/>
  <c r="AA1768" i="1"/>
  <c r="Z1768" i="1"/>
  <c r="Y1768" i="1"/>
  <c r="X1768" i="1"/>
  <c r="W1768" i="1"/>
  <c r="V1768" i="1"/>
  <c r="U1768" i="1"/>
  <c r="T1768" i="1"/>
  <c r="S1768" i="1"/>
  <c r="I1768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I1767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I1766" i="1"/>
  <c r="AG1765" i="1"/>
  <c r="AF1765" i="1"/>
  <c r="S1765" i="1"/>
  <c r="I1765" i="1"/>
  <c r="AG1764" i="1"/>
  <c r="AF1764" i="1"/>
  <c r="S1764" i="1"/>
  <c r="I1764" i="1"/>
  <c r="AG1763" i="1"/>
  <c r="AF1763" i="1"/>
  <c r="S1763" i="1"/>
  <c r="I1763" i="1"/>
  <c r="AG1762" i="1"/>
  <c r="AF1762" i="1"/>
  <c r="S1762" i="1"/>
  <c r="I1762" i="1"/>
  <c r="AG1761" i="1"/>
  <c r="AF1761" i="1"/>
  <c r="S1761" i="1"/>
  <c r="I1761" i="1"/>
  <c r="AG1760" i="1"/>
  <c r="AF1760" i="1"/>
  <c r="S1760" i="1"/>
  <c r="I1760" i="1"/>
  <c r="AG1759" i="1"/>
  <c r="AF1759" i="1"/>
  <c r="S1759" i="1"/>
  <c r="I1759" i="1"/>
  <c r="AG1758" i="1"/>
  <c r="AF1758" i="1"/>
  <c r="S1758" i="1"/>
  <c r="I1758" i="1"/>
  <c r="AG1757" i="1"/>
  <c r="AF1757" i="1"/>
  <c r="S1757" i="1"/>
  <c r="I1757" i="1"/>
  <c r="AG1756" i="1"/>
  <c r="AF1756" i="1"/>
  <c r="S1756" i="1"/>
  <c r="I1756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I1755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I1754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I1753" i="1"/>
  <c r="AG1752" i="1"/>
  <c r="AF1752" i="1"/>
  <c r="S1752" i="1"/>
  <c r="I1752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I1751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I1750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I1749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I1748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I1747" i="1"/>
  <c r="AG1746" i="1"/>
  <c r="AF1746" i="1"/>
  <c r="S1746" i="1"/>
  <c r="I1746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I1745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I1744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I1743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I1742" i="1"/>
  <c r="AG1741" i="1"/>
  <c r="AF1741" i="1"/>
  <c r="S1741" i="1"/>
  <c r="I1741" i="1"/>
  <c r="AG1740" i="1"/>
  <c r="AF1740" i="1"/>
  <c r="S1740" i="1"/>
  <c r="I1740" i="1"/>
  <c r="AG1739" i="1"/>
  <c r="AF1739" i="1"/>
  <c r="S1739" i="1"/>
  <c r="I1739" i="1"/>
  <c r="AG1738" i="1"/>
  <c r="AF1738" i="1"/>
  <c r="S1738" i="1"/>
  <c r="I1738" i="1"/>
  <c r="AG1737" i="1"/>
  <c r="AF1737" i="1"/>
  <c r="S1737" i="1"/>
  <c r="I1737" i="1"/>
  <c r="AG1736" i="1"/>
  <c r="AF1736" i="1"/>
  <c r="S1736" i="1"/>
  <c r="I1736" i="1"/>
  <c r="AG1735" i="1"/>
  <c r="AF1735" i="1"/>
  <c r="S1735" i="1"/>
  <c r="I1735" i="1"/>
  <c r="AG1734" i="1"/>
  <c r="AF1734" i="1"/>
  <c r="S1734" i="1"/>
  <c r="I1734" i="1"/>
  <c r="AG1733" i="1"/>
  <c r="AF1733" i="1"/>
  <c r="S1733" i="1"/>
  <c r="I1733" i="1"/>
  <c r="AG1732" i="1"/>
  <c r="AF1732" i="1"/>
  <c r="S1732" i="1"/>
  <c r="I1732" i="1"/>
  <c r="AG1731" i="1"/>
  <c r="AF1731" i="1"/>
  <c r="S1731" i="1"/>
  <c r="I1731" i="1"/>
  <c r="AG1730" i="1"/>
  <c r="AF1730" i="1"/>
  <c r="S1730" i="1"/>
  <c r="I1730" i="1"/>
  <c r="AG1729" i="1"/>
  <c r="AF1729" i="1"/>
  <c r="S1729" i="1"/>
  <c r="I1729" i="1"/>
  <c r="AG1728" i="1"/>
  <c r="AF1728" i="1"/>
  <c r="S1728" i="1"/>
  <c r="I1728" i="1"/>
  <c r="AG1727" i="1"/>
  <c r="AF1727" i="1"/>
  <c r="S1727" i="1"/>
  <c r="I1727" i="1"/>
  <c r="AG1726" i="1"/>
  <c r="AF1726" i="1"/>
  <c r="S1726" i="1"/>
  <c r="I1726" i="1"/>
  <c r="AG1725" i="1"/>
  <c r="AF1725" i="1"/>
  <c r="S1725" i="1"/>
  <c r="I1725" i="1"/>
  <c r="AG1724" i="1"/>
  <c r="AF1724" i="1"/>
  <c r="S1724" i="1"/>
  <c r="I1724" i="1"/>
  <c r="AG1723" i="1"/>
  <c r="AF1723" i="1"/>
  <c r="S1723" i="1"/>
  <c r="I1723" i="1"/>
  <c r="AG1722" i="1"/>
  <c r="AF1722" i="1"/>
  <c r="S1722" i="1"/>
  <c r="I1722" i="1"/>
  <c r="AG1721" i="1"/>
  <c r="AF1721" i="1"/>
  <c r="S1721" i="1"/>
  <c r="I1721" i="1"/>
  <c r="AG1720" i="1"/>
  <c r="AF1720" i="1"/>
  <c r="S1720" i="1"/>
  <c r="I1720" i="1"/>
  <c r="AG1719" i="1"/>
  <c r="AF1719" i="1"/>
  <c r="S1719" i="1"/>
  <c r="I1719" i="1"/>
  <c r="AG1718" i="1"/>
  <c r="AF1718" i="1"/>
  <c r="S1718" i="1"/>
  <c r="I1718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I1717" i="1"/>
  <c r="AG1716" i="1"/>
  <c r="AF1716" i="1"/>
  <c r="S1716" i="1"/>
  <c r="I1716" i="1"/>
  <c r="AG1715" i="1"/>
  <c r="AF1715" i="1"/>
  <c r="S1715" i="1"/>
  <c r="I1715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I1714" i="1"/>
  <c r="AG1713" i="1"/>
  <c r="AF1713" i="1"/>
  <c r="S1713" i="1"/>
  <c r="I1713" i="1"/>
  <c r="AG1712" i="1"/>
  <c r="AF1712" i="1"/>
  <c r="S1712" i="1"/>
  <c r="I1712" i="1"/>
  <c r="AG1711" i="1"/>
  <c r="AF1711" i="1"/>
  <c r="S1711" i="1"/>
  <c r="I1711" i="1"/>
  <c r="AG1710" i="1"/>
  <c r="AF1710" i="1"/>
  <c r="S1710" i="1"/>
  <c r="I1710" i="1"/>
  <c r="AG1709" i="1"/>
  <c r="AF1709" i="1"/>
  <c r="S1709" i="1"/>
  <c r="I1709" i="1"/>
  <c r="AG1708" i="1"/>
  <c r="AF1708" i="1"/>
  <c r="S1708" i="1"/>
  <c r="I1708" i="1"/>
  <c r="AG1707" i="1"/>
  <c r="AF1707" i="1"/>
  <c r="S1707" i="1"/>
  <c r="I1707" i="1"/>
  <c r="AG1706" i="1"/>
  <c r="AF1706" i="1"/>
  <c r="S1706" i="1"/>
  <c r="I1706" i="1"/>
  <c r="AG1705" i="1"/>
  <c r="AF1705" i="1"/>
  <c r="S1705" i="1"/>
  <c r="I1705" i="1"/>
  <c r="AG1704" i="1"/>
  <c r="AF1704" i="1"/>
  <c r="S1704" i="1"/>
  <c r="I1704" i="1"/>
  <c r="AG1703" i="1"/>
  <c r="AF1703" i="1"/>
  <c r="S1703" i="1"/>
  <c r="I1703" i="1"/>
  <c r="AG1702" i="1"/>
  <c r="AF1702" i="1"/>
  <c r="S1702" i="1"/>
  <c r="I1702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I1701" i="1"/>
  <c r="AG1700" i="1"/>
  <c r="AF1700" i="1"/>
  <c r="S1700" i="1"/>
  <c r="I1700" i="1"/>
  <c r="AG1699" i="1"/>
  <c r="AF1699" i="1"/>
  <c r="S1699" i="1"/>
  <c r="I1699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I1698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I1697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I1696" i="1"/>
  <c r="AG1695" i="1"/>
  <c r="AF1695" i="1"/>
  <c r="S1695" i="1"/>
  <c r="I1695" i="1"/>
  <c r="AG1694" i="1"/>
  <c r="AF1694" i="1"/>
  <c r="S1694" i="1"/>
  <c r="I1694" i="1"/>
  <c r="AG1693" i="1"/>
  <c r="AF1693" i="1"/>
  <c r="S1693" i="1"/>
  <c r="I1693" i="1"/>
  <c r="AG1692" i="1"/>
  <c r="AF1692" i="1"/>
  <c r="S1692" i="1"/>
  <c r="I1692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I1691" i="1"/>
  <c r="AG1690" i="1"/>
  <c r="AF1690" i="1"/>
  <c r="S1690" i="1"/>
  <c r="I1690" i="1"/>
  <c r="AG1689" i="1"/>
  <c r="AF1689" i="1"/>
  <c r="S1689" i="1"/>
  <c r="I1689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I1688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I1687" i="1"/>
  <c r="AG1686" i="1"/>
  <c r="AF1686" i="1"/>
  <c r="S1686" i="1"/>
  <c r="I1686" i="1"/>
  <c r="AG1685" i="1"/>
  <c r="AF1685" i="1"/>
  <c r="S1685" i="1"/>
  <c r="I1685" i="1"/>
  <c r="AG1684" i="1"/>
  <c r="AF1684" i="1"/>
  <c r="S1684" i="1"/>
  <c r="I1684" i="1"/>
  <c r="AG1683" i="1"/>
  <c r="AF1683" i="1"/>
  <c r="S1683" i="1"/>
  <c r="I1683" i="1"/>
  <c r="AG1682" i="1"/>
  <c r="AF1682" i="1"/>
  <c r="S1682" i="1"/>
  <c r="I1682" i="1"/>
  <c r="AG1681" i="1"/>
  <c r="AF1681" i="1"/>
  <c r="S1681" i="1"/>
  <c r="I1681" i="1"/>
  <c r="AG1680" i="1"/>
  <c r="AF1680" i="1"/>
  <c r="S1680" i="1"/>
  <c r="I1680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I1679" i="1"/>
  <c r="AG1678" i="1"/>
  <c r="AF1678" i="1"/>
  <c r="S1678" i="1"/>
  <c r="I1678" i="1"/>
  <c r="AG1677" i="1"/>
  <c r="AF1677" i="1"/>
  <c r="S1677" i="1"/>
  <c r="I1677" i="1"/>
  <c r="AG1676" i="1"/>
  <c r="AF1676" i="1"/>
  <c r="S1676" i="1"/>
  <c r="I1676" i="1"/>
  <c r="AG1675" i="1"/>
  <c r="AF1675" i="1"/>
  <c r="S1675" i="1"/>
  <c r="I1675" i="1"/>
  <c r="AG1674" i="1"/>
  <c r="AF1674" i="1"/>
  <c r="AG1673" i="1"/>
  <c r="AF1673" i="1"/>
  <c r="S1673" i="1"/>
  <c r="I1673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I1672" i="1"/>
  <c r="AG1671" i="1"/>
  <c r="AF1671" i="1"/>
  <c r="S1671" i="1"/>
  <c r="I1671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I1670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I1669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I1668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I1667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I1666" i="1"/>
  <c r="AG1665" i="1"/>
  <c r="AF1665" i="1"/>
  <c r="S1665" i="1"/>
  <c r="I1665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I1664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I1663" i="1"/>
  <c r="AG1662" i="1"/>
  <c r="AF1662" i="1"/>
  <c r="S1662" i="1"/>
  <c r="I1662" i="1"/>
  <c r="AG1661" i="1"/>
  <c r="AF1661" i="1"/>
  <c r="S1661" i="1"/>
  <c r="I1661" i="1"/>
  <c r="AG1660" i="1"/>
  <c r="AF1660" i="1"/>
  <c r="S1660" i="1"/>
  <c r="I1660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I1659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I1658" i="1"/>
  <c r="AG1657" i="1"/>
  <c r="AF1657" i="1"/>
  <c r="S1657" i="1"/>
  <c r="I1657" i="1"/>
  <c r="AG1656" i="1"/>
  <c r="AF1656" i="1"/>
  <c r="S1656" i="1"/>
  <c r="I1656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I1655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I1654" i="1"/>
  <c r="AG1653" i="1"/>
  <c r="AF1653" i="1"/>
  <c r="S1653" i="1"/>
  <c r="I1653" i="1"/>
  <c r="AG1652" i="1"/>
  <c r="AF1652" i="1"/>
  <c r="S1652" i="1"/>
  <c r="I1652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I1651" i="1"/>
  <c r="AG1650" i="1"/>
  <c r="AF1650" i="1"/>
  <c r="S1650" i="1"/>
  <c r="I1650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I1649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I1648" i="1"/>
  <c r="AG1647" i="1"/>
  <c r="AF1647" i="1"/>
  <c r="S1647" i="1"/>
  <c r="I1647" i="1"/>
  <c r="AG1646" i="1"/>
  <c r="AF1646" i="1"/>
  <c r="S1646" i="1"/>
  <c r="I1646" i="1"/>
  <c r="AG1645" i="1"/>
  <c r="AF1645" i="1"/>
  <c r="S1645" i="1"/>
  <c r="I1645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I1644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I1643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I1642" i="1"/>
  <c r="AG1641" i="1"/>
  <c r="AF1641" i="1"/>
  <c r="S1641" i="1"/>
  <c r="I1641" i="1"/>
  <c r="AG1640" i="1"/>
  <c r="AF1640" i="1"/>
  <c r="S1640" i="1"/>
  <c r="I1640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I1639" i="1"/>
  <c r="AG1638" i="1"/>
  <c r="AF1638" i="1"/>
  <c r="S1638" i="1"/>
  <c r="I1638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I1637" i="1"/>
  <c r="AG1636" i="1"/>
  <c r="AF1636" i="1"/>
  <c r="S1636" i="1"/>
  <c r="I1636" i="1"/>
  <c r="AG1635" i="1"/>
  <c r="AF1635" i="1"/>
  <c r="S1635" i="1"/>
  <c r="I1635" i="1"/>
  <c r="AG1634" i="1"/>
  <c r="AF1634" i="1"/>
  <c r="S1634" i="1"/>
  <c r="I1634" i="1"/>
  <c r="AG1633" i="1"/>
  <c r="AF1633" i="1"/>
  <c r="S1633" i="1"/>
  <c r="I1633" i="1"/>
  <c r="AG1632" i="1"/>
  <c r="AF1632" i="1"/>
  <c r="S1632" i="1"/>
  <c r="I1632" i="1"/>
  <c r="AG1631" i="1"/>
  <c r="AF1631" i="1"/>
  <c r="S1631" i="1"/>
  <c r="I1631" i="1"/>
  <c r="AG1630" i="1"/>
  <c r="AF1630" i="1"/>
  <c r="S1630" i="1"/>
  <c r="I1630" i="1"/>
  <c r="AG1629" i="1"/>
  <c r="AF1629" i="1"/>
  <c r="S1629" i="1"/>
  <c r="I1629" i="1"/>
  <c r="AG1628" i="1"/>
  <c r="AF1628" i="1"/>
  <c r="S1628" i="1"/>
  <c r="I1628" i="1"/>
  <c r="AG1627" i="1"/>
  <c r="AF1627" i="1"/>
  <c r="S1627" i="1"/>
  <c r="I1627" i="1"/>
  <c r="AG1626" i="1"/>
  <c r="AF1626" i="1"/>
  <c r="S1626" i="1"/>
  <c r="I1626" i="1"/>
  <c r="AG1625" i="1"/>
  <c r="AF1625" i="1"/>
  <c r="S1625" i="1"/>
  <c r="I1625" i="1"/>
  <c r="AG1624" i="1"/>
  <c r="AF1624" i="1"/>
  <c r="S1624" i="1"/>
  <c r="I1624" i="1"/>
  <c r="AG1623" i="1"/>
  <c r="AF1623" i="1"/>
  <c r="S1623" i="1"/>
  <c r="I1623" i="1"/>
  <c r="AG1622" i="1"/>
  <c r="AF1622" i="1"/>
  <c r="S1622" i="1"/>
  <c r="I1622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I1621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I1620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I1619" i="1"/>
  <c r="AG1618" i="1"/>
  <c r="AF1618" i="1"/>
  <c r="S1618" i="1"/>
  <c r="I1618" i="1"/>
  <c r="AG1617" i="1"/>
  <c r="AF1617" i="1"/>
  <c r="S1617" i="1"/>
  <c r="I1617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I1616" i="1"/>
  <c r="AG1615" i="1"/>
  <c r="AF1615" i="1"/>
  <c r="S1615" i="1"/>
  <c r="I1615" i="1"/>
  <c r="AG1614" i="1"/>
  <c r="AF1614" i="1"/>
  <c r="S1614" i="1"/>
  <c r="I1614" i="1"/>
  <c r="AG1613" i="1"/>
  <c r="AF1613" i="1"/>
  <c r="S1613" i="1"/>
  <c r="I1613" i="1"/>
  <c r="AG1612" i="1"/>
  <c r="AF1612" i="1"/>
  <c r="S1612" i="1"/>
  <c r="I1612" i="1"/>
  <c r="AG1611" i="1"/>
  <c r="AF1611" i="1"/>
  <c r="S1611" i="1"/>
  <c r="I1611" i="1"/>
  <c r="AG1610" i="1"/>
  <c r="AF1610" i="1"/>
  <c r="S1610" i="1"/>
  <c r="I1610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I1609" i="1"/>
  <c r="AG1608" i="1"/>
  <c r="AF1608" i="1"/>
  <c r="S1608" i="1"/>
  <c r="I1608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I1607" i="1"/>
  <c r="AG1606" i="1"/>
  <c r="AF1606" i="1"/>
  <c r="S1606" i="1"/>
  <c r="I1606" i="1"/>
  <c r="AG1605" i="1"/>
  <c r="AF1605" i="1"/>
  <c r="S1605" i="1"/>
  <c r="I1605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I1604" i="1"/>
  <c r="AG1603" i="1"/>
  <c r="AF1603" i="1"/>
  <c r="S1603" i="1"/>
  <c r="I1603" i="1"/>
  <c r="AG1602" i="1"/>
  <c r="AF1602" i="1"/>
  <c r="S1602" i="1"/>
  <c r="I1602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I1601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I1600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I1599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I1598" i="1"/>
  <c r="AG1597" i="1"/>
  <c r="AF1597" i="1"/>
  <c r="S1597" i="1"/>
  <c r="I1597" i="1"/>
  <c r="AG1596" i="1"/>
  <c r="AF1596" i="1"/>
  <c r="S1596" i="1"/>
  <c r="I1596" i="1"/>
  <c r="AG1595" i="1"/>
  <c r="AF1595" i="1"/>
  <c r="S1595" i="1"/>
  <c r="I1595" i="1"/>
  <c r="AG1594" i="1"/>
  <c r="AF1594" i="1"/>
  <c r="S1594" i="1"/>
  <c r="I1594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I1593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I1592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I1591" i="1"/>
  <c r="AG1590" i="1"/>
  <c r="AF1590" i="1"/>
  <c r="S1590" i="1"/>
  <c r="I1590" i="1"/>
  <c r="AG1589" i="1"/>
  <c r="AF1589" i="1"/>
  <c r="S1589" i="1"/>
  <c r="I1589" i="1"/>
  <c r="AG1588" i="1"/>
  <c r="AF1588" i="1"/>
  <c r="S1588" i="1"/>
  <c r="I1588" i="1"/>
  <c r="AG1587" i="1"/>
  <c r="AF1587" i="1"/>
  <c r="S1587" i="1"/>
  <c r="I1587" i="1"/>
  <c r="AG1586" i="1"/>
  <c r="AF1586" i="1"/>
  <c r="S1586" i="1"/>
  <c r="I1586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I1585" i="1"/>
  <c r="AG1584" i="1"/>
  <c r="AF1584" i="1"/>
  <c r="S1584" i="1"/>
  <c r="I1584" i="1"/>
  <c r="AG1583" i="1"/>
  <c r="AF1583" i="1"/>
  <c r="S1583" i="1"/>
  <c r="I1583" i="1"/>
  <c r="AG1582" i="1"/>
  <c r="AF1582" i="1"/>
  <c r="S1582" i="1"/>
  <c r="I1582" i="1"/>
  <c r="AG1581" i="1"/>
  <c r="AF1581" i="1"/>
  <c r="S1581" i="1"/>
  <c r="I1581" i="1"/>
  <c r="AG1580" i="1"/>
  <c r="AF1580" i="1"/>
  <c r="S1580" i="1"/>
  <c r="I1580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I1579" i="1"/>
  <c r="AG1578" i="1"/>
  <c r="AF1578" i="1"/>
  <c r="S1578" i="1"/>
  <c r="I1578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I1577" i="1"/>
  <c r="AG1576" i="1"/>
  <c r="AF1576" i="1"/>
  <c r="S1576" i="1"/>
  <c r="I1576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I1575" i="1"/>
  <c r="AG1574" i="1"/>
  <c r="AF1574" i="1"/>
  <c r="S1574" i="1"/>
  <c r="I1574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I1573" i="1"/>
  <c r="AG1572" i="1"/>
  <c r="AF1572" i="1"/>
  <c r="S1572" i="1"/>
  <c r="I1572" i="1"/>
  <c r="AG1571" i="1"/>
  <c r="AF1571" i="1"/>
  <c r="S1571" i="1"/>
  <c r="I1571" i="1"/>
  <c r="AG1570" i="1"/>
  <c r="AF1570" i="1"/>
  <c r="S1570" i="1"/>
  <c r="I1570" i="1"/>
  <c r="AG1569" i="1"/>
  <c r="AF1569" i="1"/>
  <c r="S1569" i="1"/>
  <c r="I1569" i="1"/>
  <c r="AG1568" i="1"/>
  <c r="AF1568" i="1"/>
  <c r="S1568" i="1"/>
  <c r="I1568" i="1"/>
  <c r="AG1567" i="1"/>
  <c r="AF1567" i="1"/>
  <c r="S1567" i="1"/>
  <c r="I1567" i="1"/>
  <c r="AG1566" i="1"/>
  <c r="AF1566" i="1"/>
  <c r="S1566" i="1"/>
  <c r="I1566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I1565" i="1"/>
  <c r="AG1564" i="1"/>
  <c r="AF1564" i="1"/>
  <c r="S1564" i="1"/>
  <c r="I1564" i="1"/>
  <c r="AG1563" i="1"/>
  <c r="AF1563" i="1"/>
  <c r="S1563" i="1"/>
  <c r="I1563" i="1"/>
  <c r="AG1562" i="1"/>
  <c r="AF1562" i="1"/>
  <c r="S1562" i="1"/>
  <c r="I1562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I1561" i="1"/>
  <c r="AG1560" i="1"/>
  <c r="AF1560" i="1"/>
  <c r="S1560" i="1"/>
  <c r="I1560" i="1"/>
  <c r="AG1559" i="1"/>
  <c r="AF1559" i="1"/>
  <c r="S1559" i="1"/>
  <c r="I1559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I1558" i="1"/>
  <c r="AG1557" i="1"/>
  <c r="AF1557" i="1"/>
  <c r="S1557" i="1"/>
  <c r="I1557" i="1"/>
  <c r="AG1556" i="1"/>
  <c r="AF1556" i="1"/>
  <c r="S1556" i="1"/>
  <c r="I1556" i="1"/>
  <c r="AG1555" i="1"/>
  <c r="AF1555" i="1"/>
  <c r="S1555" i="1"/>
  <c r="I1555" i="1"/>
  <c r="AG1554" i="1"/>
  <c r="AF1554" i="1"/>
  <c r="S1554" i="1"/>
  <c r="I1554" i="1"/>
  <c r="AG1553" i="1"/>
  <c r="AF1553" i="1"/>
  <c r="S1553" i="1"/>
  <c r="I1553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I1552" i="1"/>
  <c r="AG1551" i="1"/>
  <c r="AF1551" i="1"/>
  <c r="S1551" i="1"/>
  <c r="I1551" i="1"/>
  <c r="AG1550" i="1"/>
  <c r="AF1550" i="1"/>
  <c r="S1550" i="1"/>
  <c r="I1550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I1549" i="1"/>
  <c r="AG1548" i="1"/>
  <c r="AF1548" i="1"/>
  <c r="S1548" i="1"/>
  <c r="I1548" i="1"/>
  <c r="AG1547" i="1"/>
  <c r="AF1547" i="1"/>
  <c r="S1547" i="1"/>
  <c r="I1547" i="1"/>
  <c r="AG1546" i="1"/>
  <c r="AF1546" i="1"/>
  <c r="S1546" i="1"/>
  <c r="I1546" i="1"/>
  <c r="AG1545" i="1"/>
  <c r="AF1545" i="1"/>
  <c r="S1545" i="1"/>
  <c r="I1545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I1544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I1543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I1542" i="1"/>
  <c r="AG1541" i="1"/>
  <c r="AF1541" i="1"/>
  <c r="S1541" i="1"/>
  <c r="I1541" i="1"/>
  <c r="AG1540" i="1"/>
  <c r="AF1540" i="1"/>
  <c r="S1540" i="1"/>
  <c r="I1540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I1539" i="1"/>
  <c r="AG1538" i="1"/>
  <c r="AF1538" i="1"/>
  <c r="S1538" i="1"/>
  <c r="I1538" i="1"/>
  <c r="AG1537" i="1"/>
  <c r="AF1537" i="1"/>
  <c r="S1537" i="1"/>
  <c r="I1537" i="1"/>
  <c r="AG1536" i="1"/>
  <c r="AF1536" i="1"/>
  <c r="S1536" i="1"/>
  <c r="I1536" i="1"/>
  <c r="AG1535" i="1"/>
  <c r="AF1535" i="1"/>
  <c r="S1535" i="1"/>
  <c r="I1535" i="1"/>
  <c r="AG1534" i="1"/>
  <c r="AF1534" i="1"/>
  <c r="S1534" i="1"/>
  <c r="I1534" i="1"/>
  <c r="AG1533" i="1"/>
  <c r="AF1533" i="1"/>
  <c r="S1533" i="1"/>
  <c r="I1533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I1532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I1531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I1530" i="1"/>
  <c r="AG1529" i="1"/>
  <c r="AF1529" i="1"/>
  <c r="S1529" i="1"/>
  <c r="I1529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I1528" i="1"/>
  <c r="AG1527" i="1"/>
  <c r="AF1527" i="1"/>
  <c r="S1527" i="1"/>
  <c r="I1527" i="1"/>
  <c r="AG1526" i="1"/>
  <c r="AF1526" i="1"/>
  <c r="S1526" i="1"/>
  <c r="I1526" i="1"/>
  <c r="AG1525" i="1"/>
  <c r="AF1525" i="1"/>
  <c r="S1525" i="1"/>
  <c r="I1525" i="1"/>
  <c r="AG1524" i="1"/>
  <c r="AF1524" i="1"/>
  <c r="S1524" i="1"/>
  <c r="I1524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I1523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I1522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I1521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I1520" i="1"/>
  <c r="AG1519" i="1"/>
  <c r="AF1519" i="1"/>
  <c r="S1519" i="1"/>
  <c r="I1519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I1518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I1517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I1516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I1515" i="1"/>
  <c r="AG1514" i="1"/>
  <c r="AF1514" i="1"/>
  <c r="S1514" i="1"/>
  <c r="AG1513" i="1"/>
  <c r="AF1513" i="1"/>
  <c r="S1513" i="1"/>
  <c r="I1513" i="1"/>
  <c r="AG1512" i="1"/>
  <c r="AF1512" i="1"/>
  <c r="S1512" i="1"/>
  <c r="I1512" i="1"/>
  <c r="AG1511" i="1"/>
  <c r="AF1511" i="1"/>
  <c r="S1511" i="1"/>
  <c r="I1511" i="1"/>
  <c r="AG1510" i="1"/>
  <c r="AF1510" i="1"/>
  <c r="S1510" i="1"/>
  <c r="I1510" i="1"/>
  <c r="AG1509" i="1"/>
  <c r="AF1509" i="1"/>
  <c r="S1509" i="1"/>
  <c r="I1509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I1508" i="1"/>
  <c r="AG1507" i="1"/>
  <c r="AF1507" i="1"/>
  <c r="S1507" i="1"/>
  <c r="I1507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I1506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I1505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I1504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I1503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I1502" i="1"/>
  <c r="AG1501" i="1"/>
  <c r="AF1501" i="1"/>
  <c r="S1501" i="1"/>
  <c r="I1501" i="1"/>
  <c r="AG1500" i="1"/>
  <c r="AF1500" i="1"/>
  <c r="S1500" i="1"/>
  <c r="I1500" i="1"/>
  <c r="AG1499" i="1"/>
  <c r="AF1499" i="1"/>
  <c r="S1499" i="1"/>
  <c r="I1499" i="1"/>
  <c r="AG1498" i="1"/>
  <c r="AF1498" i="1"/>
  <c r="S1498" i="1"/>
  <c r="I1498" i="1"/>
  <c r="AG1497" i="1"/>
  <c r="AF1497" i="1"/>
  <c r="S1497" i="1"/>
  <c r="I1497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I1496" i="1"/>
  <c r="AG1495" i="1"/>
  <c r="AF1495" i="1"/>
  <c r="S1495" i="1"/>
  <c r="I1495" i="1"/>
  <c r="AG1494" i="1"/>
  <c r="AF1494" i="1"/>
  <c r="S1494" i="1"/>
  <c r="I1494" i="1"/>
  <c r="AG1493" i="1"/>
  <c r="AF1493" i="1"/>
  <c r="S1493" i="1"/>
  <c r="I1493" i="1"/>
  <c r="AG1492" i="1"/>
  <c r="AF1492" i="1"/>
  <c r="S1492" i="1"/>
  <c r="I1492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I1491" i="1"/>
  <c r="AG1490" i="1"/>
  <c r="AF1490" i="1"/>
  <c r="S1490" i="1"/>
  <c r="I1490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I1489" i="1"/>
  <c r="AG1488" i="1"/>
  <c r="AF1488" i="1"/>
  <c r="S1488" i="1"/>
  <c r="I1488" i="1"/>
  <c r="AG1487" i="1"/>
  <c r="AF1487" i="1"/>
  <c r="S1487" i="1"/>
  <c r="I1487" i="1"/>
  <c r="AG1486" i="1"/>
  <c r="AF1486" i="1"/>
  <c r="S1486" i="1"/>
  <c r="I1486" i="1"/>
  <c r="AG1485" i="1"/>
  <c r="AF1485" i="1"/>
  <c r="S1485" i="1"/>
  <c r="I1485" i="1"/>
  <c r="AG1484" i="1"/>
  <c r="AF1484" i="1"/>
  <c r="S1484" i="1"/>
  <c r="I1484" i="1"/>
  <c r="AG1483" i="1"/>
  <c r="AF1483" i="1"/>
  <c r="S1483" i="1"/>
  <c r="I1483" i="1"/>
  <c r="AG1482" i="1"/>
  <c r="AF1482" i="1"/>
  <c r="S1482" i="1"/>
  <c r="I1482" i="1"/>
  <c r="AG1481" i="1"/>
  <c r="AF1481" i="1"/>
  <c r="S1481" i="1"/>
  <c r="I1481" i="1"/>
  <c r="AG1480" i="1"/>
  <c r="AF1480" i="1"/>
  <c r="S1480" i="1"/>
  <c r="I1480" i="1"/>
  <c r="AG1479" i="1"/>
  <c r="AF1479" i="1"/>
  <c r="S1479" i="1"/>
  <c r="I1479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I1478" i="1"/>
  <c r="AG1477" i="1"/>
  <c r="AF1477" i="1"/>
  <c r="S1477" i="1"/>
  <c r="I1477" i="1"/>
  <c r="AG1476" i="1"/>
  <c r="AF1476" i="1"/>
  <c r="S1476" i="1"/>
  <c r="I1476" i="1"/>
  <c r="AG1475" i="1"/>
  <c r="AF1475" i="1"/>
  <c r="S1475" i="1"/>
  <c r="I1475" i="1"/>
  <c r="AG1474" i="1"/>
  <c r="AF1474" i="1"/>
  <c r="S1474" i="1"/>
  <c r="I1474" i="1"/>
  <c r="AG1473" i="1"/>
  <c r="AF1473" i="1"/>
  <c r="S1473" i="1"/>
  <c r="I1473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I1472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I1471" i="1"/>
  <c r="AG1470" i="1"/>
  <c r="AF1470" i="1"/>
  <c r="S1470" i="1"/>
  <c r="I1470" i="1"/>
  <c r="AG1469" i="1"/>
  <c r="AF1469" i="1"/>
  <c r="S1469" i="1"/>
  <c r="I1469" i="1"/>
  <c r="AG1468" i="1"/>
  <c r="AF1468" i="1"/>
  <c r="S1468" i="1"/>
  <c r="I1468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I1467" i="1"/>
  <c r="AG1466" i="1"/>
  <c r="AF1466" i="1"/>
  <c r="S1466" i="1"/>
  <c r="I1466" i="1"/>
  <c r="AG1465" i="1"/>
  <c r="AF1465" i="1"/>
  <c r="S1465" i="1"/>
  <c r="I1465" i="1"/>
  <c r="AG1464" i="1"/>
  <c r="AF1464" i="1"/>
  <c r="S1464" i="1"/>
  <c r="I1464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I1463" i="1"/>
  <c r="AG1462" i="1"/>
  <c r="AF1462" i="1"/>
  <c r="S1462" i="1"/>
  <c r="I1462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I1461" i="1"/>
  <c r="AG1460" i="1"/>
  <c r="AF1460" i="1"/>
  <c r="S1460" i="1"/>
  <c r="I1460" i="1"/>
  <c r="AG1459" i="1"/>
  <c r="AF1459" i="1"/>
  <c r="S1459" i="1"/>
  <c r="I1459" i="1"/>
  <c r="AG1458" i="1"/>
  <c r="AF1458" i="1"/>
  <c r="S1458" i="1"/>
  <c r="I1458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I1457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I1456" i="1"/>
  <c r="AG1455" i="1"/>
  <c r="AF1455" i="1"/>
  <c r="S1455" i="1"/>
  <c r="I1455" i="1"/>
  <c r="AG1454" i="1"/>
  <c r="AF1454" i="1"/>
  <c r="S1454" i="1"/>
  <c r="I1454" i="1"/>
  <c r="AG1453" i="1"/>
  <c r="AF1453" i="1"/>
  <c r="S1453" i="1"/>
  <c r="I1453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I1452" i="1"/>
  <c r="AG1451" i="1"/>
  <c r="AF1451" i="1"/>
  <c r="S1451" i="1"/>
  <c r="I1451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I1450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I1449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I1448" i="1"/>
  <c r="AG1447" i="1"/>
  <c r="AF1447" i="1"/>
  <c r="S1447" i="1"/>
  <c r="I1447" i="1"/>
  <c r="AG1446" i="1"/>
  <c r="AF1446" i="1"/>
  <c r="S1446" i="1"/>
  <c r="I1446" i="1"/>
  <c r="AG1445" i="1"/>
  <c r="AF1445" i="1"/>
  <c r="S1445" i="1"/>
  <c r="I1445" i="1"/>
  <c r="AG1444" i="1"/>
  <c r="AF1444" i="1"/>
  <c r="S1444" i="1"/>
  <c r="I1444" i="1"/>
  <c r="AG1443" i="1"/>
  <c r="AF1443" i="1"/>
  <c r="S1443" i="1"/>
  <c r="I1443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I1442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I1441" i="1"/>
  <c r="AG1440" i="1"/>
  <c r="AF1440" i="1"/>
  <c r="S1440" i="1"/>
  <c r="I1440" i="1"/>
  <c r="AG1439" i="1"/>
  <c r="AF1439" i="1"/>
  <c r="S1439" i="1"/>
  <c r="I1439" i="1"/>
  <c r="AG1438" i="1"/>
  <c r="AF1438" i="1"/>
  <c r="S1438" i="1"/>
  <c r="I1438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I1437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I1436" i="1"/>
  <c r="AG1435" i="1"/>
  <c r="AF1435" i="1"/>
  <c r="S1435" i="1"/>
  <c r="I1435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I1434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I1433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I1432" i="1"/>
  <c r="AG1431" i="1"/>
  <c r="AF1431" i="1"/>
  <c r="S1431" i="1"/>
  <c r="I1431" i="1"/>
  <c r="AG1430" i="1"/>
  <c r="AF1430" i="1"/>
  <c r="S1430" i="1"/>
  <c r="I1430" i="1"/>
  <c r="AG1429" i="1"/>
  <c r="AF1429" i="1"/>
  <c r="S1429" i="1"/>
  <c r="I1429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I1428" i="1"/>
  <c r="AG1427" i="1"/>
  <c r="AF1427" i="1"/>
  <c r="S1427" i="1"/>
  <c r="I1427" i="1"/>
  <c r="AG1426" i="1"/>
  <c r="AF1426" i="1"/>
  <c r="S1426" i="1"/>
  <c r="I1426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I1425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I1424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I1423" i="1"/>
  <c r="AG1422" i="1"/>
  <c r="AF1422" i="1"/>
  <c r="S1422" i="1"/>
  <c r="I1422" i="1"/>
  <c r="AG1421" i="1"/>
  <c r="AF1421" i="1"/>
  <c r="S1421" i="1"/>
  <c r="I1421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I1420" i="1"/>
  <c r="AG1419" i="1"/>
  <c r="AF1419" i="1"/>
  <c r="S1419" i="1"/>
  <c r="I1419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I1418" i="1"/>
  <c r="AG1417" i="1"/>
  <c r="AF1417" i="1"/>
  <c r="S1417" i="1"/>
  <c r="I1417" i="1"/>
  <c r="AG1416" i="1"/>
  <c r="AF1416" i="1"/>
  <c r="S1416" i="1"/>
  <c r="I1416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I1415" i="1"/>
  <c r="AG1414" i="1"/>
  <c r="AF1414" i="1"/>
  <c r="S1414" i="1"/>
  <c r="I1414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I1413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I1412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I1411" i="1"/>
  <c r="AG1410" i="1"/>
  <c r="AF1410" i="1"/>
  <c r="S1410" i="1"/>
  <c r="I1410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I1409" i="1"/>
  <c r="AG1408" i="1"/>
  <c r="AF1408" i="1"/>
  <c r="S1408" i="1"/>
  <c r="I1408" i="1"/>
  <c r="AG1407" i="1"/>
  <c r="AF1407" i="1"/>
  <c r="S1407" i="1"/>
  <c r="I1407" i="1"/>
  <c r="AG1406" i="1"/>
  <c r="AF1406" i="1"/>
  <c r="S1406" i="1"/>
  <c r="I1406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I1405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I1404" i="1"/>
  <c r="AG1403" i="1"/>
  <c r="AF1403" i="1"/>
  <c r="S1403" i="1"/>
  <c r="I1403" i="1"/>
  <c r="AG1402" i="1"/>
  <c r="AF1402" i="1"/>
  <c r="S1402" i="1"/>
  <c r="I1402" i="1"/>
  <c r="AG1401" i="1"/>
  <c r="AF1401" i="1"/>
  <c r="S1401" i="1"/>
  <c r="I1401" i="1"/>
  <c r="AG1400" i="1"/>
  <c r="AF1400" i="1"/>
  <c r="S1400" i="1"/>
  <c r="I1400" i="1"/>
  <c r="AG1399" i="1"/>
  <c r="AF1399" i="1"/>
  <c r="S1399" i="1"/>
  <c r="I1399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I1398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I1397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I1396" i="1"/>
  <c r="AG1395" i="1"/>
  <c r="AF1395" i="1"/>
  <c r="S1395" i="1"/>
  <c r="I1395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I1394" i="1"/>
  <c r="AG1393" i="1"/>
  <c r="AF1393" i="1"/>
  <c r="S1393" i="1"/>
  <c r="I1393" i="1"/>
  <c r="AG1392" i="1"/>
  <c r="AF1392" i="1"/>
  <c r="S1392" i="1"/>
  <c r="I1392" i="1"/>
  <c r="AG1391" i="1"/>
  <c r="AF1391" i="1"/>
  <c r="S1391" i="1"/>
  <c r="I1391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I1390" i="1"/>
  <c r="AG1389" i="1"/>
  <c r="AF1389" i="1"/>
  <c r="S1389" i="1"/>
  <c r="I1389" i="1"/>
  <c r="AG1388" i="1"/>
  <c r="AF1388" i="1"/>
  <c r="S1388" i="1"/>
  <c r="I1388" i="1"/>
  <c r="AG1387" i="1"/>
  <c r="AF1387" i="1"/>
  <c r="S1387" i="1"/>
  <c r="I1387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I1386" i="1"/>
  <c r="AG1385" i="1"/>
  <c r="AF1385" i="1"/>
  <c r="S1385" i="1"/>
  <c r="I1385" i="1"/>
  <c r="AG1384" i="1"/>
  <c r="AF1384" i="1"/>
  <c r="S1384" i="1"/>
  <c r="I1384" i="1"/>
  <c r="AG1383" i="1"/>
  <c r="AF1383" i="1"/>
  <c r="S1383" i="1"/>
  <c r="I1383" i="1"/>
  <c r="AG1382" i="1"/>
  <c r="AF1382" i="1"/>
  <c r="S1382" i="1"/>
  <c r="I1382" i="1"/>
  <c r="AG1381" i="1"/>
  <c r="AF1381" i="1"/>
  <c r="S1381" i="1"/>
  <c r="I1381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I1380" i="1"/>
  <c r="AG1379" i="1"/>
  <c r="AF1379" i="1"/>
  <c r="S1379" i="1"/>
  <c r="I1379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I1378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AG1376" i="1"/>
  <c r="AF1376" i="1"/>
  <c r="S1376" i="1"/>
  <c r="I1376" i="1"/>
  <c r="AG1375" i="1"/>
  <c r="AF1375" i="1"/>
  <c r="S1375" i="1"/>
  <c r="I1375" i="1"/>
  <c r="AG1374" i="1"/>
  <c r="AF1374" i="1"/>
  <c r="S1374" i="1"/>
  <c r="I1374" i="1"/>
  <c r="AG1373" i="1"/>
  <c r="AF1373" i="1"/>
  <c r="S1373" i="1"/>
  <c r="I1373" i="1"/>
  <c r="AG1372" i="1"/>
  <c r="AF1372" i="1"/>
  <c r="S1372" i="1"/>
  <c r="I1372" i="1"/>
  <c r="AG1371" i="1"/>
  <c r="AF1371" i="1"/>
  <c r="S1371" i="1"/>
  <c r="I1371" i="1"/>
  <c r="AG1370" i="1"/>
  <c r="AF1370" i="1"/>
  <c r="S1370" i="1"/>
  <c r="I1370" i="1"/>
  <c r="AG1369" i="1"/>
  <c r="AF1369" i="1"/>
  <c r="S1369" i="1"/>
  <c r="I1369" i="1"/>
  <c r="AG1368" i="1"/>
  <c r="AF1368" i="1"/>
  <c r="S1368" i="1"/>
  <c r="I1368" i="1"/>
  <c r="AG1367" i="1"/>
  <c r="AF1367" i="1"/>
  <c r="S1367" i="1"/>
  <c r="I1367" i="1"/>
  <c r="AG1366" i="1"/>
  <c r="AF1366" i="1"/>
  <c r="S1366" i="1"/>
  <c r="I1366" i="1"/>
  <c r="AG1365" i="1"/>
  <c r="AF1365" i="1"/>
  <c r="S1365" i="1"/>
  <c r="I1365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I1364" i="1"/>
  <c r="AG1363" i="1"/>
  <c r="AF1363" i="1"/>
  <c r="S1363" i="1"/>
  <c r="I1363" i="1"/>
  <c r="AG1362" i="1"/>
  <c r="AF1362" i="1"/>
  <c r="S1362" i="1"/>
  <c r="I1362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I1361" i="1"/>
  <c r="AG1360" i="1"/>
  <c r="AF1360" i="1"/>
  <c r="S1360" i="1"/>
  <c r="I1360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I1359" i="1"/>
  <c r="AG1358" i="1"/>
  <c r="AF1358" i="1"/>
  <c r="S1358" i="1"/>
  <c r="I1358" i="1"/>
  <c r="AG1357" i="1"/>
  <c r="AF1357" i="1"/>
  <c r="S1357" i="1"/>
  <c r="I1357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I1356" i="1"/>
  <c r="AG1355" i="1"/>
  <c r="AF1355" i="1"/>
  <c r="S1355" i="1"/>
  <c r="I1355" i="1"/>
  <c r="AG1354" i="1"/>
  <c r="AF1354" i="1"/>
  <c r="S1354" i="1"/>
  <c r="I1354" i="1"/>
  <c r="AG1353" i="1"/>
  <c r="AF1353" i="1"/>
  <c r="S1353" i="1"/>
  <c r="I1353" i="1"/>
  <c r="AG1352" i="1"/>
  <c r="AF1352" i="1"/>
  <c r="S1352" i="1"/>
  <c r="I1352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I1351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I1350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I1349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I1348" i="1"/>
  <c r="AG1347" i="1"/>
  <c r="AF1347" i="1"/>
  <c r="S1347" i="1"/>
  <c r="I1347" i="1"/>
  <c r="AG1346" i="1"/>
  <c r="AF1346" i="1"/>
  <c r="S1346" i="1"/>
  <c r="I1346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I1345" i="1"/>
  <c r="AG1344" i="1"/>
  <c r="AF1344" i="1"/>
  <c r="S1344" i="1"/>
  <c r="I1344" i="1"/>
  <c r="AG1343" i="1"/>
  <c r="AF1343" i="1"/>
  <c r="S1343" i="1"/>
  <c r="I1343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I1342" i="1"/>
  <c r="AG1341" i="1"/>
  <c r="AF1341" i="1"/>
  <c r="S1341" i="1"/>
  <c r="I1341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I1340" i="1"/>
  <c r="AG1339" i="1"/>
  <c r="AF1339" i="1"/>
  <c r="S1339" i="1"/>
  <c r="I1339" i="1"/>
  <c r="AG1338" i="1"/>
  <c r="AF1338" i="1"/>
  <c r="S1338" i="1"/>
  <c r="I1338" i="1"/>
  <c r="AG1337" i="1"/>
  <c r="AF1337" i="1"/>
  <c r="S1337" i="1"/>
  <c r="I1337" i="1"/>
  <c r="AG1336" i="1"/>
  <c r="AF1336" i="1"/>
  <c r="S1336" i="1"/>
  <c r="I1336" i="1"/>
  <c r="AG1335" i="1"/>
  <c r="AF1335" i="1"/>
  <c r="S1335" i="1"/>
  <c r="I1335" i="1"/>
  <c r="AG1334" i="1"/>
  <c r="AF1334" i="1"/>
  <c r="S1334" i="1"/>
  <c r="I1334" i="1"/>
  <c r="AG1333" i="1"/>
  <c r="AF1333" i="1"/>
  <c r="S1333" i="1"/>
  <c r="I1333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I1332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I1331" i="1"/>
  <c r="AG1330" i="1"/>
  <c r="AF1330" i="1"/>
  <c r="S1330" i="1"/>
  <c r="I1330" i="1"/>
  <c r="AG1329" i="1"/>
  <c r="AF1329" i="1"/>
  <c r="S1329" i="1"/>
  <c r="I1329" i="1"/>
  <c r="AG1328" i="1"/>
  <c r="AF1328" i="1"/>
  <c r="S1328" i="1"/>
  <c r="I1328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I1327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I1326" i="1"/>
  <c r="AG1325" i="1"/>
  <c r="AF1325" i="1"/>
  <c r="S1325" i="1"/>
  <c r="I1325" i="1"/>
  <c r="AG1324" i="1"/>
  <c r="AF1324" i="1"/>
  <c r="S1324" i="1"/>
  <c r="I1324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I1323" i="1"/>
  <c r="AG1322" i="1"/>
  <c r="AF1322" i="1"/>
  <c r="S1322" i="1"/>
  <c r="I1322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I1321" i="1"/>
  <c r="AG1320" i="1"/>
  <c r="AF1320" i="1"/>
  <c r="S1320" i="1"/>
  <c r="I1320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I1319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I1318" i="1"/>
  <c r="AG1317" i="1"/>
  <c r="AF1317" i="1"/>
  <c r="S1317" i="1"/>
  <c r="I1317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I1316" i="1"/>
  <c r="AG1315" i="1"/>
  <c r="AF1315" i="1"/>
  <c r="S1315" i="1"/>
  <c r="I1315" i="1"/>
  <c r="AG1314" i="1"/>
  <c r="AF1314" i="1"/>
  <c r="S1314" i="1"/>
  <c r="I1314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I1313" i="1"/>
  <c r="AG1312" i="1"/>
  <c r="AF1312" i="1"/>
  <c r="S1312" i="1"/>
  <c r="I1312" i="1"/>
  <c r="AG1311" i="1"/>
  <c r="AF1311" i="1"/>
  <c r="S1311" i="1"/>
  <c r="I1311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I1310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I1309" i="1"/>
  <c r="AG1308" i="1"/>
  <c r="AF1308" i="1"/>
  <c r="S1308" i="1"/>
  <c r="I1308" i="1"/>
  <c r="AG1307" i="1"/>
  <c r="AF1307" i="1"/>
  <c r="S1307" i="1"/>
  <c r="I1307" i="1"/>
  <c r="AG1306" i="1"/>
  <c r="AF1306" i="1"/>
  <c r="S1306" i="1"/>
  <c r="I1306" i="1"/>
  <c r="AG1305" i="1"/>
  <c r="AF1305" i="1"/>
  <c r="S1305" i="1"/>
  <c r="I1305" i="1"/>
  <c r="AG1304" i="1"/>
  <c r="AF1304" i="1"/>
  <c r="S1304" i="1"/>
  <c r="I1304" i="1"/>
  <c r="AG1303" i="1"/>
  <c r="AF1303" i="1"/>
  <c r="S1303" i="1"/>
  <c r="I1303" i="1"/>
  <c r="AG1302" i="1"/>
  <c r="AF1302" i="1"/>
  <c r="S1302" i="1"/>
  <c r="I1302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I1301" i="1"/>
  <c r="AG1300" i="1"/>
  <c r="AF1300" i="1"/>
  <c r="S1300" i="1"/>
  <c r="I1300" i="1"/>
  <c r="AG1299" i="1"/>
  <c r="AF1299" i="1"/>
  <c r="S1299" i="1"/>
  <c r="I1299" i="1"/>
  <c r="AG1298" i="1"/>
  <c r="AF1298" i="1"/>
  <c r="S1298" i="1"/>
  <c r="I1298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I1297" i="1"/>
  <c r="AG1296" i="1"/>
  <c r="AF1296" i="1"/>
  <c r="S1296" i="1"/>
  <c r="I1296" i="1"/>
  <c r="AG1295" i="1"/>
  <c r="AF1295" i="1"/>
  <c r="S1295" i="1"/>
  <c r="I1295" i="1"/>
  <c r="AG1294" i="1"/>
  <c r="AF1294" i="1"/>
  <c r="S1294" i="1"/>
  <c r="I1294" i="1"/>
  <c r="AG1293" i="1"/>
  <c r="AF1293" i="1"/>
  <c r="S1293" i="1"/>
  <c r="I1293" i="1"/>
  <c r="AG1292" i="1"/>
  <c r="AF1292" i="1"/>
  <c r="S1292" i="1"/>
  <c r="I1292" i="1"/>
  <c r="AG1291" i="1"/>
  <c r="AF1291" i="1"/>
  <c r="S1291" i="1"/>
  <c r="I1291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I1290" i="1"/>
  <c r="AG1289" i="1"/>
  <c r="AF1289" i="1"/>
  <c r="S1289" i="1"/>
  <c r="I1289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I1288" i="1"/>
  <c r="AG1287" i="1"/>
  <c r="AF1287" i="1"/>
  <c r="S1287" i="1"/>
  <c r="I1287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I1286" i="1"/>
  <c r="AG1285" i="1"/>
  <c r="AF1285" i="1"/>
  <c r="S1285" i="1"/>
  <c r="I1285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I1284" i="1"/>
  <c r="AG1283" i="1"/>
  <c r="AF1283" i="1"/>
  <c r="S1283" i="1"/>
  <c r="I1283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I1282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I1281" i="1"/>
  <c r="AG1280" i="1"/>
  <c r="AF1280" i="1"/>
  <c r="S1280" i="1"/>
  <c r="I1280" i="1"/>
  <c r="AG1279" i="1"/>
  <c r="AF1279" i="1"/>
  <c r="S1279" i="1"/>
  <c r="I1279" i="1"/>
  <c r="AG1278" i="1"/>
  <c r="AF1278" i="1"/>
  <c r="S1278" i="1"/>
  <c r="I1278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I1277" i="1"/>
  <c r="AG1276" i="1"/>
  <c r="AF1276" i="1"/>
  <c r="S1276" i="1"/>
  <c r="I1276" i="1"/>
  <c r="AG1275" i="1"/>
  <c r="AF1275" i="1"/>
  <c r="S1275" i="1"/>
  <c r="I1275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I1274" i="1"/>
  <c r="AG1273" i="1"/>
  <c r="AF1273" i="1"/>
  <c r="S1273" i="1"/>
  <c r="I1273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I1272" i="1"/>
  <c r="AG1271" i="1"/>
  <c r="AF1271" i="1"/>
  <c r="S1271" i="1"/>
  <c r="I1271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I1270" i="1"/>
  <c r="AG1269" i="1"/>
  <c r="AF1269" i="1"/>
  <c r="S1269" i="1"/>
  <c r="I1269" i="1"/>
  <c r="AG1268" i="1"/>
  <c r="AF1268" i="1"/>
  <c r="S1268" i="1"/>
  <c r="I1268" i="1"/>
  <c r="AG1267" i="1"/>
  <c r="AF1267" i="1"/>
  <c r="S1267" i="1"/>
  <c r="I1267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I1266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I1265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I1264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I1263" i="1"/>
  <c r="AG1262" i="1"/>
  <c r="AF1262" i="1"/>
  <c r="S1262" i="1"/>
  <c r="I1262" i="1"/>
  <c r="AG1261" i="1"/>
  <c r="AF1261" i="1"/>
  <c r="S1261" i="1"/>
  <c r="I1261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I1260" i="1"/>
  <c r="AG1258" i="1"/>
  <c r="AF1258" i="1"/>
  <c r="S1258" i="1"/>
  <c r="I1258" i="1"/>
  <c r="AG1257" i="1"/>
  <c r="AF1257" i="1"/>
  <c r="S1257" i="1"/>
  <c r="I1257" i="1"/>
  <c r="AG1256" i="1"/>
  <c r="AF1256" i="1"/>
  <c r="S1256" i="1"/>
  <c r="I1256" i="1"/>
  <c r="AG1255" i="1"/>
  <c r="AF1255" i="1"/>
  <c r="S1255" i="1"/>
  <c r="I1255" i="1"/>
  <c r="AG1254" i="1"/>
  <c r="AF1254" i="1"/>
  <c r="S1254" i="1"/>
  <c r="I1254" i="1"/>
  <c r="AG1253" i="1"/>
  <c r="AF1253" i="1"/>
  <c r="S1253" i="1"/>
  <c r="I1253" i="1"/>
  <c r="AG1252" i="1"/>
  <c r="AF1252" i="1"/>
  <c r="S1252" i="1"/>
  <c r="I1252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I1251" i="1"/>
  <c r="AG1250" i="1"/>
  <c r="AF1250" i="1"/>
  <c r="S1250" i="1"/>
  <c r="I1250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I1249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I1248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I1247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I1246" i="1"/>
  <c r="AG1245" i="1"/>
  <c r="AF1245" i="1"/>
  <c r="S1245" i="1"/>
  <c r="I1245" i="1"/>
  <c r="AG1244" i="1"/>
  <c r="AF1244" i="1"/>
  <c r="S1244" i="1"/>
  <c r="I1244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I1243" i="1"/>
  <c r="AG1242" i="1"/>
  <c r="AF1242" i="1"/>
  <c r="S1242" i="1"/>
  <c r="I1242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I1241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I1240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I1239" i="1"/>
  <c r="AG1238" i="1"/>
  <c r="AF1238" i="1"/>
  <c r="S1238" i="1"/>
  <c r="I1238" i="1"/>
  <c r="AG1237" i="1"/>
  <c r="AF1237" i="1"/>
  <c r="S1237" i="1"/>
  <c r="I1237" i="1"/>
  <c r="AG1236" i="1"/>
  <c r="AF1236" i="1"/>
  <c r="S1236" i="1"/>
  <c r="I1236" i="1"/>
  <c r="AG1235" i="1"/>
  <c r="AF1235" i="1"/>
  <c r="S1235" i="1"/>
  <c r="I1235" i="1"/>
  <c r="AG1234" i="1"/>
  <c r="AF1234" i="1"/>
  <c r="S1234" i="1"/>
  <c r="I1234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I1233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I1232" i="1"/>
  <c r="AG1231" i="1"/>
  <c r="AF1231" i="1"/>
  <c r="S1231" i="1"/>
  <c r="I1231" i="1"/>
  <c r="AG1230" i="1"/>
  <c r="AF1230" i="1"/>
  <c r="S1230" i="1"/>
  <c r="I1230" i="1"/>
  <c r="AG1229" i="1"/>
  <c r="AF1229" i="1"/>
  <c r="S1229" i="1"/>
  <c r="I1229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I1228" i="1"/>
  <c r="AG1227" i="1"/>
  <c r="AF1227" i="1"/>
  <c r="S1227" i="1"/>
  <c r="I1227" i="1"/>
  <c r="AG1226" i="1"/>
  <c r="AF1226" i="1"/>
  <c r="S1226" i="1"/>
  <c r="I1226" i="1"/>
  <c r="AG1225" i="1"/>
  <c r="AF1225" i="1"/>
  <c r="S1225" i="1"/>
  <c r="I1225" i="1"/>
  <c r="AG1224" i="1"/>
  <c r="AF1224" i="1"/>
  <c r="S1224" i="1"/>
  <c r="I1224" i="1"/>
  <c r="AG1223" i="1"/>
  <c r="AF1223" i="1"/>
  <c r="S1223" i="1"/>
  <c r="I1223" i="1"/>
  <c r="AG1222" i="1"/>
  <c r="AF1222" i="1"/>
  <c r="S1222" i="1"/>
  <c r="I1222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I1221" i="1"/>
  <c r="AG1220" i="1"/>
  <c r="AF1220" i="1"/>
  <c r="S1220" i="1"/>
  <c r="I1220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I1219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I1218" i="1"/>
  <c r="AG1217" i="1"/>
  <c r="AF1217" i="1"/>
  <c r="S1217" i="1"/>
  <c r="I1217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I1216" i="1"/>
  <c r="AG1215" i="1"/>
  <c r="AF1215" i="1"/>
  <c r="S1215" i="1"/>
  <c r="I1215" i="1"/>
  <c r="AG1214" i="1"/>
  <c r="AF1214" i="1"/>
  <c r="S1214" i="1"/>
  <c r="I1214" i="1"/>
  <c r="AG1213" i="1"/>
  <c r="AF1213" i="1"/>
  <c r="S1213" i="1"/>
  <c r="I1213" i="1"/>
  <c r="AG1212" i="1"/>
  <c r="AF1212" i="1"/>
  <c r="S1212" i="1"/>
  <c r="I1212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I1211" i="1"/>
  <c r="AG1210" i="1"/>
  <c r="AF1210" i="1"/>
  <c r="S1210" i="1"/>
  <c r="I1210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I1209" i="1"/>
  <c r="AG1208" i="1"/>
  <c r="AF1208" i="1"/>
  <c r="S1208" i="1"/>
  <c r="I1208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I1207" i="1"/>
  <c r="AG1206" i="1"/>
  <c r="AF1206" i="1"/>
  <c r="S1206" i="1"/>
  <c r="I1206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I1205" i="1"/>
  <c r="AG1204" i="1"/>
  <c r="AF1204" i="1"/>
  <c r="S1204" i="1"/>
  <c r="I1204" i="1"/>
  <c r="AG1203" i="1"/>
  <c r="AF1203" i="1"/>
  <c r="S1203" i="1"/>
  <c r="I1203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I1202" i="1"/>
  <c r="AG1201" i="1"/>
  <c r="AF1201" i="1"/>
  <c r="S1201" i="1"/>
  <c r="I1201" i="1"/>
  <c r="AG1200" i="1"/>
  <c r="AF1200" i="1"/>
  <c r="S1200" i="1"/>
  <c r="I1200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I1199" i="1"/>
  <c r="AG1198" i="1"/>
  <c r="AF1198" i="1"/>
  <c r="S1198" i="1"/>
  <c r="I1198" i="1"/>
  <c r="AG1197" i="1"/>
  <c r="AF1197" i="1"/>
  <c r="S1197" i="1"/>
  <c r="I1197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I1196" i="1"/>
  <c r="AG1195" i="1"/>
  <c r="AF1195" i="1"/>
  <c r="S1195" i="1"/>
  <c r="I1195" i="1"/>
  <c r="AG1194" i="1"/>
  <c r="AF1194" i="1"/>
  <c r="S1194" i="1"/>
  <c r="I1194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I1193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I1192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I1191" i="1"/>
  <c r="AG1190" i="1"/>
  <c r="AF1190" i="1"/>
  <c r="S1190" i="1"/>
  <c r="I1190" i="1"/>
  <c r="AG1189" i="1"/>
  <c r="AF1189" i="1"/>
  <c r="S1189" i="1"/>
  <c r="I1189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I1188" i="1"/>
  <c r="AG1187" i="1"/>
  <c r="AF1187" i="1"/>
  <c r="S1187" i="1"/>
  <c r="I1187" i="1"/>
  <c r="AG1186" i="1"/>
  <c r="AF1186" i="1"/>
  <c r="S1186" i="1"/>
  <c r="I1186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I1185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I1184" i="1"/>
  <c r="AG1183" i="1"/>
  <c r="AF1183" i="1"/>
  <c r="S1183" i="1"/>
  <c r="I1183" i="1"/>
  <c r="AG1182" i="1"/>
  <c r="AF1182" i="1"/>
  <c r="S1182" i="1"/>
  <c r="I1182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I1181" i="1"/>
  <c r="AG1180" i="1"/>
  <c r="AF1180" i="1"/>
  <c r="S1180" i="1"/>
  <c r="I1180" i="1"/>
  <c r="AG1179" i="1"/>
  <c r="AF1179" i="1"/>
  <c r="S1179" i="1"/>
  <c r="I1179" i="1"/>
  <c r="AG1178" i="1"/>
  <c r="AF1178" i="1"/>
  <c r="S1178" i="1"/>
  <c r="I1178" i="1"/>
  <c r="AG1177" i="1"/>
  <c r="AF1177" i="1"/>
  <c r="S1177" i="1"/>
  <c r="I1177" i="1"/>
  <c r="AG1176" i="1"/>
  <c r="AF1176" i="1"/>
  <c r="S1176" i="1"/>
  <c r="I1176" i="1"/>
  <c r="AG1175" i="1"/>
  <c r="AF1175" i="1"/>
  <c r="S1175" i="1"/>
  <c r="I1175" i="1"/>
  <c r="AG1174" i="1"/>
  <c r="AF1174" i="1"/>
  <c r="S1174" i="1"/>
  <c r="I1174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I1173" i="1"/>
  <c r="AG1172" i="1"/>
  <c r="AF1172" i="1"/>
  <c r="S1172" i="1"/>
  <c r="I1172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I1171" i="1"/>
  <c r="AG1170" i="1"/>
  <c r="AF1170" i="1"/>
  <c r="S1170" i="1"/>
  <c r="I1170" i="1"/>
  <c r="AG1169" i="1"/>
  <c r="AF1169" i="1"/>
  <c r="S1169" i="1"/>
  <c r="I1169" i="1"/>
  <c r="AG1168" i="1"/>
  <c r="AF1168" i="1"/>
  <c r="S1168" i="1"/>
  <c r="I1168" i="1"/>
  <c r="AG1167" i="1"/>
  <c r="AF1167" i="1"/>
  <c r="S1167" i="1"/>
  <c r="I1167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I1166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I1165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I1164" i="1"/>
  <c r="AG1163" i="1"/>
  <c r="AF1163" i="1"/>
  <c r="S1163" i="1"/>
  <c r="I1163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I1162" i="1"/>
  <c r="AG1161" i="1"/>
  <c r="AF1161" i="1"/>
  <c r="S1161" i="1"/>
  <c r="I1161" i="1"/>
  <c r="H1161" i="1"/>
  <c r="AG1160" i="1"/>
  <c r="AF1160" i="1"/>
  <c r="S1160" i="1"/>
  <c r="I1160" i="1"/>
  <c r="AG1159" i="1"/>
  <c r="AF1159" i="1"/>
  <c r="S1159" i="1"/>
  <c r="I1159" i="1"/>
  <c r="AG1158" i="1"/>
  <c r="AF1158" i="1"/>
  <c r="S1158" i="1"/>
  <c r="I1158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I1157" i="1"/>
  <c r="AG1156" i="1"/>
  <c r="AF1156" i="1"/>
  <c r="S1156" i="1"/>
  <c r="I1156" i="1"/>
  <c r="AG1155" i="1"/>
  <c r="AF1155" i="1"/>
  <c r="S1155" i="1"/>
  <c r="I1155" i="1"/>
  <c r="AG1154" i="1"/>
  <c r="AF1154" i="1"/>
  <c r="S1154" i="1"/>
  <c r="I1154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I1153" i="1"/>
  <c r="AG1152" i="1"/>
  <c r="AF1152" i="1"/>
  <c r="S1152" i="1"/>
  <c r="I1152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I1151" i="1"/>
  <c r="AG1150" i="1"/>
  <c r="AF1150" i="1"/>
  <c r="S1150" i="1"/>
  <c r="I1150" i="1"/>
  <c r="AG1149" i="1"/>
  <c r="AF1149" i="1"/>
  <c r="S1149" i="1"/>
  <c r="I1149" i="1"/>
  <c r="AG1148" i="1"/>
  <c r="AF1148" i="1"/>
  <c r="S1148" i="1"/>
  <c r="I1148" i="1"/>
  <c r="AG1147" i="1"/>
  <c r="AF1147" i="1"/>
  <c r="S1147" i="1"/>
  <c r="I1147" i="1"/>
  <c r="AG1146" i="1"/>
  <c r="AF1146" i="1"/>
  <c r="S1146" i="1"/>
  <c r="I1146" i="1"/>
  <c r="AG1145" i="1"/>
  <c r="AF1145" i="1"/>
  <c r="S1145" i="1"/>
  <c r="I1145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I1144" i="1"/>
  <c r="AG1143" i="1"/>
  <c r="AF1143" i="1"/>
  <c r="S1143" i="1"/>
  <c r="I1143" i="1"/>
  <c r="AG1142" i="1"/>
  <c r="AF1142" i="1"/>
  <c r="S1142" i="1"/>
  <c r="I1142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I1141" i="1"/>
  <c r="AG1140" i="1"/>
  <c r="AF1140" i="1"/>
  <c r="S1140" i="1"/>
  <c r="I1140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I1139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I1138" i="1"/>
  <c r="AG1137" i="1"/>
  <c r="AF1137" i="1"/>
  <c r="S1137" i="1"/>
  <c r="I1137" i="1"/>
  <c r="AG1136" i="1"/>
  <c r="AF1136" i="1"/>
  <c r="S1136" i="1"/>
  <c r="I1136" i="1"/>
  <c r="AG1135" i="1"/>
  <c r="AF1135" i="1"/>
  <c r="S1135" i="1"/>
  <c r="I1135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I1134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I1133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I1132" i="1"/>
  <c r="AG1131" i="1"/>
  <c r="AF1131" i="1"/>
  <c r="S1131" i="1"/>
  <c r="I1131" i="1"/>
  <c r="AG1130" i="1"/>
  <c r="AF1130" i="1"/>
  <c r="S1130" i="1"/>
  <c r="I1130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I1129" i="1"/>
  <c r="AG1128" i="1"/>
  <c r="AF1128" i="1"/>
  <c r="S1128" i="1"/>
  <c r="I1128" i="1"/>
  <c r="AG1127" i="1"/>
  <c r="AF1127" i="1"/>
  <c r="S1127" i="1"/>
  <c r="I1127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I1126" i="1"/>
  <c r="AG1125" i="1"/>
  <c r="AF1125" i="1"/>
  <c r="S1125" i="1"/>
  <c r="I1125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I1124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I1123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I1122" i="1"/>
  <c r="AG1121" i="1"/>
  <c r="AF1121" i="1"/>
  <c r="S1121" i="1"/>
  <c r="I1121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I1120" i="1"/>
  <c r="AG1119" i="1"/>
  <c r="AF1119" i="1"/>
  <c r="S1119" i="1"/>
  <c r="I1119" i="1"/>
  <c r="AG1118" i="1"/>
  <c r="AF1118" i="1"/>
  <c r="S1118" i="1"/>
  <c r="I1118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I1117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I1116" i="1"/>
  <c r="AG1115" i="1"/>
  <c r="AF1115" i="1"/>
  <c r="S1115" i="1"/>
  <c r="I1115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I1114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I1113" i="1"/>
  <c r="AG1112" i="1"/>
  <c r="AF1112" i="1"/>
  <c r="S1112" i="1"/>
  <c r="I1112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I1111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I1110" i="1"/>
  <c r="AG1109" i="1"/>
  <c r="AF1109" i="1"/>
  <c r="S1109" i="1"/>
  <c r="I1109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I1108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I1107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I1106" i="1"/>
  <c r="AG1105" i="1"/>
  <c r="AF1105" i="1"/>
  <c r="S1105" i="1"/>
  <c r="I1105" i="1"/>
  <c r="AG1104" i="1"/>
  <c r="AF1104" i="1"/>
  <c r="S1104" i="1"/>
  <c r="I1104" i="1"/>
  <c r="AG1103" i="1"/>
  <c r="AF1103" i="1"/>
  <c r="S1103" i="1"/>
  <c r="I1103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I1102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I1101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I1100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I1099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I1098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I1097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I1096" i="1"/>
  <c r="AG1095" i="1"/>
  <c r="AF1095" i="1"/>
  <c r="S1095" i="1"/>
  <c r="I1095" i="1"/>
  <c r="AG1094" i="1"/>
  <c r="AF1094" i="1"/>
  <c r="S1094" i="1"/>
  <c r="I1094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I1093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I1092" i="1"/>
  <c r="AG1091" i="1"/>
  <c r="AF1091" i="1"/>
  <c r="S1091" i="1"/>
  <c r="I1091" i="1"/>
  <c r="AG1090" i="1"/>
  <c r="AF1090" i="1"/>
  <c r="S1090" i="1"/>
  <c r="I1090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I1089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I1088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I1087" i="1"/>
  <c r="AG1086" i="1"/>
  <c r="AF1086" i="1"/>
  <c r="S1086" i="1"/>
  <c r="I1086" i="1"/>
  <c r="AG1085" i="1"/>
  <c r="AF1085" i="1"/>
  <c r="S1085" i="1"/>
  <c r="I1085" i="1"/>
  <c r="AG1084" i="1"/>
  <c r="AF1084" i="1"/>
  <c r="S1084" i="1"/>
  <c r="I1084" i="1"/>
  <c r="AG1083" i="1"/>
  <c r="AF1083" i="1"/>
  <c r="S1083" i="1"/>
  <c r="I1083" i="1"/>
  <c r="AG1082" i="1"/>
  <c r="AF1082" i="1"/>
  <c r="S1082" i="1"/>
  <c r="I1082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I1081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I1080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I1079" i="1"/>
  <c r="AG1078" i="1"/>
  <c r="AF1078" i="1"/>
  <c r="S1078" i="1"/>
  <c r="I1078" i="1"/>
  <c r="AG1077" i="1"/>
  <c r="AF1077" i="1"/>
  <c r="S1077" i="1"/>
  <c r="I1077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I1076" i="1"/>
  <c r="AG1075" i="1"/>
  <c r="AF1075" i="1"/>
  <c r="S1075" i="1"/>
  <c r="I1075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I1074" i="1"/>
  <c r="AG1073" i="1"/>
  <c r="AF1073" i="1"/>
  <c r="S1073" i="1"/>
  <c r="I1073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I1072" i="1"/>
  <c r="AG1071" i="1"/>
  <c r="AF1071" i="1"/>
  <c r="S1071" i="1"/>
  <c r="I1071" i="1"/>
  <c r="AG1070" i="1"/>
  <c r="AF1070" i="1"/>
  <c r="S1070" i="1"/>
  <c r="I1070" i="1"/>
  <c r="AG1069" i="1"/>
  <c r="AF1069" i="1"/>
  <c r="S1069" i="1"/>
  <c r="I1069" i="1"/>
  <c r="AG1068" i="1"/>
  <c r="AF1068" i="1"/>
  <c r="S1068" i="1"/>
  <c r="I1068" i="1"/>
  <c r="AG1067" i="1"/>
  <c r="AF1067" i="1"/>
  <c r="S1067" i="1"/>
  <c r="I1067" i="1"/>
  <c r="AG1066" i="1"/>
  <c r="AF1066" i="1"/>
  <c r="S1066" i="1"/>
  <c r="I1066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I1065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I1064" i="1"/>
  <c r="AG1063" i="1"/>
  <c r="AF1063" i="1"/>
  <c r="S1063" i="1"/>
  <c r="I1063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I1062" i="1"/>
  <c r="AG1061" i="1"/>
  <c r="AF1061" i="1"/>
  <c r="S1061" i="1"/>
  <c r="I1061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I1060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I1059" i="1"/>
  <c r="AG1058" i="1"/>
  <c r="AF1058" i="1"/>
  <c r="S1058" i="1"/>
  <c r="I1058" i="1"/>
  <c r="AG1056" i="1"/>
  <c r="AF1056" i="1"/>
  <c r="S1056" i="1"/>
  <c r="I1056" i="1"/>
  <c r="AG1055" i="1"/>
  <c r="AF1055" i="1"/>
  <c r="S1055" i="1"/>
  <c r="I1055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I1054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I1053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I1052" i="1"/>
  <c r="AG1051" i="1"/>
  <c r="AF1051" i="1"/>
  <c r="S1051" i="1"/>
  <c r="I1051" i="1"/>
  <c r="AG1050" i="1"/>
  <c r="AF1050" i="1"/>
  <c r="S1050" i="1"/>
  <c r="I1050" i="1"/>
  <c r="AG1049" i="1"/>
  <c r="AF1049" i="1"/>
  <c r="S1049" i="1"/>
  <c r="I1049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I1048" i="1"/>
  <c r="AG1047" i="1"/>
  <c r="AF1047" i="1"/>
  <c r="S1047" i="1"/>
  <c r="I1047" i="1"/>
  <c r="AG1046" i="1"/>
  <c r="AF1046" i="1"/>
  <c r="S1046" i="1"/>
  <c r="I1046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I1045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I1044" i="1"/>
  <c r="AG1043" i="1"/>
  <c r="AF1043" i="1"/>
  <c r="S1043" i="1"/>
  <c r="I1043" i="1"/>
  <c r="AG1042" i="1"/>
  <c r="AF1042" i="1"/>
  <c r="S1042" i="1"/>
  <c r="I1042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I1041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I1040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I1039" i="1"/>
  <c r="AG1038" i="1"/>
  <c r="AF1038" i="1"/>
  <c r="S1038" i="1"/>
  <c r="I1038" i="1"/>
  <c r="AG1037" i="1"/>
  <c r="AF1037" i="1"/>
  <c r="S1037" i="1"/>
  <c r="I1037" i="1"/>
  <c r="AG1036" i="1"/>
  <c r="AF1036" i="1"/>
  <c r="S1036" i="1"/>
  <c r="I1036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I1035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I1034" i="1"/>
  <c r="AG1033" i="1"/>
  <c r="AF1033" i="1"/>
  <c r="S1033" i="1"/>
  <c r="I1033" i="1"/>
  <c r="AG1032" i="1"/>
  <c r="AF1032" i="1"/>
  <c r="S1032" i="1"/>
  <c r="I1032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I1031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I1030" i="1"/>
  <c r="AG1029" i="1"/>
  <c r="AF1029" i="1"/>
  <c r="S1029" i="1"/>
  <c r="I1029" i="1"/>
  <c r="AG1028" i="1"/>
  <c r="AF1028" i="1"/>
  <c r="S1028" i="1"/>
  <c r="I1028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I1027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I1026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I1025" i="1"/>
  <c r="AG1024" i="1"/>
  <c r="AF1024" i="1"/>
  <c r="S1024" i="1"/>
  <c r="I1024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I1023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I1022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I1021" i="1"/>
  <c r="AG1020" i="1"/>
  <c r="AF1020" i="1"/>
  <c r="S1020" i="1"/>
  <c r="I1020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I1019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I1018" i="1"/>
  <c r="AG1017" i="1"/>
  <c r="AF1017" i="1"/>
  <c r="S1017" i="1"/>
  <c r="I1017" i="1"/>
  <c r="AG1016" i="1"/>
  <c r="AF1016" i="1"/>
  <c r="S1016" i="1"/>
  <c r="I1016" i="1"/>
  <c r="AG1015" i="1"/>
  <c r="AF1015" i="1"/>
  <c r="S1015" i="1"/>
  <c r="I1015" i="1"/>
  <c r="AG1014" i="1"/>
  <c r="AF1014" i="1"/>
  <c r="S1014" i="1"/>
  <c r="I1014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I1013" i="1"/>
  <c r="AG1012" i="1"/>
  <c r="AF1012" i="1"/>
  <c r="S1012" i="1"/>
  <c r="I1012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I1011" i="1"/>
  <c r="AG1010" i="1"/>
  <c r="AF1010" i="1"/>
  <c r="S1010" i="1"/>
  <c r="I1010" i="1"/>
  <c r="AG1009" i="1"/>
  <c r="AF1009" i="1"/>
  <c r="S1009" i="1"/>
  <c r="I1009" i="1"/>
  <c r="AG1008" i="1"/>
  <c r="AF1008" i="1"/>
  <c r="S1008" i="1"/>
  <c r="I1008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I1007" i="1"/>
  <c r="AG1006" i="1"/>
  <c r="AF1006" i="1"/>
  <c r="S1006" i="1"/>
  <c r="I1006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I1005" i="1"/>
  <c r="AG1004" i="1"/>
  <c r="AF1004" i="1"/>
  <c r="S1004" i="1"/>
  <c r="I1004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I1003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I1002" i="1"/>
  <c r="AG1001" i="1"/>
  <c r="AF1001" i="1"/>
  <c r="S1001" i="1"/>
  <c r="I1001" i="1"/>
  <c r="AG1000" i="1"/>
  <c r="AF1000" i="1"/>
  <c r="S1000" i="1"/>
  <c r="I1000" i="1"/>
  <c r="AG999" i="1"/>
  <c r="AF999" i="1"/>
  <c r="S999" i="1"/>
  <c r="I999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I998" i="1"/>
  <c r="AG997" i="1"/>
  <c r="AF997" i="1"/>
  <c r="S997" i="1"/>
  <c r="I997" i="1"/>
  <c r="AG996" i="1"/>
  <c r="AF996" i="1"/>
  <c r="S996" i="1"/>
  <c r="I996" i="1"/>
  <c r="AG995" i="1"/>
  <c r="AF995" i="1"/>
  <c r="S995" i="1"/>
  <c r="I995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I994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I993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I992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I991" i="1"/>
  <c r="AG990" i="1"/>
  <c r="AF990" i="1"/>
  <c r="S990" i="1"/>
  <c r="I990" i="1"/>
  <c r="AG989" i="1"/>
  <c r="AF989" i="1"/>
  <c r="S989" i="1"/>
  <c r="I989" i="1"/>
  <c r="AG988" i="1"/>
  <c r="AF988" i="1"/>
  <c r="S988" i="1"/>
  <c r="I988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I987" i="1"/>
  <c r="AG986" i="1"/>
  <c r="AF986" i="1"/>
  <c r="S986" i="1"/>
  <c r="I986" i="1"/>
  <c r="AG985" i="1"/>
  <c r="AF985" i="1"/>
  <c r="S985" i="1"/>
  <c r="I985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I984" i="1"/>
  <c r="AG983" i="1"/>
  <c r="AF983" i="1"/>
  <c r="S983" i="1"/>
  <c r="I983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I982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I981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I980" i="1"/>
  <c r="AG979" i="1"/>
  <c r="AF979" i="1"/>
  <c r="S979" i="1"/>
  <c r="I979" i="1"/>
  <c r="AG978" i="1"/>
  <c r="AF978" i="1"/>
  <c r="S978" i="1"/>
  <c r="I978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I977" i="1"/>
  <c r="AG976" i="1"/>
  <c r="AF976" i="1"/>
  <c r="S976" i="1"/>
  <c r="I976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I975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I974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I973" i="1"/>
  <c r="AG972" i="1"/>
  <c r="AF972" i="1"/>
  <c r="S972" i="1"/>
  <c r="I972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I971" i="1"/>
  <c r="AG970" i="1"/>
  <c r="AF970" i="1"/>
  <c r="S970" i="1"/>
  <c r="I970" i="1"/>
  <c r="AG969" i="1"/>
  <c r="AF969" i="1"/>
  <c r="S969" i="1"/>
  <c r="I969" i="1"/>
  <c r="AG968" i="1"/>
  <c r="AF968" i="1"/>
  <c r="S968" i="1"/>
  <c r="I968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I967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I966" i="1"/>
  <c r="AG965" i="1"/>
  <c r="AF965" i="1"/>
  <c r="S965" i="1"/>
  <c r="I965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I964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I963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I962" i="1"/>
  <c r="AG961" i="1"/>
  <c r="AF961" i="1"/>
  <c r="S961" i="1"/>
  <c r="I961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I960" i="1"/>
  <c r="AG959" i="1"/>
  <c r="AF959" i="1"/>
  <c r="S959" i="1"/>
  <c r="I959" i="1"/>
  <c r="AG958" i="1"/>
  <c r="AF958" i="1"/>
  <c r="S958" i="1"/>
  <c r="I958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I957" i="1"/>
  <c r="AG956" i="1"/>
  <c r="AF956" i="1"/>
  <c r="S956" i="1"/>
  <c r="I956" i="1"/>
  <c r="AG955" i="1"/>
  <c r="AF955" i="1"/>
  <c r="S955" i="1"/>
  <c r="I955" i="1"/>
  <c r="AG954" i="1"/>
  <c r="AF954" i="1"/>
  <c r="S954" i="1"/>
  <c r="I954" i="1"/>
  <c r="AG953" i="1"/>
  <c r="AF953" i="1"/>
  <c r="S953" i="1"/>
  <c r="I953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I952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I951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I950" i="1"/>
  <c r="AG949" i="1"/>
  <c r="AF949" i="1"/>
  <c r="S949" i="1"/>
  <c r="I949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I948" i="1"/>
  <c r="AG947" i="1"/>
  <c r="AF947" i="1"/>
  <c r="S947" i="1"/>
  <c r="I947" i="1"/>
  <c r="AG946" i="1"/>
  <c r="AF946" i="1"/>
  <c r="S946" i="1"/>
  <c r="I946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I945" i="1"/>
  <c r="AG944" i="1"/>
  <c r="AF944" i="1"/>
  <c r="S944" i="1"/>
  <c r="I944" i="1"/>
  <c r="AG943" i="1"/>
  <c r="AF943" i="1"/>
  <c r="S943" i="1"/>
  <c r="I943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I942" i="1"/>
  <c r="AG941" i="1"/>
  <c r="AF941" i="1"/>
  <c r="S941" i="1"/>
  <c r="I941" i="1"/>
  <c r="AG940" i="1"/>
  <c r="AF940" i="1"/>
  <c r="S940" i="1"/>
  <c r="I940" i="1"/>
  <c r="AG939" i="1"/>
  <c r="AF939" i="1"/>
  <c r="S939" i="1"/>
  <c r="I939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I938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I937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I936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I935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I934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I933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I932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I931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I930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I929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I928" i="1"/>
  <c r="AG927" i="1"/>
  <c r="AF927" i="1"/>
  <c r="S927" i="1"/>
  <c r="I927" i="1"/>
  <c r="AG926" i="1"/>
  <c r="AF926" i="1"/>
  <c r="S926" i="1"/>
  <c r="I926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I925" i="1"/>
  <c r="AG924" i="1"/>
  <c r="AF924" i="1"/>
  <c r="S924" i="1"/>
  <c r="I924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I923" i="1"/>
  <c r="AG922" i="1"/>
  <c r="AF922" i="1"/>
  <c r="S922" i="1"/>
  <c r="I922" i="1"/>
  <c r="AG921" i="1"/>
  <c r="AF921" i="1"/>
  <c r="S921" i="1"/>
  <c r="I921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I920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I919" i="1"/>
  <c r="AG918" i="1"/>
  <c r="AF918" i="1"/>
  <c r="S918" i="1"/>
  <c r="I918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I917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I916" i="1"/>
  <c r="AG915" i="1"/>
  <c r="AF915" i="1"/>
  <c r="S915" i="1"/>
  <c r="I915" i="1"/>
  <c r="AG914" i="1"/>
  <c r="AF914" i="1"/>
  <c r="S914" i="1"/>
  <c r="I914" i="1"/>
  <c r="AG913" i="1"/>
  <c r="AF913" i="1"/>
  <c r="S913" i="1"/>
  <c r="I913" i="1"/>
  <c r="AG912" i="1"/>
  <c r="AF912" i="1"/>
  <c r="S912" i="1"/>
  <c r="I912" i="1"/>
  <c r="AG911" i="1"/>
  <c r="AF911" i="1"/>
  <c r="S911" i="1"/>
  <c r="I911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I910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I909" i="1"/>
  <c r="AG908" i="1"/>
  <c r="AF908" i="1"/>
  <c r="S908" i="1"/>
  <c r="I908" i="1"/>
  <c r="AG907" i="1"/>
  <c r="AF907" i="1"/>
  <c r="S907" i="1"/>
  <c r="I907" i="1"/>
  <c r="AG906" i="1"/>
  <c r="AF906" i="1"/>
  <c r="S906" i="1"/>
  <c r="I906" i="1"/>
  <c r="AG905" i="1"/>
  <c r="AF905" i="1"/>
  <c r="S905" i="1"/>
  <c r="I905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I904" i="1"/>
  <c r="AG903" i="1"/>
  <c r="AF903" i="1"/>
  <c r="S903" i="1"/>
  <c r="I903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I902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I901" i="1"/>
  <c r="AG900" i="1"/>
  <c r="AF900" i="1"/>
  <c r="S900" i="1"/>
  <c r="I900" i="1"/>
  <c r="AG899" i="1"/>
  <c r="AF899" i="1"/>
  <c r="S899" i="1"/>
  <c r="I899" i="1"/>
  <c r="AG898" i="1"/>
  <c r="AF898" i="1"/>
  <c r="S898" i="1"/>
  <c r="I898" i="1"/>
  <c r="AG897" i="1"/>
  <c r="AF897" i="1"/>
  <c r="S897" i="1"/>
  <c r="I897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I896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I895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I894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I893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I892" i="1"/>
  <c r="AG891" i="1"/>
  <c r="AF891" i="1"/>
  <c r="S891" i="1"/>
  <c r="I891" i="1"/>
  <c r="AG890" i="1"/>
  <c r="AF890" i="1"/>
  <c r="S890" i="1"/>
  <c r="I890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I889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I888" i="1"/>
  <c r="AG887" i="1"/>
  <c r="AF887" i="1"/>
  <c r="S887" i="1"/>
  <c r="I887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I886" i="1"/>
  <c r="AG885" i="1"/>
  <c r="AF885" i="1"/>
  <c r="S885" i="1"/>
  <c r="I885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I884" i="1"/>
  <c r="AG883" i="1"/>
  <c r="AF883" i="1"/>
  <c r="S883" i="1"/>
  <c r="I883" i="1"/>
  <c r="AG882" i="1"/>
  <c r="AF882" i="1"/>
  <c r="S882" i="1"/>
  <c r="I882" i="1"/>
  <c r="AG881" i="1"/>
  <c r="AF881" i="1"/>
  <c r="S881" i="1"/>
  <c r="I881" i="1"/>
  <c r="AG880" i="1"/>
  <c r="AF880" i="1"/>
  <c r="S880" i="1"/>
  <c r="I880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I879" i="1"/>
  <c r="AG878" i="1"/>
  <c r="AF878" i="1"/>
  <c r="S878" i="1"/>
  <c r="I878" i="1"/>
  <c r="AG877" i="1"/>
  <c r="AF877" i="1"/>
  <c r="S877" i="1"/>
  <c r="I877" i="1"/>
  <c r="AG876" i="1"/>
  <c r="AF876" i="1"/>
  <c r="S876" i="1"/>
  <c r="I876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I875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I874" i="1"/>
  <c r="AG873" i="1"/>
  <c r="AF873" i="1"/>
  <c r="S873" i="1"/>
  <c r="I873" i="1"/>
  <c r="AG872" i="1"/>
  <c r="AF872" i="1"/>
  <c r="S872" i="1"/>
  <c r="I872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I871" i="1"/>
  <c r="AG870" i="1"/>
  <c r="AF870" i="1"/>
  <c r="S870" i="1"/>
  <c r="I870" i="1"/>
  <c r="AG869" i="1"/>
  <c r="AF869" i="1"/>
  <c r="S869" i="1"/>
  <c r="I869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I868" i="1"/>
  <c r="AG867" i="1"/>
  <c r="AF867" i="1"/>
  <c r="S867" i="1"/>
  <c r="I867" i="1"/>
  <c r="AG866" i="1"/>
  <c r="AF866" i="1"/>
  <c r="S866" i="1"/>
  <c r="I866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I865" i="1"/>
  <c r="AG864" i="1"/>
  <c r="AF864" i="1"/>
  <c r="S864" i="1"/>
  <c r="I864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I863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I862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I861" i="1"/>
  <c r="AG860" i="1"/>
  <c r="AF860" i="1"/>
  <c r="S860" i="1"/>
  <c r="I860" i="1"/>
  <c r="AG859" i="1"/>
  <c r="AF859" i="1"/>
  <c r="S859" i="1"/>
  <c r="I859" i="1"/>
  <c r="AG858" i="1"/>
  <c r="AF858" i="1"/>
  <c r="S858" i="1"/>
  <c r="I858" i="1"/>
  <c r="AG857" i="1"/>
  <c r="AF857" i="1"/>
  <c r="S857" i="1"/>
  <c r="I857" i="1"/>
  <c r="AG856" i="1"/>
  <c r="AF856" i="1"/>
  <c r="S856" i="1"/>
  <c r="I856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I855" i="1"/>
  <c r="AG854" i="1"/>
  <c r="AF854" i="1"/>
  <c r="S854" i="1"/>
  <c r="I854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I853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I852" i="1"/>
  <c r="AG851" i="1"/>
  <c r="AF851" i="1"/>
  <c r="S851" i="1"/>
  <c r="I851" i="1"/>
  <c r="AG850" i="1"/>
  <c r="AF850" i="1"/>
  <c r="S850" i="1"/>
  <c r="I850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I849" i="1"/>
  <c r="AG848" i="1"/>
  <c r="AF848" i="1"/>
  <c r="S848" i="1"/>
  <c r="I848" i="1"/>
  <c r="AG847" i="1"/>
  <c r="AF847" i="1"/>
  <c r="S847" i="1"/>
  <c r="I847" i="1"/>
  <c r="AG846" i="1"/>
  <c r="AF846" i="1"/>
  <c r="S846" i="1"/>
  <c r="I846" i="1"/>
  <c r="AG845" i="1"/>
  <c r="AF845" i="1"/>
  <c r="S845" i="1"/>
  <c r="I845" i="1"/>
  <c r="AG844" i="1"/>
  <c r="AF844" i="1"/>
  <c r="S844" i="1"/>
  <c r="I844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I843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I842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I841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I840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I839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I838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I837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I836" i="1"/>
  <c r="AG835" i="1"/>
  <c r="AF835" i="1"/>
  <c r="S835" i="1"/>
  <c r="I835" i="1"/>
  <c r="AG834" i="1"/>
  <c r="AF834" i="1"/>
  <c r="S834" i="1"/>
  <c r="I834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I833" i="1"/>
  <c r="AG832" i="1"/>
  <c r="AF832" i="1"/>
  <c r="S832" i="1"/>
  <c r="I832" i="1"/>
  <c r="AG831" i="1"/>
  <c r="AF831" i="1"/>
  <c r="S831" i="1"/>
  <c r="I831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I830" i="1"/>
  <c r="AG829" i="1"/>
  <c r="AF829" i="1"/>
  <c r="S829" i="1"/>
  <c r="I829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I828" i="1"/>
  <c r="AG827" i="1"/>
  <c r="AF827" i="1"/>
  <c r="S827" i="1"/>
  <c r="I827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I826" i="1"/>
  <c r="AG825" i="1"/>
  <c r="AF825" i="1"/>
  <c r="S825" i="1"/>
  <c r="I825" i="1"/>
  <c r="AG824" i="1"/>
  <c r="AF824" i="1"/>
  <c r="S824" i="1"/>
  <c r="I824" i="1"/>
  <c r="AG823" i="1"/>
  <c r="AF823" i="1"/>
  <c r="S823" i="1"/>
  <c r="I823" i="1"/>
  <c r="AG822" i="1"/>
  <c r="AF822" i="1"/>
  <c r="S822" i="1"/>
  <c r="I822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I821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I820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I819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I818" i="1"/>
  <c r="AG817" i="1"/>
  <c r="AF817" i="1"/>
  <c r="S817" i="1"/>
  <c r="I817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I816" i="1"/>
  <c r="AG815" i="1"/>
  <c r="AF815" i="1"/>
  <c r="S815" i="1"/>
  <c r="I815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I814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I813" i="1"/>
  <c r="AG812" i="1"/>
  <c r="AF812" i="1"/>
  <c r="S812" i="1"/>
  <c r="I812" i="1"/>
  <c r="AG811" i="1"/>
  <c r="AF811" i="1"/>
  <c r="S811" i="1"/>
  <c r="I811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I810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I809" i="1"/>
  <c r="AG808" i="1"/>
  <c r="AF808" i="1"/>
  <c r="S808" i="1"/>
  <c r="I808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I807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I806" i="1"/>
  <c r="AG805" i="1"/>
  <c r="AF805" i="1"/>
  <c r="S805" i="1"/>
  <c r="I805" i="1"/>
  <c r="AG804" i="1"/>
  <c r="AF804" i="1"/>
  <c r="S804" i="1"/>
  <c r="I804" i="1"/>
  <c r="AG803" i="1"/>
  <c r="AF803" i="1"/>
  <c r="S803" i="1"/>
  <c r="I803" i="1"/>
  <c r="AG802" i="1"/>
  <c r="AF802" i="1"/>
  <c r="S802" i="1"/>
  <c r="I802" i="1"/>
  <c r="AG801" i="1"/>
  <c r="AF801" i="1"/>
  <c r="S801" i="1"/>
  <c r="I801" i="1"/>
  <c r="AG800" i="1"/>
  <c r="AF800" i="1"/>
  <c r="S800" i="1"/>
  <c r="I800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I799" i="1"/>
  <c r="AG798" i="1"/>
  <c r="AF798" i="1"/>
  <c r="S798" i="1"/>
  <c r="I798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I797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I796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I795" i="1"/>
  <c r="AG794" i="1"/>
  <c r="AF794" i="1"/>
  <c r="S794" i="1"/>
  <c r="I794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I793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I792" i="1"/>
  <c r="AG791" i="1"/>
  <c r="AF791" i="1"/>
  <c r="S791" i="1"/>
  <c r="I791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I790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I788" i="1"/>
  <c r="AG787" i="1"/>
  <c r="AF787" i="1"/>
  <c r="S787" i="1"/>
  <c r="I787" i="1"/>
  <c r="AG786" i="1"/>
  <c r="AF786" i="1"/>
  <c r="S786" i="1"/>
  <c r="I786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I785" i="1"/>
  <c r="AG784" i="1"/>
  <c r="AF784" i="1"/>
  <c r="S784" i="1"/>
  <c r="I784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I783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I782" i="1"/>
  <c r="AG781" i="1"/>
  <c r="AF781" i="1"/>
  <c r="S781" i="1"/>
  <c r="AG780" i="1"/>
  <c r="AF780" i="1"/>
  <c r="S780" i="1"/>
  <c r="I780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AG778" i="1"/>
  <c r="AF778" i="1"/>
  <c r="S778" i="1"/>
  <c r="I778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I777" i="1"/>
  <c r="AG776" i="1"/>
  <c r="AF776" i="1"/>
  <c r="S776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I775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I774" i="1"/>
  <c r="AG773" i="1"/>
  <c r="AF773" i="1"/>
  <c r="S773" i="1"/>
  <c r="I773" i="1"/>
  <c r="AG772" i="1"/>
  <c r="AF772" i="1"/>
  <c r="S772" i="1"/>
  <c r="I772" i="1"/>
  <c r="AG771" i="1"/>
  <c r="AF771" i="1"/>
  <c r="S771" i="1"/>
  <c r="I771" i="1"/>
  <c r="AG770" i="1"/>
  <c r="AF770" i="1"/>
  <c r="S770" i="1"/>
  <c r="I770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I769" i="1"/>
  <c r="AG768" i="1"/>
  <c r="AF768" i="1"/>
  <c r="S768" i="1"/>
  <c r="I768" i="1"/>
  <c r="AG767" i="1"/>
  <c r="AF767" i="1"/>
  <c r="S767" i="1"/>
  <c r="I767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I766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I765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I764" i="1"/>
  <c r="AG763" i="1"/>
  <c r="AF763" i="1"/>
  <c r="S763" i="1"/>
  <c r="I763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I762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I761" i="1"/>
  <c r="AG760" i="1"/>
  <c r="AF760" i="1"/>
  <c r="S760" i="1"/>
  <c r="I760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I759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I758" i="1"/>
  <c r="AG757" i="1"/>
  <c r="AF757" i="1"/>
  <c r="S757" i="1"/>
  <c r="I757" i="1"/>
  <c r="AG756" i="1"/>
  <c r="AF756" i="1"/>
  <c r="S756" i="1"/>
  <c r="I756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I755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I754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I753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I752" i="1"/>
  <c r="AG751" i="1"/>
  <c r="AF751" i="1"/>
  <c r="S751" i="1"/>
  <c r="I751" i="1"/>
  <c r="AG750" i="1"/>
  <c r="AF750" i="1"/>
  <c r="S750" i="1"/>
  <c r="I750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I749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I748" i="1"/>
  <c r="AG747" i="1"/>
  <c r="AF747" i="1"/>
  <c r="S747" i="1"/>
  <c r="I747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I746" i="1"/>
  <c r="AG745" i="1"/>
  <c r="AF745" i="1"/>
  <c r="S745" i="1"/>
  <c r="I745" i="1"/>
  <c r="AG744" i="1"/>
  <c r="AF744" i="1"/>
  <c r="S744" i="1"/>
  <c r="I744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I743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I742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I741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I740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I739" i="1"/>
  <c r="AG738" i="1"/>
  <c r="AF738" i="1"/>
  <c r="S738" i="1"/>
  <c r="I738" i="1"/>
  <c r="AG737" i="1"/>
  <c r="AF737" i="1"/>
  <c r="S737" i="1"/>
  <c r="I737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I736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I735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I734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I733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I732" i="1"/>
  <c r="AG731" i="1"/>
  <c r="AF731" i="1"/>
  <c r="S731" i="1"/>
  <c r="I731" i="1"/>
  <c r="AG730" i="1"/>
  <c r="AF730" i="1"/>
  <c r="S730" i="1"/>
  <c r="I730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I729" i="1"/>
  <c r="AG728" i="1"/>
  <c r="AF728" i="1"/>
  <c r="S728" i="1"/>
  <c r="I728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I727" i="1"/>
  <c r="AG726" i="1"/>
  <c r="AF726" i="1"/>
  <c r="S726" i="1"/>
  <c r="I726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I725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I724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I723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I722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I721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I720" i="1"/>
  <c r="AG719" i="1"/>
  <c r="AF719" i="1"/>
  <c r="S719" i="1"/>
  <c r="I719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I718" i="1"/>
  <c r="AG717" i="1"/>
  <c r="AF717" i="1"/>
  <c r="S717" i="1"/>
  <c r="I717" i="1"/>
  <c r="AG716" i="1"/>
  <c r="AF716" i="1"/>
  <c r="S716" i="1"/>
  <c r="I716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I715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I714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I713" i="1"/>
  <c r="AG712" i="1"/>
  <c r="AF712" i="1"/>
  <c r="S712" i="1"/>
  <c r="I712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I711" i="1"/>
  <c r="AG710" i="1"/>
  <c r="AF710" i="1"/>
  <c r="S710" i="1"/>
  <c r="I710" i="1"/>
  <c r="AG709" i="1"/>
  <c r="AF709" i="1"/>
  <c r="S709" i="1"/>
  <c r="I709" i="1"/>
  <c r="AG708" i="1"/>
  <c r="AF708" i="1"/>
  <c r="S708" i="1"/>
  <c r="I708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I707" i="1"/>
  <c r="AG706" i="1"/>
  <c r="AF706" i="1"/>
  <c r="S706" i="1"/>
  <c r="I706" i="1"/>
  <c r="AG705" i="1"/>
  <c r="AF705" i="1"/>
  <c r="S705" i="1"/>
  <c r="I705" i="1"/>
  <c r="AG704" i="1"/>
  <c r="AF704" i="1"/>
  <c r="S704" i="1"/>
  <c r="I704" i="1"/>
  <c r="AG703" i="1"/>
  <c r="AF703" i="1"/>
  <c r="S703" i="1"/>
  <c r="I703" i="1"/>
  <c r="AG702" i="1"/>
  <c r="AF702" i="1"/>
  <c r="S702" i="1"/>
  <c r="I702" i="1"/>
  <c r="AG701" i="1"/>
  <c r="AF701" i="1"/>
  <c r="S701" i="1"/>
  <c r="I701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I700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I699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I697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I696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I695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I694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I693" i="1"/>
  <c r="AG692" i="1"/>
  <c r="AF692" i="1"/>
  <c r="S692" i="1"/>
  <c r="I692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I691" i="1"/>
  <c r="AG690" i="1"/>
  <c r="AF690" i="1"/>
  <c r="S690" i="1"/>
  <c r="I690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I689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I688" i="1"/>
  <c r="AG687" i="1"/>
  <c r="AF687" i="1"/>
  <c r="S687" i="1"/>
  <c r="I687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I686" i="1"/>
  <c r="AG685" i="1"/>
  <c r="AF685" i="1"/>
  <c r="S685" i="1"/>
  <c r="I685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I684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I683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I682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I681" i="1"/>
  <c r="AG680" i="1"/>
  <c r="AF680" i="1"/>
  <c r="S680" i="1"/>
  <c r="I680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I679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I678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I677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I676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I675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I674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I673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I672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I671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I670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I669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I668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I667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I666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I665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I664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I663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I662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I661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I660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I659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I658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I657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I656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I655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I654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I653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I652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I651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I650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I649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I648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I647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I646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I645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I644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I643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I642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I641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I640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I639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I638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I637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I636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I635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I634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I633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I632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I631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I630" i="1"/>
  <c r="H630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I629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I628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I627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I626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I625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I624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I623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I622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I621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I620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I619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I618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I617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I616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I615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I614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I613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I612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I611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I610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I609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I608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I607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I606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I605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I604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I603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I602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I601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I600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I599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I598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I597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I596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I595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I594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I593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I591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I590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I589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I588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I587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I586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I585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I584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I583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I582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I581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I580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I579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I578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I577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I576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I575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I574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I573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I572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I571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I570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I569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I568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I567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I566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I565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I564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I563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I562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I561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I560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I559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I558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I557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I556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I555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I554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I553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I552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I551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I550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I549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I548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I547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I546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I545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I544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I543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I542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I541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I540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I539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I538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I537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I536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I535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I534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I533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I532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I531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I530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I529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I528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I527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I526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I525" i="1"/>
  <c r="H525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I524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I523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I522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I521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I520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I519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I518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I517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I516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I515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I514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I513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I512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I511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I510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I509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I508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I507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I506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I505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I504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I503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I502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I501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I500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I499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I498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I497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I496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I495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I494" i="1"/>
  <c r="H494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I493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I492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I491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I490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I489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I488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I487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I486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I485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I484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I483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I482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I481" i="1"/>
  <c r="H481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I480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I479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I478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I477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I476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I475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I474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I473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I472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I471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I470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I469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I468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I467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I466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I465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I464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I463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I462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I461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I460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I459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I458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I457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I456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I455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I454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I453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I452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I451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I450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I449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I448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I447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I446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I445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I444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I443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I442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I441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I440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I439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I438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I437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I436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I435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I434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I433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I432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I431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I430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I429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I428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I427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I426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I425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I424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I423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I422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I421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I420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I419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I418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I417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I416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I415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I414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I413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I412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I411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I410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I409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I408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I407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I406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I405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I404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I403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I402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I401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I400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I399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I398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I397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I396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I395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I394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I393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I392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I391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I390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I389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I388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I387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I386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I385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I384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I383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I382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I381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I380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I379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I378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I377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I376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I375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I374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I373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I372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I371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I370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I369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I368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I367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I366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I365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I364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I363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I362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I361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I360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I359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I358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I357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I356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I355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I354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I353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I352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I351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I350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I349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I348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I347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I346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I345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I344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I343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I342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I341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I339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I338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I337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I336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I335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I334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I333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I332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I331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I330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I329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I328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I327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I326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I325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I324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I323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I322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I321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I320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I319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I318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I317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I316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I315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I314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I313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I312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I311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I310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I309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I308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I307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I306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I305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I304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I303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I302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I301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I300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I299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I298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I297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I296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I295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I294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I293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I292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I291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I290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I289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I288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I287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I286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I285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I284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I283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I282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I281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I280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I279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I278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I277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I276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I275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I274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I273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I272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I271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I270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I269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I268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I267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I266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I265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I264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I263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I262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I261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I260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I259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I258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I257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I256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I255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I254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I253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I252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I251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I250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I249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I248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I247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I246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I245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I244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I243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I242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I241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I240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I239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I238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I237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I236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I235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I234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I233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I232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I231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I230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I229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I228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I227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I226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I225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I224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I223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I222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I221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I220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I219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I218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I217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I216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I215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I214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I213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I212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I211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I210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I209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I208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I207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I206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I205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I204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I203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I202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I201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I200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I199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I198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I197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I196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I195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I194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I193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I192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I191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I190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I189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I188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I187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I186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I185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I184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I183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I181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I180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I179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I178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I177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I176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I175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I174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I173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I172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I171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I170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I169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I168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I167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I166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I165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I164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I163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I162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I161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I160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I159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I158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I157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I156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I155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I154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I153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I152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I151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I150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I149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I148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I147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I146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I145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I144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I143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I142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I141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I140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I139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I138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I137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I136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I135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I134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I133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I132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I131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I130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I129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I128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I127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I126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I125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I124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I123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I122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I121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I120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I119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I118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I117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I116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I115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I114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I113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I112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I111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I110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I109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I108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I107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I106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I105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I104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I103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I102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I101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I100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I99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I98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I97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I96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I95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I94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I93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I92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I91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I90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I89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I88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I87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I86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I85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I84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I83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I82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I81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I80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I79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I78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I77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I76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I75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I74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I73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I72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I71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I70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I69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I68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I67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I66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I65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I64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I63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I62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I61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I60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I59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I58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I57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I56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I55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I54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I53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I52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I51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I50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I49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I48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I47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I46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I45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I44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I43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I42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I41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I40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I39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I38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I37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I36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I35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I34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I33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I32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I31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I30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I29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I28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I27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I26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I25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I24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I23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I22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I21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I20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I19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I18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I17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I16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I15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I14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I13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I12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I11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I10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I9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I8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I7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I6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I5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I4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I3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I2" i="1"/>
  <c r="N1347" i="1" l="1" a="1"/>
  <c r="N1347" i="1" s="1"/>
  <c r="AE1875" i="1"/>
  <c r="AD1875" i="1"/>
  <c r="AC1875" i="1"/>
  <c r="AB1875" i="1"/>
  <c r="AA1875" i="1"/>
  <c r="Z1875" i="1"/>
  <c r="Y1875" i="1"/>
  <c r="X1875" i="1"/>
  <c r="W1875" i="1"/>
  <c r="V1875" i="1"/>
  <c r="U1875" i="1"/>
  <c r="T1875" i="1"/>
  <c r="AE1897" i="1"/>
  <c r="AD1897" i="1"/>
  <c r="AC1897" i="1"/>
  <c r="AB1897" i="1"/>
  <c r="AA1897" i="1"/>
  <c r="Z1897" i="1"/>
  <c r="Y1897" i="1"/>
  <c r="X1897" i="1"/>
  <c r="W1897" i="1"/>
  <c r="V1897" i="1"/>
  <c r="U1897" i="1"/>
  <c r="T1897" i="1"/>
  <c r="AC1874" i="1"/>
  <c r="AD1874" i="1"/>
  <c r="Y1874" i="1"/>
  <c r="AE1874" i="1"/>
  <c r="AB1874" i="1"/>
  <c r="AA1874" i="1"/>
  <c r="Z1874" i="1"/>
  <c r="X1874" i="1"/>
  <c r="W1874" i="1"/>
  <c r="V1874" i="1"/>
  <c r="U1874" i="1"/>
  <c r="T1874" i="1"/>
  <c r="AC1876" i="1"/>
  <c r="AA1876" i="1"/>
  <c r="V1876" i="1"/>
  <c r="U1876" i="1"/>
  <c r="T1876" i="1"/>
  <c r="AE1876" i="1"/>
  <c r="AD1876" i="1"/>
  <c r="AB1876" i="1"/>
  <c r="Z1876" i="1"/>
  <c r="Y1876" i="1"/>
  <c r="X1876" i="1"/>
  <c r="W1876" i="1"/>
  <c r="AE1877" i="1"/>
  <c r="AD1877" i="1"/>
  <c r="AC1877" i="1"/>
  <c r="AB1877" i="1"/>
  <c r="AA1877" i="1"/>
  <c r="Z1877" i="1"/>
  <c r="Y1877" i="1"/>
  <c r="X1877" i="1"/>
  <c r="V1877" i="1"/>
  <c r="T1877" i="1"/>
  <c r="W1877" i="1"/>
  <c r="U1877" i="1"/>
  <c r="AC1878" i="1"/>
  <c r="W1878" i="1"/>
  <c r="V1878" i="1"/>
  <c r="U1878" i="1"/>
  <c r="T1878" i="1"/>
  <c r="AE1878" i="1"/>
  <c r="AD1878" i="1"/>
  <c r="AB1878" i="1"/>
  <c r="Z1878" i="1"/>
  <c r="Y1878" i="1"/>
  <c r="AA1878" i="1"/>
  <c r="X1878" i="1"/>
  <c r="AE1907" i="1"/>
  <c r="AD1907" i="1"/>
  <c r="AC1907" i="1"/>
  <c r="AB1907" i="1"/>
  <c r="AA1907" i="1"/>
  <c r="Z1907" i="1"/>
  <c r="Y1907" i="1"/>
  <c r="X1907" i="1"/>
  <c r="W1907" i="1"/>
  <c r="V1907" i="1"/>
  <c r="U1907" i="1"/>
  <c r="T1907" i="1"/>
  <c r="AE1885" i="1"/>
  <c r="AD1885" i="1"/>
  <c r="AC1885" i="1"/>
  <c r="AB1885" i="1"/>
  <c r="AA1885" i="1"/>
  <c r="Z1885" i="1"/>
  <c r="Y1885" i="1"/>
  <c r="X1885" i="1"/>
  <c r="W1885" i="1"/>
  <c r="V1885" i="1"/>
  <c r="U1885" i="1"/>
  <c r="T1885" i="1"/>
  <c r="AC1886" i="1"/>
  <c r="AA1886" i="1"/>
  <c r="T1886" i="1"/>
  <c r="Z1886" i="1"/>
  <c r="X1886" i="1"/>
  <c r="W1886" i="1"/>
  <c r="V1886" i="1"/>
  <c r="U1886" i="1"/>
  <c r="AE1886" i="1"/>
  <c r="AD1886" i="1"/>
  <c r="AB1886" i="1"/>
  <c r="Y1886" i="1"/>
  <c r="AC1894" i="1"/>
  <c r="AE1894" i="1"/>
  <c r="AD1894" i="1"/>
  <c r="AB1894" i="1"/>
  <c r="AA1894" i="1"/>
  <c r="Z1894" i="1"/>
  <c r="Y1894" i="1"/>
  <c r="X1894" i="1"/>
  <c r="V1894" i="1"/>
  <c r="W1894" i="1"/>
  <c r="U1894" i="1"/>
  <c r="T1894" i="1"/>
  <c r="AE1889" i="1" l="1"/>
  <c r="AD1889" i="1"/>
  <c r="AC1889" i="1"/>
  <c r="AB1889" i="1"/>
  <c r="AA1889" i="1"/>
  <c r="Z1889" i="1"/>
  <c r="Y1889" i="1"/>
  <c r="T1889" i="1"/>
  <c r="U1889" i="1"/>
  <c r="V1889" i="1"/>
  <c r="X1889" i="1"/>
  <c r="W1889" i="1"/>
  <c r="AC1902" i="1"/>
  <c r="AE1902" i="1"/>
  <c r="AD1902" i="1"/>
  <c r="AB1902" i="1"/>
  <c r="AA1902" i="1"/>
  <c r="Z1902" i="1"/>
  <c r="Y1902" i="1"/>
  <c r="X1902" i="1"/>
  <c r="V1902" i="1"/>
  <c r="W1902" i="1"/>
  <c r="U1902" i="1"/>
  <c r="T1902" i="1"/>
  <c r="AE1903" i="1"/>
  <c r="AD1903" i="1"/>
  <c r="AC1903" i="1"/>
  <c r="AB1903" i="1"/>
  <c r="AA1903" i="1"/>
  <c r="Z1903" i="1"/>
  <c r="Y1903" i="1"/>
  <c r="X1903" i="1"/>
  <c r="W1903" i="1"/>
  <c r="V1903" i="1"/>
  <c r="U1903" i="1"/>
  <c r="T1903" i="1"/>
  <c r="AC1882" i="1"/>
  <c r="AE1882" i="1"/>
  <c r="AD1882" i="1"/>
  <c r="AB1882" i="1"/>
  <c r="AA1882" i="1"/>
  <c r="Z1882" i="1"/>
  <c r="Y1882" i="1"/>
  <c r="X1882" i="1"/>
  <c r="V1882" i="1"/>
  <c r="W1882" i="1"/>
  <c r="U1882" i="1"/>
  <c r="T1882" i="1"/>
  <c r="AC1898" i="1"/>
  <c r="AB1898" i="1"/>
  <c r="V1898" i="1"/>
  <c r="U1898" i="1"/>
  <c r="T1898" i="1"/>
  <c r="AE1898" i="1"/>
  <c r="AD1898" i="1"/>
  <c r="AA1898" i="1"/>
  <c r="Z1898" i="1"/>
  <c r="Y1898" i="1"/>
  <c r="X1898" i="1"/>
  <c r="W1898" i="1"/>
  <c r="AE1899" i="1"/>
  <c r="AD1899" i="1"/>
  <c r="AC1899" i="1"/>
  <c r="AB1899" i="1"/>
  <c r="AA1899" i="1"/>
  <c r="Z1899" i="1"/>
  <c r="Y1899" i="1"/>
  <c r="W1899" i="1"/>
  <c r="T1899" i="1"/>
  <c r="U1899" i="1"/>
  <c r="X1899" i="1"/>
  <c r="V1899" i="1"/>
  <c r="AE1895" i="1"/>
  <c r="AD1895" i="1"/>
  <c r="AC1895" i="1"/>
  <c r="AB1895" i="1"/>
  <c r="AA1895" i="1"/>
  <c r="Z1895" i="1"/>
  <c r="Y1895" i="1"/>
  <c r="X1895" i="1"/>
  <c r="V1895" i="1"/>
  <c r="W1895" i="1"/>
  <c r="U1895" i="1"/>
  <c r="T1895" i="1"/>
  <c r="AC1904" i="1"/>
  <c r="AE1904" i="1"/>
  <c r="Z1904" i="1"/>
  <c r="T1904" i="1"/>
  <c r="AD1904" i="1"/>
  <c r="AB1904" i="1"/>
  <c r="AA1904" i="1"/>
  <c r="Y1904" i="1"/>
  <c r="X1904" i="1"/>
  <c r="W1904" i="1"/>
  <c r="V1904" i="1"/>
  <c r="U1904" i="1"/>
  <c r="AE1887" i="1"/>
  <c r="AD1887" i="1"/>
  <c r="AC1887" i="1"/>
  <c r="AB1887" i="1"/>
  <c r="AA1887" i="1"/>
  <c r="Z1887" i="1"/>
  <c r="Y1887" i="1"/>
  <c r="X1887" i="1"/>
  <c r="V1887" i="1"/>
  <c r="W1887" i="1"/>
  <c r="U1887" i="1"/>
  <c r="T1887" i="1"/>
  <c r="AC1900" i="1"/>
  <c r="X1900" i="1"/>
  <c r="W1900" i="1"/>
  <c r="V1900" i="1"/>
  <c r="U1900" i="1"/>
  <c r="T1900" i="1"/>
  <c r="AE1900" i="1"/>
  <c r="AD1900" i="1"/>
  <c r="AB1900" i="1"/>
  <c r="Z1900" i="1"/>
  <c r="Y1900" i="1"/>
  <c r="AA1900" i="1"/>
  <c r="AE1901" i="1"/>
  <c r="AD1901" i="1"/>
  <c r="AC1901" i="1"/>
  <c r="AB1901" i="1"/>
  <c r="AA1901" i="1"/>
  <c r="Z1901" i="1"/>
  <c r="Y1901" i="1"/>
  <c r="U1901" i="1"/>
  <c r="W1901" i="1"/>
  <c r="V1901" i="1"/>
  <c r="T1901" i="1"/>
  <c r="X1901" i="1"/>
  <c r="AE1883" i="1"/>
  <c r="AD1883" i="1"/>
  <c r="AC1883" i="1"/>
  <c r="AB1883" i="1"/>
  <c r="AA1883" i="1"/>
  <c r="Z1883" i="1"/>
  <c r="Y1883" i="1"/>
  <c r="V1883" i="1"/>
  <c r="X1883" i="1"/>
  <c r="W1883" i="1"/>
  <c r="U1883" i="1"/>
  <c r="T1883" i="1"/>
  <c r="AC1906" i="1"/>
  <c r="AA1906" i="1"/>
  <c r="U1906" i="1"/>
  <c r="AE1906" i="1"/>
  <c r="AD1906" i="1"/>
  <c r="AB1906" i="1"/>
  <c r="Z1906" i="1"/>
  <c r="X1906" i="1"/>
  <c r="W1906" i="1"/>
  <c r="T1906" i="1"/>
  <c r="Y1906" i="1"/>
  <c r="V1906" i="1"/>
  <c r="AC1890" i="1"/>
  <c r="AE1890" i="1"/>
  <c r="AD1890" i="1"/>
  <c r="AB1890" i="1"/>
  <c r="AA1890" i="1"/>
  <c r="Z1890" i="1"/>
  <c r="Y1890" i="1"/>
  <c r="X1890" i="1"/>
  <c r="W1890" i="1"/>
  <c r="U1890" i="1"/>
  <c r="V1890" i="1"/>
  <c r="T1890" i="1"/>
  <c r="AE1879" i="1"/>
  <c r="AD1879" i="1"/>
  <c r="AC1879" i="1"/>
  <c r="AB1879" i="1"/>
  <c r="AA1879" i="1"/>
  <c r="Z1879" i="1"/>
  <c r="Y1879" i="1"/>
  <c r="T1879" i="1"/>
  <c r="W1879" i="1"/>
  <c r="V1879" i="1"/>
  <c r="U1879" i="1"/>
  <c r="X1879" i="1"/>
  <c r="AC1880" i="1"/>
  <c r="AE1880" i="1"/>
  <c r="AD1880" i="1"/>
  <c r="AB1880" i="1"/>
  <c r="AA1880" i="1"/>
  <c r="Z1880" i="1"/>
  <c r="Y1880" i="1"/>
  <c r="X1880" i="1"/>
  <c r="W1880" i="1"/>
  <c r="U1880" i="1"/>
  <c r="V1880" i="1"/>
  <c r="T1880" i="1"/>
  <c r="AC1888" i="1"/>
  <c r="W1888" i="1"/>
  <c r="V1888" i="1"/>
  <c r="U1888" i="1"/>
  <c r="T1888" i="1"/>
  <c r="AE1888" i="1"/>
  <c r="AD1888" i="1"/>
  <c r="AB1888" i="1"/>
  <c r="AA1888" i="1"/>
  <c r="Z1888" i="1"/>
  <c r="X1888" i="1"/>
  <c r="Y1888" i="1"/>
  <c r="AC1896" i="1"/>
  <c r="AE1896" i="1"/>
  <c r="Z1896" i="1"/>
  <c r="T1896" i="1"/>
  <c r="AD1896" i="1"/>
  <c r="AB1896" i="1"/>
  <c r="W1896" i="1"/>
  <c r="AA1896" i="1"/>
  <c r="Y1896" i="1"/>
  <c r="X1896" i="1"/>
  <c r="V1896" i="1"/>
  <c r="U1896" i="1"/>
  <c r="AC702" i="1" l="1"/>
  <c r="AD702" i="1"/>
  <c r="AB702" i="1"/>
  <c r="AA702" i="1"/>
  <c r="Y702" i="1"/>
  <c r="AE702" i="1"/>
  <c r="X702" i="1"/>
  <c r="W702" i="1"/>
  <c r="V702" i="1"/>
  <c r="U702" i="1"/>
  <c r="Z702" i="1"/>
  <c r="T702" i="1"/>
  <c r="T709" i="1"/>
  <c r="AE709" i="1"/>
  <c r="AD709" i="1"/>
  <c r="AC709" i="1"/>
  <c r="AB709" i="1"/>
  <c r="Z709" i="1"/>
  <c r="X709" i="1"/>
  <c r="W709" i="1"/>
  <c r="V709" i="1"/>
  <c r="U709" i="1"/>
  <c r="AA709" i="1"/>
  <c r="Y709" i="1"/>
  <c r="AC730" i="1"/>
  <c r="AB730" i="1"/>
  <c r="AD730" i="1"/>
  <c r="Z730" i="1"/>
  <c r="Y730" i="1"/>
  <c r="X730" i="1"/>
  <c r="W730" i="1"/>
  <c r="U730" i="1"/>
  <c r="AE730" i="1"/>
  <c r="AA730" i="1"/>
  <c r="V730" i="1"/>
  <c r="T730" i="1"/>
  <c r="AE745" i="1"/>
  <c r="AD745" i="1"/>
  <c r="AC745" i="1"/>
  <c r="AB745" i="1"/>
  <c r="AA745" i="1"/>
  <c r="Z745" i="1"/>
  <c r="X745" i="1"/>
  <c r="V745" i="1"/>
  <c r="U745" i="1"/>
  <c r="T745" i="1"/>
  <c r="Y745" i="1"/>
  <c r="W745" i="1"/>
  <c r="AC903" i="1"/>
  <c r="AE903" i="1"/>
  <c r="AD903" i="1"/>
  <c r="AB903" i="1"/>
  <c r="AA903" i="1"/>
  <c r="X903" i="1"/>
  <c r="W903" i="1"/>
  <c r="Z903" i="1"/>
  <c r="Y903" i="1"/>
  <c r="V903" i="1"/>
  <c r="U903" i="1"/>
  <c r="T903" i="1"/>
  <c r="AC710" i="1"/>
  <c r="AB710" i="1"/>
  <c r="AD710" i="1"/>
  <c r="AA710" i="1"/>
  <c r="Z710" i="1"/>
  <c r="Y710" i="1"/>
  <c r="X710" i="1"/>
  <c r="W710" i="1"/>
  <c r="V710" i="1"/>
  <c r="U710" i="1"/>
  <c r="T710" i="1"/>
  <c r="AE710" i="1"/>
  <c r="AC704" i="1"/>
  <c r="AB704" i="1"/>
  <c r="AE704" i="1"/>
  <c r="AD704" i="1"/>
  <c r="Z704" i="1"/>
  <c r="AA704" i="1"/>
  <c r="X704" i="1"/>
  <c r="U704" i="1"/>
  <c r="T704" i="1"/>
  <c r="Y704" i="1"/>
  <c r="W704" i="1"/>
  <c r="V704" i="1"/>
  <c r="W1020" i="1" l="1"/>
  <c r="V1020" i="1"/>
  <c r="U1020" i="1"/>
  <c r="T1020" i="1"/>
  <c r="AE1020" i="1"/>
  <c r="AD1020" i="1"/>
  <c r="AC1020" i="1"/>
  <c r="AB1020" i="1"/>
  <c r="AA1020" i="1"/>
  <c r="Z1020" i="1"/>
  <c r="Y1020" i="1"/>
  <c r="X1020" i="1"/>
  <c r="Y1055" i="1"/>
  <c r="W1055" i="1"/>
  <c r="V1055" i="1"/>
  <c r="U1055" i="1"/>
  <c r="T1055" i="1"/>
  <c r="AE1055" i="1"/>
  <c r="AD1055" i="1"/>
  <c r="AB1055" i="1"/>
  <c r="AA1055" i="1"/>
  <c r="Z1055" i="1"/>
  <c r="X1055" i="1"/>
  <c r="AC1055" i="1"/>
  <c r="Y1033" i="1"/>
  <c r="AB1033" i="1"/>
  <c r="AE1033" i="1"/>
  <c r="AD1033" i="1"/>
  <c r="AC1033" i="1"/>
  <c r="X1033" i="1"/>
  <c r="W1033" i="1"/>
  <c r="V1033" i="1"/>
  <c r="T1033" i="1"/>
  <c r="AA1033" i="1"/>
  <c r="Z1033" i="1"/>
  <c r="U1033" i="1"/>
  <c r="T1006" i="1"/>
  <c r="AE1006" i="1"/>
  <c r="AA1006" i="1"/>
  <c r="Z1006" i="1"/>
  <c r="Y1006" i="1"/>
  <c r="X1006" i="1"/>
  <c r="W1006" i="1"/>
  <c r="V1006" i="1"/>
  <c r="U1006" i="1"/>
  <c r="AD1006" i="1"/>
  <c r="AC1006" i="1"/>
  <c r="AB1006" i="1"/>
  <c r="Y1094" i="1"/>
  <c r="X1094" i="1"/>
  <c r="V1094" i="1"/>
  <c r="AE1094" i="1"/>
  <c r="AD1094" i="1"/>
  <c r="AC1094" i="1"/>
  <c r="AB1094" i="1"/>
  <c r="AA1094" i="1"/>
  <c r="Z1094" i="1"/>
  <c r="W1094" i="1"/>
  <c r="U1094" i="1"/>
  <c r="T1094" i="1"/>
  <c r="AE687" i="1"/>
  <c r="AC687" i="1"/>
  <c r="AB687" i="1"/>
  <c r="AA687" i="1"/>
  <c r="Z687" i="1"/>
  <c r="X687" i="1"/>
  <c r="U687" i="1"/>
  <c r="T687" i="1"/>
  <c r="W687" i="1"/>
  <c r="V687" i="1"/>
  <c r="Y687" i="1"/>
  <c r="AD687" i="1"/>
  <c r="AE1095" i="1"/>
  <c r="AD1095" i="1"/>
  <c r="AA1095" i="1"/>
  <c r="Z1095" i="1"/>
  <c r="T1095" i="1"/>
  <c r="AC1095" i="1"/>
  <c r="AB1095" i="1"/>
  <c r="Y1095" i="1"/>
  <c r="X1095" i="1"/>
  <c r="W1095" i="1"/>
  <c r="V1095" i="1"/>
  <c r="U1095" i="1"/>
  <c r="Y1156" i="1"/>
  <c r="W1156" i="1"/>
  <c r="AB1156" i="1"/>
  <c r="V1156" i="1"/>
  <c r="U1156" i="1"/>
  <c r="T1156" i="1"/>
  <c r="AE1156" i="1"/>
  <c r="AD1156" i="1"/>
  <c r="AC1156" i="1"/>
  <c r="AA1156" i="1"/>
  <c r="Z1156" i="1"/>
  <c r="X1156" i="1"/>
  <c r="Z846" i="1"/>
  <c r="Y846" i="1"/>
  <c r="X846" i="1"/>
  <c r="V846" i="1"/>
  <c r="U846" i="1"/>
  <c r="T846" i="1"/>
  <c r="AC846" i="1"/>
  <c r="AB846" i="1"/>
  <c r="AA846" i="1"/>
  <c r="W846" i="1"/>
  <c r="AD846" i="1"/>
  <c r="AE846" i="1"/>
  <c r="X1305" i="1"/>
  <c r="W1305" i="1"/>
  <c r="V1305" i="1"/>
  <c r="T1305" i="1"/>
  <c r="AD1305" i="1"/>
  <c r="AC1305" i="1"/>
  <c r="AB1305" i="1"/>
  <c r="AE1305" i="1"/>
  <c r="Y1305" i="1"/>
  <c r="Z1305" i="1"/>
  <c r="U1305" i="1"/>
  <c r="AA1305" i="1"/>
  <c r="AE812" i="1"/>
  <c r="AD812" i="1"/>
  <c r="AC812" i="1"/>
  <c r="AB812" i="1"/>
  <c r="AA812" i="1"/>
  <c r="Z812" i="1"/>
  <c r="X812" i="1"/>
  <c r="V812" i="1"/>
  <c r="U812" i="1"/>
  <c r="T812" i="1"/>
  <c r="W812" i="1"/>
  <c r="Y812" i="1"/>
  <c r="AC941" i="1"/>
  <c r="AB941" i="1"/>
  <c r="AA941" i="1"/>
  <c r="AE941" i="1"/>
  <c r="Z941" i="1"/>
  <c r="X941" i="1"/>
  <c r="W941" i="1"/>
  <c r="V941" i="1"/>
  <c r="U941" i="1"/>
  <c r="AD941" i="1"/>
  <c r="Y941" i="1"/>
  <c r="T941" i="1"/>
  <c r="AD880" i="1"/>
  <c r="AC880" i="1"/>
  <c r="AE880" i="1"/>
  <c r="AB880" i="1"/>
  <c r="AA880" i="1"/>
  <c r="Z880" i="1"/>
  <c r="X880" i="1"/>
  <c r="V880" i="1"/>
  <c r="U880" i="1"/>
  <c r="T880" i="1"/>
  <c r="Y880" i="1"/>
  <c r="W880" i="1"/>
  <c r="T1008" i="1"/>
  <c r="AC1008" i="1"/>
  <c r="AB1008" i="1"/>
  <c r="AA1008" i="1"/>
  <c r="Z1008" i="1"/>
  <c r="Y1008" i="1"/>
  <c r="X1008" i="1"/>
  <c r="W1008" i="1"/>
  <c r="V1008" i="1"/>
  <c r="U1008" i="1"/>
  <c r="AE1008" i="1"/>
  <c r="AD1008" i="1"/>
  <c r="Y1082" i="1"/>
  <c r="T1082" i="1"/>
  <c r="AE1082" i="1"/>
  <c r="X1082" i="1"/>
  <c r="AD1082" i="1"/>
  <c r="AC1082" i="1"/>
  <c r="AB1082" i="1"/>
  <c r="AA1082" i="1"/>
  <c r="Z1082" i="1"/>
  <c r="W1082" i="1"/>
  <c r="V1082" i="1"/>
  <c r="U1082" i="1"/>
  <c r="AC939" i="1"/>
  <c r="AE939" i="1"/>
  <c r="Y939" i="1"/>
  <c r="V939" i="1"/>
  <c r="U939" i="1"/>
  <c r="AD939" i="1"/>
  <c r="AB939" i="1"/>
  <c r="AA939" i="1"/>
  <c r="Z939" i="1"/>
  <c r="X939" i="1"/>
  <c r="W939" i="1"/>
  <c r="T939" i="1"/>
  <c r="X940" i="1"/>
  <c r="W940" i="1"/>
  <c r="V940" i="1"/>
  <c r="U940" i="1"/>
  <c r="T940" i="1"/>
  <c r="Z940" i="1"/>
  <c r="Y940" i="1"/>
  <c r="AB940" i="1"/>
  <c r="AA940" i="1"/>
  <c r="AE940" i="1"/>
  <c r="AD940" i="1"/>
  <c r="AC940" i="1"/>
  <c r="AD1175" i="1"/>
  <c r="AC1175" i="1"/>
  <c r="AB1175" i="1"/>
  <c r="AA1175" i="1"/>
  <c r="Z1175" i="1"/>
  <c r="Y1175" i="1"/>
  <c r="X1175" i="1"/>
  <c r="W1175" i="1"/>
  <c r="V1175" i="1"/>
  <c r="U1175" i="1"/>
  <c r="T1175" i="1"/>
  <c r="AE1175" i="1"/>
  <c r="T845" i="1"/>
  <c r="AB845" i="1"/>
  <c r="AA845" i="1"/>
  <c r="AE845" i="1"/>
  <c r="AD845" i="1"/>
  <c r="AC845" i="1"/>
  <c r="Z845" i="1"/>
  <c r="Y845" i="1"/>
  <c r="X845" i="1"/>
  <c r="W845" i="1"/>
  <c r="V845" i="1"/>
  <c r="U845" i="1"/>
  <c r="Z1306" i="1"/>
  <c r="Y1306" i="1"/>
  <c r="X1306" i="1"/>
  <c r="W1306" i="1"/>
  <c r="V1306" i="1"/>
  <c r="U1306" i="1"/>
  <c r="AE1306" i="1"/>
  <c r="AD1306" i="1"/>
  <c r="AC1306" i="1"/>
  <c r="AB1306" i="1"/>
  <c r="AA1306" i="1"/>
  <c r="T1306" i="1"/>
  <c r="AA1071" i="1"/>
  <c r="AE1071" i="1"/>
  <c r="AD1071" i="1"/>
  <c r="AC1071" i="1"/>
  <c r="AB1071" i="1"/>
  <c r="Z1071" i="1"/>
  <c r="Y1071" i="1"/>
  <c r="W1071" i="1"/>
  <c r="V1071" i="1"/>
  <c r="U1071" i="1"/>
  <c r="X1071" i="1"/>
  <c r="T1071" i="1"/>
  <c r="X1061" i="1"/>
  <c r="AB1061" i="1"/>
  <c r="AD1061" i="1"/>
  <c r="AC1061" i="1"/>
  <c r="AA1061" i="1"/>
  <c r="Y1061" i="1"/>
  <c r="W1061" i="1"/>
  <c r="AE1061" i="1"/>
  <c r="Z1061" i="1"/>
  <c r="V1061" i="1"/>
  <c r="U1061" i="1"/>
  <c r="T1061" i="1"/>
  <c r="T824" i="1"/>
  <c r="U824" i="1"/>
  <c r="AE824" i="1"/>
  <c r="AD824" i="1"/>
  <c r="AB824" i="1"/>
  <c r="Y824" i="1"/>
  <c r="X824" i="1"/>
  <c r="W824" i="1"/>
  <c r="V824" i="1"/>
  <c r="AC824" i="1"/>
  <c r="AA824" i="1"/>
  <c r="Z824" i="1"/>
  <c r="AC750" i="1"/>
  <c r="AB750" i="1"/>
  <c r="T750" i="1"/>
  <c r="AA750" i="1"/>
  <c r="Z750" i="1"/>
  <c r="Y750" i="1"/>
  <c r="X750" i="1"/>
  <c r="W750" i="1"/>
  <c r="V750" i="1"/>
  <c r="U750" i="1"/>
  <c r="AE750" i="1"/>
  <c r="AD750" i="1"/>
  <c r="AD776" i="1"/>
  <c r="AC776" i="1"/>
  <c r="AE776" i="1"/>
  <c r="Z776" i="1"/>
  <c r="Y776" i="1"/>
  <c r="X776" i="1"/>
  <c r="W776" i="1"/>
  <c r="V776" i="1"/>
  <c r="U776" i="1"/>
  <c r="T776" i="1"/>
  <c r="AB776" i="1"/>
  <c r="AA776" i="1"/>
  <c r="Y1084" i="1"/>
  <c r="U1084" i="1"/>
  <c r="AB1084" i="1"/>
  <c r="AE1084" i="1"/>
  <c r="AD1084" i="1"/>
  <c r="AC1084" i="1"/>
  <c r="Z1084" i="1"/>
  <c r="X1084" i="1"/>
  <c r="AA1084" i="1"/>
  <c r="W1084" i="1"/>
  <c r="V1084" i="1"/>
  <c r="T1084" i="1"/>
  <c r="T859" i="1"/>
  <c r="AE859" i="1"/>
  <c r="AD859" i="1"/>
  <c r="AC859" i="1"/>
  <c r="AB859" i="1"/>
  <c r="Z859" i="1"/>
  <c r="X859" i="1"/>
  <c r="W859" i="1"/>
  <c r="V859" i="1"/>
  <c r="U859" i="1"/>
  <c r="AA859" i="1"/>
  <c r="Y859" i="1"/>
  <c r="X1200" i="1"/>
  <c r="V1200" i="1"/>
  <c r="AA1200" i="1"/>
  <c r="Z1200" i="1"/>
  <c r="Y1200" i="1"/>
  <c r="W1200" i="1"/>
  <c r="U1200" i="1"/>
  <c r="T1200" i="1"/>
  <c r="AE1200" i="1"/>
  <c r="AD1200" i="1"/>
  <c r="AC1200" i="1"/>
  <c r="AB1200" i="1"/>
  <c r="U918" i="1"/>
  <c r="T918" i="1"/>
  <c r="AD918" i="1"/>
  <c r="AA918" i="1"/>
  <c r="Z918" i="1"/>
  <c r="V918" i="1"/>
  <c r="AB918" i="1"/>
  <c r="Y918" i="1"/>
  <c r="X918" i="1"/>
  <c r="W918" i="1"/>
  <c r="AE918" i="1"/>
  <c r="AC918" i="1"/>
  <c r="AC899" i="1"/>
  <c r="AE899" i="1"/>
  <c r="AD899" i="1"/>
  <c r="AB899" i="1"/>
  <c r="AA899" i="1"/>
  <c r="Z899" i="1"/>
  <c r="U899" i="1"/>
  <c r="Y899" i="1"/>
  <c r="W899" i="1"/>
  <c r="V899" i="1"/>
  <c r="X899" i="1"/>
  <c r="T899" i="1"/>
  <c r="T1004" i="1"/>
  <c r="AE1004" i="1"/>
  <c r="AD1004" i="1"/>
  <c r="X1004" i="1"/>
  <c r="W1004" i="1"/>
  <c r="V1004" i="1"/>
  <c r="U1004" i="1"/>
  <c r="AB1004" i="1"/>
  <c r="AA1004" i="1"/>
  <c r="Z1004" i="1"/>
  <c r="Y1004" i="1"/>
  <c r="AC1004" i="1"/>
  <c r="AC1083" i="1"/>
  <c r="Y1083" i="1"/>
  <c r="X1083" i="1"/>
  <c r="W1083" i="1"/>
  <c r="V1083" i="1"/>
  <c r="U1083" i="1"/>
  <c r="T1083" i="1"/>
  <c r="AE1083" i="1"/>
  <c r="AD1083" i="1"/>
  <c r="AB1083" i="1"/>
  <c r="Z1083" i="1"/>
  <c r="AA1083" i="1"/>
  <c r="AC881" i="1"/>
  <c r="X881" i="1"/>
  <c r="W881" i="1"/>
  <c r="V881" i="1"/>
  <c r="U881" i="1"/>
  <c r="T881" i="1"/>
  <c r="AD881" i="1"/>
  <c r="AB881" i="1"/>
  <c r="AE881" i="1"/>
  <c r="AA881" i="1"/>
  <c r="Z881" i="1"/>
  <c r="Y881" i="1"/>
  <c r="AC897" i="1"/>
  <c r="AD897" i="1"/>
  <c r="AB897" i="1"/>
  <c r="AA897" i="1"/>
  <c r="Z897" i="1"/>
  <c r="Y897" i="1"/>
  <c r="AE897" i="1"/>
  <c r="X897" i="1"/>
  <c r="V897" i="1"/>
  <c r="U897" i="1"/>
  <c r="T897" i="1"/>
  <c r="W897" i="1"/>
  <c r="X763" i="1"/>
  <c r="W763" i="1"/>
  <c r="V763" i="1"/>
  <c r="U763" i="1"/>
  <c r="T763" i="1"/>
  <c r="AE763" i="1"/>
  <c r="AB763" i="1"/>
  <c r="AA763" i="1"/>
  <c r="Z763" i="1"/>
  <c r="Y763" i="1"/>
  <c r="AC763" i="1"/>
  <c r="AD763" i="1"/>
  <c r="X1170" i="1"/>
  <c r="V1170" i="1"/>
  <c r="Y1170" i="1"/>
  <c r="U1170" i="1"/>
  <c r="AE1170" i="1"/>
  <c r="AD1170" i="1"/>
  <c r="AC1170" i="1"/>
  <c r="AB1170" i="1"/>
  <c r="AA1170" i="1"/>
  <c r="Z1170" i="1"/>
  <c r="W1170" i="1"/>
  <c r="T1170" i="1"/>
  <c r="X1224" i="1"/>
  <c r="V1224" i="1"/>
  <c r="AE1224" i="1"/>
  <c r="AD1224" i="1"/>
  <c r="AC1224" i="1"/>
  <c r="Y1224" i="1"/>
  <c r="AB1224" i="1"/>
  <c r="AA1224" i="1"/>
  <c r="Z1224" i="1"/>
  <c r="W1224" i="1"/>
  <c r="T1224" i="1"/>
  <c r="U1224" i="1"/>
  <c r="AE1353" i="1"/>
  <c r="AD1353" i="1"/>
  <c r="AC1353" i="1"/>
  <c r="AA1353" i="1"/>
  <c r="Y1353" i="1"/>
  <c r="Z1353" i="1"/>
  <c r="X1353" i="1"/>
  <c r="W1353" i="1"/>
  <c r="AB1353" i="1"/>
  <c r="V1353" i="1"/>
  <c r="U1353" i="1"/>
  <c r="T1353" i="1"/>
  <c r="T829" i="1"/>
  <c r="Y829" i="1"/>
  <c r="X829" i="1"/>
  <c r="AE829" i="1"/>
  <c r="AD829" i="1"/>
  <c r="AB829" i="1"/>
  <c r="Z829" i="1"/>
  <c r="W829" i="1"/>
  <c r="V829" i="1"/>
  <c r="U829" i="1"/>
  <c r="AC829" i="1"/>
  <c r="AA829" i="1"/>
  <c r="AA1073" i="1"/>
  <c r="AE1073" i="1"/>
  <c r="AD1073" i="1"/>
  <c r="AC1073" i="1"/>
  <c r="AB1073" i="1"/>
  <c r="Z1073" i="1"/>
  <c r="X1073" i="1"/>
  <c r="W1073" i="1"/>
  <c r="V1073" i="1"/>
  <c r="T1073" i="1"/>
  <c r="Y1073" i="1"/>
  <c r="U1073" i="1"/>
  <c r="T882" i="1"/>
  <c r="AE882" i="1"/>
  <c r="AD882" i="1"/>
  <c r="AC882" i="1"/>
  <c r="AA882" i="1"/>
  <c r="X882" i="1"/>
  <c r="W882" i="1"/>
  <c r="V882" i="1"/>
  <c r="U882" i="1"/>
  <c r="AB882" i="1"/>
  <c r="Z882" i="1"/>
  <c r="Y882" i="1"/>
  <c r="AC716" i="1"/>
  <c r="AB716" i="1"/>
  <c r="AE716" i="1"/>
  <c r="AD716" i="1"/>
  <c r="AA716" i="1"/>
  <c r="Z716" i="1"/>
  <c r="Y716" i="1"/>
  <c r="X716" i="1"/>
  <c r="W716" i="1"/>
  <c r="V716" i="1"/>
  <c r="U716" i="1"/>
  <c r="T716" i="1"/>
  <c r="AE1203" i="1"/>
  <c r="AC1203" i="1"/>
  <c r="AB1203" i="1"/>
  <c r="W1203" i="1"/>
  <c r="AD1203" i="1"/>
  <c r="AA1203" i="1"/>
  <c r="Z1203" i="1"/>
  <c r="Y1203" i="1"/>
  <c r="X1203" i="1"/>
  <c r="V1203" i="1"/>
  <c r="T1203" i="1"/>
  <c r="U1203" i="1"/>
  <c r="AE784" i="1"/>
  <c r="Z784" i="1"/>
  <c r="AD784" i="1"/>
  <c r="AC784" i="1"/>
  <c r="AB784" i="1"/>
  <c r="AA784" i="1"/>
  <c r="Y784" i="1"/>
  <c r="X784" i="1"/>
  <c r="W784" i="1"/>
  <c r="U784" i="1"/>
  <c r="V784" i="1"/>
  <c r="T784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AE802" i="1"/>
  <c r="AC802" i="1"/>
  <c r="AB802" i="1"/>
  <c r="AA802" i="1"/>
  <c r="Z802" i="1"/>
  <c r="Y802" i="1"/>
  <c r="X802" i="1"/>
  <c r="W802" i="1"/>
  <c r="V802" i="1"/>
  <c r="U802" i="1"/>
  <c r="T802" i="1"/>
  <c r="AD802" i="1"/>
  <c r="X1291" i="1"/>
  <c r="V1291" i="1"/>
  <c r="T1291" i="1"/>
  <c r="U1291" i="1"/>
  <c r="AB1291" i="1"/>
  <c r="AA1291" i="1"/>
  <c r="Z1291" i="1"/>
  <c r="Y1291" i="1"/>
  <c r="W1291" i="1"/>
  <c r="AD1291" i="1"/>
  <c r="AC1291" i="1"/>
  <c r="AE1291" i="1"/>
  <c r="X1032" i="1"/>
  <c r="AA1032" i="1"/>
  <c r="Z1032" i="1"/>
  <c r="Y1032" i="1"/>
  <c r="W1032" i="1"/>
  <c r="V1032" i="1"/>
  <c r="AD1032" i="1"/>
  <c r="AB1032" i="1"/>
  <c r="U1032" i="1"/>
  <c r="T1032" i="1"/>
  <c r="AE1032" i="1"/>
  <c r="AC1032" i="1"/>
  <c r="AC726" i="1"/>
  <c r="AB726" i="1"/>
  <c r="AE726" i="1"/>
  <c r="AD726" i="1"/>
  <c r="AA726" i="1"/>
  <c r="Z726" i="1"/>
  <c r="X726" i="1"/>
  <c r="V726" i="1"/>
  <c r="U726" i="1"/>
  <c r="T726" i="1"/>
  <c r="W726" i="1"/>
  <c r="Y726" i="1"/>
  <c r="T811" i="1"/>
  <c r="AE811" i="1"/>
  <c r="AC811" i="1"/>
  <c r="X811" i="1"/>
  <c r="W811" i="1"/>
  <c r="V811" i="1"/>
  <c r="U811" i="1"/>
  <c r="AB811" i="1"/>
  <c r="AA811" i="1"/>
  <c r="Z811" i="1"/>
  <c r="Y811" i="1"/>
  <c r="AD811" i="1"/>
  <c r="AA1077" i="1"/>
  <c r="U1077" i="1"/>
  <c r="T1077" i="1"/>
  <c r="AD1077" i="1"/>
  <c r="AC1077" i="1"/>
  <c r="AB1077" i="1"/>
  <c r="Y1077" i="1"/>
  <c r="X1077" i="1"/>
  <c r="AE1077" i="1"/>
  <c r="V1077" i="1"/>
  <c r="Z1077" i="1"/>
  <c r="W1077" i="1"/>
  <c r="AE773" i="1"/>
  <c r="AD773" i="1"/>
  <c r="AC773" i="1"/>
  <c r="AB773" i="1"/>
  <c r="AA773" i="1"/>
  <c r="Z773" i="1"/>
  <c r="Y773" i="1"/>
  <c r="W773" i="1"/>
  <c r="U773" i="1"/>
  <c r="T773" i="1"/>
  <c r="X773" i="1"/>
  <c r="V773" i="1"/>
  <c r="V1304" i="1"/>
  <c r="U1304" i="1"/>
  <c r="T1304" i="1"/>
  <c r="AE1304" i="1"/>
  <c r="AD1304" i="1"/>
  <c r="AC1304" i="1"/>
  <c r="AB1304" i="1"/>
  <c r="AA1304" i="1"/>
  <c r="Y1304" i="1"/>
  <c r="Z1304" i="1"/>
  <c r="X1304" i="1"/>
  <c r="W1304" i="1"/>
  <c r="T823" i="1"/>
  <c r="AE823" i="1"/>
  <c r="V823" i="1"/>
  <c r="U823" i="1"/>
  <c r="AD823" i="1"/>
  <c r="AC823" i="1"/>
  <c r="AB823" i="1"/>
  <c r="AA823" i="1"/>
  <c r="Z823" i="1"/>
  <c r="Y823" i="1"/>
  <c r="X823" i="1"/>
  <c r="W823" i="1"/>
  <c r="T803" i="1"/>
  <c r="AE803" i="1"/>
  <c r="AD803" i="1"/>
  <c r="AC803" i="1"/>
  <c r="AA803" i="1"/>
  <c r="AB803" i="1"/>
  <c r="Z803" i="1"/>
  <c r="Y803" i="1"/>
  <c r="X803" i="1"/>
  <c r="V803" i="1"/>
  <c r="W803" i="1"/>
  <c r="U803" i="1"/>
  <c r="AC712" i="1"/>
  <c r="AB712" i="1"/>
  <c r="AE712" i="1"/>
  <c r="AD712" i="1"/>
  <c r="AA712" i="1"/>
  <c r="Z712" i="1"/>
  <c r="Y712" i="1"/>
  <c r="X712" i="1"/>
  <c r="W712" i="1"/>
  <c r="V712" i="1"/>
  <c r="U712" i="1"/>
  <c r="T712" i="1"/>
  <c r="AA787" i="1"/>
  <c r="Z787" i="1"/>
  <c r="Y787" i="1"/>
  <c r="W787" i="1"/>
  <c r="AE787" i="1"/>
  <c r="AD787" i="1"/>
  <c r="AC787" i="1"/>
  <c r="AB787" i="1"/>
  <c r="X787" i="1"/>
  <c r="V787" i="1"/>
  <c r="U787" i="1"/>
  <c r="T787" i="1"/>
  <c r="V926" i="1"/>
  <c r="U926" i="1"/>
  <c r="T926" i="1"/>
  <c r="AE926" i="1"/>
  <c r="AD926" i="1"/>
  <c r="AC926" i="1"/>
  <c r="AB926" i="1"/>
  <c r="AA926" i="1"/>
  <c r="Z926" i="1"/>
  <c r="X926" i="1"/>
  <c r="Y926" i="1"/>
  <c r="W926" i="1"/>
  <c r="Y1130" i="1"/>
  <c r="W1130" i="1"/>
  <c r="AD1130" i="1"/>
  <c r="V1130" i="1"/>
  <c r="AB1130" i="1"/>
  <c r="AA1130" i="1"/>
  <c r="U1130" i="1"/>
  <c r="T1130" i="1"/>
  <c r="AC1130" i="1"/>
  <c r="Z1130" i="1"/>
  <c r="X1130" i="1"/>
  <c r="AE1130" i="1"/>
  <c r="AC768" i="1"/>
  <c r="AB768" i="1"/>
  <c r="Z768" i="1"/>
  <c r="Y768" i="1"/>
  <c r="X768" i="1"/>
  <c r="V768" i="1"/>
  <c r="AE768" i="1"/>
  <c r="AD768" i="1"/>
  <c r="W768" i="1"/>
  <c r="T768" i="1"/>
  <c r="AA768" i="1"/>
  <c r="U768" i="1"/>
  <c r="AB680" i="1"/>
  <c r="Y680" i="1"/>
  <c r="X680" i="1"/>
  <c r="W680" i="1"/>
  <c r="U680" i="1"/>
  <c r="AE680" i="1"/>
  <c r="AD680" i="1"/>
  <c r="AC680" i="1"/>
  <c r="AA680" i="1"/>
  <c r="Z680" i="1"/>
  <c r="V680" i="1"/>
  <c r="T680" i="1"/>
  <c r="AE808" i="1"/>
  <c r="AD808" i="1"/>
  <c r="AC808" i="1"/>
  <c r="AB808" i="1"/>
  <c r="AA808" i="1"/>
  <c r="Z808" i="1"/>
  <c r="Y808" i="1"/>
  <c r="X808" i="1"/>
  <c r="W808" i="1"/>
  <c r="U808" i="1"/>
  <c r="V808" i="1"/>
  <c r="T808" i="1"/>
  <c r="X1271" i="1"/>
  <c r="V1271" i="1"/>
  <c r="AE1271" i="1"/>
  <c r="AD1271" i="1"/>
  <c r="AC1271" i="1"/>
  <c r="Y1271" i="1"/>
  <c r="U1271" i="1"/>
  <c r="AB1271" i="1"/>
  <c r="AA1271" i="1"/>
  <c r="Z1271" i="1"/>
  <c r="W1271" i="1"/>
  <c r="T1271" i="1"/>
  <c r="X1208" i="1"/>
  <c r="V1208" i="1"/>
  <c r="AE1208" i="1"/>
  <c r="AD1208" i="1"/>
  <c r="Y1208" i="1"/>
  <c r="AC1208" i="1"/>
  <c r="AB1208" i="1"/>
  <c r="AA1208" i="1"/>
  <c r="Z1208" i="1"/>
  <c r="U1208" i="1"/>
  <c r="T1208" i="1"/>
  <c r="W1208" i="1"/>
  <c r="X1206" i="1" l="1"/>
  <c r="V1206" i="1"/>
  <c r="AE1206" i="1"/>
  <c r="AD1206" i="1"/>
  <c r="AC1206" i="1"/>
  <c r="U1206" i="1"/>
  <c r="AB1206" i="1"/>
  <c r="AA1206" i="1"/>
  <c r="Z1206" i="1"/>
  <c r="Y1206" i="1"/>
  <c r="W1206" i="1"/>
  <c r="T1206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V1402" i="1"/>
  <c r="U1402" i="1"/>
  <c r="AE1402" i="1"/>
  <c r="AD1402" i="1"/>
  <c r="AB1402" i="1"/>
  <c r="AC1402" i="1"/>
  <c r="AA1402" i="1"/>
  <c r="Z1402" i="1"/>
  <c r="Y1402" i="1"/>
  <c r="X1402" i="1"/>
  <c r="W1402" i="1"/>
  <c r="T1402" i="1"/>
  <c r="U1414" i="1"/>
  <c r="W1414" i="1"/>
  <c r="V1414" i="1"/>
  <c r="AA1414" i="1"/>
  <c r="AE1414" i="1"/>
  <c r="AD1414" i="1"/>
  <c r="AC1414" i="1"/>
  <c r="Z1414" i="1"/>
  <c r="Y1414" i="1"/>
  <c r="X1414" i="1"/>
  <c r="AB1414" i="1"/>
  <c r="T1414" i="1"/>
  <c r="Y1137" i="1"/>
  <c r="X1137" i="1"/>
  <c r="W1137" i="1"/>
  <c r="V1137" i="1"/>
  <c r="U1137" i="1"/>
  <c r="T1137" i="1"/>
  <c r="AB1137" i="1"/>
  <c r="AA1137" i="1"/>
  <c r="Z1137" i="1"/>
  <c r="AE1137" i="1"/>
  <c r="AD1137" i="1"/>
  <c r="AC1137" i="1"/>
  <c r="X1178" i="1"/>
  <c r="V1178" i="1"/>
  <c r="AE1178" i="1"/>
  <c r="Y1178" i="1"/>
  <c r="AD1178" i="1"/>
  <c r="AC1178" i="1"/>
  <c r="AB1178" i="1"/>
  <c r="AA1178" i="1"/>
  <c r="W1178" i="1"/>
  <c r="U1178" i="1"/>
  <c r="T1178" i="1"/>
  <c r="Z1178" i="1"/>
  <c r="AE1369" i="1"/>
  <c r="AD1369" i="1"/>
  <c r="AC1369" i="1"/>
  <c r="AB1369" i="1"/>
  <c r="AA1369" i="1"/>
  <c r="Z1369" i="1"/>
  <c r="Y1369" i="1"/>
  <c r="V1369" i="1"/>
  <c r="U1369" i="1"/>
  <c r="X1369" i="1"/>
  <c r="W1369" i="1"/>
  <c r="T1369" i="1"/>
  <c r="AE1551" i="1"/>
  <c r="AB1551" i="1"/>
  <c r="AA1551" i="1"/>
  <c r="Z1551" i="1"/>
  <c r="Y1551" i="1"/>
  <c r="X1551" i="1"/>
  <c r="W1551" i="1"/>
  <c r="AC1551" i="1"/>
  <c r="V1551" i="1"/>
  <c r="U1551" i="1"/>
  <c r="T1551" i="1"/>
  <c r="AD1551" i="1"/>
  <c r="W1587" i="1"/>
  <c r="V1587" i="1"/>
  <c r="U1587" i="1"/>
  <c r="T1587" i="1"/>
  <c r="AB1587" i="1"/>
  <c r="AA1587" i="1"/>
  <c r="Z1587" i="1"/>
  <c r="Y1587" i="1"/>
  <c r="X1587" i="1"/>
  <c r="AE1587" i="1"/>
  <c r="AD1587" i="1"/>
  <c r="AC1587" i="1"/>
  <c r="X1238" i="1"/>
  <c r="V1238" i="1"/>
  <c r="AE1238" i="1"/>
  <c r="AD1238" i="1"/>
  <c r="AC1238" i="1"/>
  <c r="AB1238" i="1"/>
  <c r="AA1238" i="1"/>
  <c r="Z1238" i="1"/>
  <c r="Y1238" i="1"/>
  <c r="U1238" i="1"/>
  <c r="W1238" i="1"/>
  <c r="T1238" i="1"/>
  <c r="AD778" i="1"/>
  <c r="AC778" i="1"/>
  <c r="AE778" i="1"/>
  <c r="AB778" i="1"/>
  <c r="AA778" i="1"/>
  <c r="Z778" i="1"/>
  <c r="Y778" i="1"/>
  <c r="X778" i="1"/>
  <c r="W778" i="1"/>
  <c r="V778" i="1"/>
  <c r="U778" i="1"/>
  <c r="T778" i="1"/>
  <c r="AE1729" i="1"/>
  <c r="AC1729" i="1"/>
  <c r="AB1729" i="1"/>
  <c r="AA1729" i="1"/>
  <c r="Z1729" i="1"/>
  <c r="V1729" i="1"/>
  <c r="U1729" i="1"/>
  <c r="T1729" i="1"/>
  <c r="AD1729" i="1"/>
  <c r="Y1729" i="1"/>
  <c r="X1729" i="1"/>
  <c r="W1729" i="1"/>
  <c r="Y1009" i="1"/>
  <c r="AE1009" i="1"/>
  <c r="AD1009" i="1"/>
  <c r="AC1009" i="1"/>
  <c r="AB1009" i="1"/>
  <c r="AA1009" i="1"/>
  <c r="Z1009" i="1"/>
  <c r="X1009" i="1"/>
  <c r="U1009" i="1"/>
  <c r="T1009" i="1"/>
  <c r="V1009" i="1"/>
  <c r="W1009" i="1"/>
  <c r="Y781" i="1"/>
  <c r="X781" i="1"/>
  <c r="W781" i="1"/>
  <c r="U781" i="1"/>
  <c r="AD781" i="1"/>
  <c r="AA781" i="1"/>
  <c r="Z781" i="1"/>
  <c r="V781" i="1"/>
  <c r="T781" i="1"/>
  <c r="AE781" i="1"/>
  <c r="AC781" i="1"/>
  <c r="AB781" i="1"/>
  <c r="AE731" i="1"/>
  <c r="AD731" i="1"/>
  <c r="AB731" i="1"/>
  <c r="AC731" i="1"/>
  <c r="AA731" i="1"/>
  <c r="Z731" i="1"/>
  <c r="Y731" i="1"/>
  <c r="X731" i="1"/>
  <c r="W731" i="1"/>
  <c r="V731" i="1"/>
  <c r="U731" i="1"/>
  <c r="T731" i="1"/>
  <c r="Z1541" i="1"/>
  <c r="Y1541" i="1"/>
  <c r="X1541" i="1"/>
  <c r="W1541" i="1"/>
  <c r="V1541" i="1"/>
  <c r="AA1541" i="1"/>
  <c r="U1541" i="1"/>
  <c r="T1541" i="1"/>
  <c r="AD1541" i="1"/>
  <c r="AC1541" i="1"/>
  <c r="AB1541" i="1"/>
  <c r="AE1541" i="1"/>
  <c r="T831" i="1"/>
  <c r="Z831" i="1"/>
  <c r="Y831" i="1"/>
  <c r="AE831" i="1"/>
  <c r="AC831" i="1"/>
  <c r="AB831" i="1"/>
  <c r="AA831" i="1"/>
  <c r="X831" i="1"/>
  <c r="V831" i="1"/>
  <c r="AD831" i="1"/>
  <c r="W831" i="1"/>
  <c r="U831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AE1785" i="1"/>
  <c r="AD1785" i="1"/>
  <c r="AC1785" i="1"/>
  <c r="AB1785" i="1"/>
  <c r="AA1785" i="1"/>
  <c r="X1785" i="1"/>
  <c r="W1785" i="1"/>
  <c r="V1785" i="1"/>
  <c r="U1785" i="1"/>
  <c r="T1785" i="1"/>
  <c r="Z1785" i="1"/>
  <c r="Y1785" i="1"/>
  <c r="AC756" i="1"/>
  <c r="AB756" i="1"/>
  <c r="V756" i="1"/>
  <c r="U756" i="1"/>
  <c r="T756" i="1"/>
  <c r="AE756" i="1"/>
  <c r="AD756" i="1"/>
  <c r="AA756" i="1"/>
  <c r="Z756" i="1"/>
  <c r="Y756" i="1"/>
  <c r="X756" i="1"/>
  <c r="W756" i="1"/>
  <c r="Y1118" i="1"/>
  <c r="AB1118" i="1"/>
  <c r="Z1118" i="1"/>
  <c r="AC1118" i="1"/>
  <c r="AA1118" i="1"/>
  <c r="X1118" i="1"/>
  <c r="W1118" i="1"/>
  <c r="V1118" i="1"/>
  <c r="U1118" i="1"/>
  <c r="T1118" i="1"/>
  <c r="AE1118" i="1"/>
  <c r="AD1118" i="1"/>
  <c r="AD822" i="1"/>
  <c r="AB822" i="1"/>
  <c r="AA822" i="1"/>
  <c r="Z822" i="1"/>
  <c r="Y822" i="1"/>
  <c r="W822" i="1"/>
  <c r="T822" i="1"/>
  <c r="X822" i="1"/>
  <c r="AE822" i="1"/>
  <c r="AC822" i="1"/>
  <c r="V822" i="1"/>
  <c r="U822" i="1"/>
  <c r="AE1312" i="1"/>
  <c r="AD1312" i="1"/>
  <c r="AC1312" i="1"/>
  <c r="Z1312" i="1"/>
  <c r="V1312" i="1"/>
  <c r="U1312" i="1"/>
  <c r="T1312" i="1"/>
  <c r="AB1312" i="1"/>
  <c r="AA1312" i="1"/>
  <c r="Y1312" i="1"/>
  <c r="X1312" i="1"/>
  <c r="W1312" i="1"/>
  <c r="AE1657" i="1"/>
  <c r="Z1657" i="1"/>
  <c r="Y1657" i="1"/>
  <c r="X1657" i="1"/>
  <c r="W1657" i="1"/>
  <c r="V1657" i="1"/>
  <c r="U1657" i="1"/>
  <c r="T1657" i="1"/>
  <c r="AD1657" i="1"/>
  <c r="AC1657" i="1"/>
  <c r="AB1657" i="1"/>
  <c r="AA1657" i="1"/>
  <c r="U1376" i="1"/>
  <c r="Y1376" i="1"/>
  <c r="X1376" i="1"/>
  <c r="W1376" i="1"/>
  <c r="T1376" i="1"/>
  <c r="AE1376" i="1"/>
  <c r="AD1376" i="1"/>
  <c r="AC1376" i="1"/>
  <c r="AB1376" i="1"/>
  <c r="AA1376" i="1"/>
  <c r="Z1376" i="1"/>
  <c r="V1376" i="1"/>
  <c r="AE1103" i="1"/>
  <c r="AD1103" i="1"/>
  <c r="AA1103" i="1"/>
  <c r="Z1103" i="1"/>
  <c r="T1103" i="1"/>
  <c r="W1103" i="1"/>
  <c r="V1103" i="1"/>
  <c r="U1103" i="1"/>
  <c r="AB1103" i="1"/>
  <c r="Y1103" i="1"/>
  <c r="X1103" i="1"/>
  <c r="AC1103" i="1"/>
  <c r="AC1547" i="1"/>
  <c r="AB1547" i="1"/>
  <c r="AA1547" i="1"/>
  <c r="Z1547" i="1"/>
  <c r="Y1547" i="1"/>
  <c r="T1547" i="1"/>
  <c r="AE1547" i="1"/>
  <c r="AD1547" i="1"/>
  <c r="X1547" i="1"/>
  <c r="W1547" i="1"/>
  <c r="V1547" i="1"/>
  <c r="U1547" i="1"/>
  <c r="T1533" i="1"/>
  <c r="Z1533" i="1"/>
  <c r="Y1533" i="1"/>
  <c r="X1533" i="1"/>
  <c r="V1533" i="1"/>
  <c r="U1533" i="1"/>
  <c r="AE1533" i="1"/>
  <c r="AA1533" i="1"/>
  <c r="W1533" i="1"/>
  <c r="AD1533" i="1"/>
  <c r="AC1533" i="1"/>
  <c r="AB1533" i="1"/>
  <c r="V1131" i="1"/>
  <c r="U1131" i="1"/>
  <c r="T1131" i="1"/>
  <c r="AE1131" i="1"/>
  <c r="AD1131" i="1"/>
  <c r="AC1131" i="1"/>
  <c r="AB1131" i="1"/>
  <c r="AA1131" i="1"/>
  <c r="Z1131" i="1"/>
  <c r="X1131" i="1"/>
  <c r="Y1131" i="1"/>
  <c r="W1131" i="1"/>
  <c r="X1182" i="1"/>
  <c r="V1182" i="1"/>
  <c r="AC1182" i="1"/>
  <c r="Y1182" i="1"/>
  <c r="W1182" i="1"/>
  <c r="AE1182" i="1"/>
  <c r="AD1182" i="1"/>
  <c r="AB1182" i="1"/>
  <c r="AA1182" i="1"/>
  <c r="Z1182" i="1"/>
  <c r="U1182" i="1"/>
  <c r="T1182" i="1"/>
  <c r="W1235" i="1"/>
  <c r="U1235" i="1"/>
  <c r="T1235" i="1"/>
  <c r="AE1235" i="1"/>
  <c r="AD1235" i="1"/>
  <c r="AB1235" i="1"/>
  <c r="AA1235" i="1"/>
  <c r="AC1235" i="1"/>
  <c r="Z1235" i="1"/>
  <c r="Y1235" i="1"/>
  <c r="X1235" i="1"/>
  <c r="V1235" i="1"/>
  <c r="Y1047" i="1"/>
  <c r="AE1047" i="1"/>
  <c r="AD1047" i="1"/>
  <c r="AC1047" i="1"/>
  <c r="AB1047" i="1"/>
  <c r="AA1047" i="1"/>
  <c r="Z1047" i="1"/>
  <c r="X1047" i="1"/>
  <c r="W1047" i="1"/>
  <c r="T1047" i="1"/>
  <c r="V1047" i="1"/>
  <c r="U1047" i="1"/>
  <c r="AD1375" i="1"/>
  <c r="AC1375" i="1"/>
  <c r="AB1375" i="1"/>
  <c r="AE1375" i="1"/>
  <c r="AA1375" i="1"/>
  <c r="Z1375" i="1"/>
  <c r="Y1375" i="1"/>
  <c r="X1375" i="1"/>
  <c r="W1375" i="1"/>
  <c r="V1375" i="1"/>
  <c r="U1375" i="1"/>
  <c r="T1375" i="1"/>
  <c r="U1381" i="1"/>
  <c r="T1381" i="1"/>
  <c r="AE1381" i="1"/>
  <c r="AD1381" i="1"/>
  <c r="AC1381" i="1"/>
  <c r="AB1381" i="1"/>
  <c r="AA1381" i="1"/>
  <c r="Z1381" i="1"/>
  <c r="Y1381" i="1"/>
  <c r="X1381" i="1"/>
  <c r="W1381" i="1"/>
  <c r="V1381" i="1"/>
  <c r="X1226" i="1"/>
  <c r="V1226" i="1"/>
  <c r="AE1226" i="1"/>
  <c r="AA1226" i="1"/>
  <c r="U1226" i="1"/>
  <c r="T1226" i="1"/>
  <c r="AD1226" i="1"/>
  <c r="AC1226" i="1"/>
  <c r="AB1226" i="1"/>
  <c r="Z1226" i="1"/>
  <c r="Y1226" i="1"/>
  <c r="W1226" i="1"/>
  <c r="V1408" i="1"/>
  <c r="U1408" i="1"/>
  <c r="T1408" i="1"/>
  <c r="AC1408" i="1"/>
  <c r="AB1408" i="1"/>
  <c r="AA1408" i="1"/>
  <c r="Z1408" i="1"/>
  <c r="Y1408" i="1"/>
  <c r="X1408" i="1"/>
  <c r="W1408" i="1"/>
  <c r="AE1408" i="1"/>
  <c r="AD1408" i="1"/>
  <c r="AE1715" i="1"/>
  <c r="AC1715" i="1"/>
  <c r="AB1715" i="1"/>
  <c r="AA1715" i="1"/>
  <c r="T1715" i="1"/>
  <c r="AD1715" i="1"/>
  <c r="X1715" i="1"/>
  <c r="Z1715" i="1"/>
  <c r="Y1715" i="1"/>
  <c r="W1715" i="1"/>
  <c r="V1715" i="1"/>
  <c r="U1715" i="1"/>
  <c r="AB690" i="1"/>
  <c r="Z690" i="1"/>
  <c r="Y690" i="1"/>
  <c r="X690" i="1"/>
  <c r="V690" i="1"/>
  <c r="AE690" i="1"/>
  <c r="AD690" i="1"/>
  <c r="AC690" i="1"/>
  <c r="AA690" i="1"/>
  <c r="W690" i="1"/>
  <c r="U690" i="1"/>
  <c r="T690" i="1"/>
  <c r="Y1150" i="1"/>
  <c r="W1150" i="1"/>
  <c r="AE1150" i="1"/>
  <c r="AD1150" i="1"/>
  <c r="AC1150" i="1"/>
  <c r="AB1150" i="1"/>
  <c r="AA1150" i="1"/>
  <c r="Z1150" i="1"/>
  <c r="X1150" i="1"/>
  <c r="V1150" i="1"/>
  <c r="U1150" i="1"/>
  <c r="T1150" i="1"/>
  <c r="AB692" i="1"/>
  <c r="AA692" i="1"/>
  <c r="Z692" i="1"/>
  <c r="Y692" i="1"/>
  <c r="W692" i="1"/>
  <c r="AE692" i="1"/>
  <c r="AD692" i="1"/>
  <c r="AC692" i="1"/>
  <c r="X692" i="1"/>
  <c r="V692" i="1"/>
  <c r="T692" i="1"/>
  <c r="U692" i="1"/>
  <c r="AC706" i="1"/>
  <c r="AB706" i="1"/>
  <c r="AD706" i="1"/>
  <c r="V706" i="1"/>
  <c r="U706" i="1"/>
  <c r="T706" i="1"/>
  <c r="Z706" i="1"/>
  <c r="Y706" i="1"/>
  <c r="X706" i="1"/>
  <c r="W706" i="1"/>
  <c r="AE706" i="1"/>
  <c r="AA706" i="1"/>
  <c r="Y1058" i="1"/>
  <c r="AA1058" i="1"/>
  <c r="Z1058" i="1"/>
  <c r="X1058" i="1"/>
  <c r="W1058" i="1"/>
  <c r="V1058" i="1"/>
  <c r="AE1058" i="1"/>
  <c r="AD1058" i="1"/>
  <c r="AB1058" i="1"/>
  <c r="T1058" i="1"/>
  <c r="AC1058" i="1"/>
  <c r="U1058" i="1"/>
  <c r="X1250" i="1"/>
  <c r="V1250" i="1"/>
  <c r="AA1250" i="1"/>
  <c r="Z1250" i="1"/>
  <c r="Y1250" i="1"/>
  <c r="W1250" i="1"/>
  <c r="U1250" i="1"/>
  <c r="T1250" i="1"/>
  <c r="AE1250" i="1"/>
  <c r="AD1250" i="1"/>
  <c r="AC1250" i="1"/>
  <c r="AB1250" i="1"/>
  <c r="AE1215" i="1"/>
  <c r="AD1215" i="1"/>
  <c r="Y1215" i="1"/>
  <c r="T1215" i="1"/>
  <c r="AB1215" i="1"/>
  <c r="X1215" i="1"/>
  <c r="W1215" i="1"/>
  <c r="V1215" i="1"/>
  <c r="U1215" i="1"/>
  <c r="AC1215" i="1"/>
  <c r="AA1215" i="1"/>
  <c r="Z1215" i="1"/>
  <c r="X1303" i="1"/>
  <c r="W1303" i="1"/>
  <c r="V1303" i="1"/>
  <c r="T1303" i="1"/>
  <c r="AD1303" i="1"/>
  <c r="Z1303" i="1"/>
  <c r="Y1303" i="1"/>
  <c r="U1303" i="1"/>
  <c r="AE1303" i="1"/>
  <c r="AC1303" i="1"/>
  <c r="AB1303" i="1"/>
  <c r="AA1303" i="1"/>
  <c r="X832" i="1"/>
  <c r="W832" i="1"/>
  <c r="V832" i="1"/>
  <c r="T832" i="1"/>
  <c r="AE832" i="1"/>
  <c r="AD832" i="1"/>
  <c r="AC832" i="1"/>
  <c r="AB832" i="1"/>
  <c r="AA832" i="1"/>
  <c r="Z832" i="1"/>
  <c r="Y832" i="1"/>
  <c r="U832" i="1"/>
  <c r="X1256" i="1"/>
  <c r="V1256" i="1"/>
  <c r="U1256" i="1"/>
  <c r="AA1256" i="1"/>
  <c r="AE1256" i="1"/>
  <c r="AC1256" i="1"/>
  <c r="AB1256" i="1"/>
  <c r="Z1256" i="1"/>
  <c r="W1256" i="1"/>
  <c r="T1256" i="1"/>
  <c r="AD1256" i="1"/>
  <c r="Y1256" i="1"/>
  <c r="AE1056" i="1"/>
  <c r="W1056" i="1"/>
  <c r="Y1056" i="1"/>
  <c r="AD1056" i="1"/>
  <c r="AC1056" i="1"/>
  <c r="AB1056" i="1"/>
  <c r="AA1056" i="1"/>
  <c r="Z1056" i="1"/>
  <c r="X1056" i="1"/>
  <c r="V1056" i="1"/>
  <c r="U1056" i="1"/>
  <c r="T1056" i="1"/>
  <c r="X1289" i="1"/>
  <c r="V1289" i="1"/>
  <c r="T1289" i="1"/>
  <c r="W1289" i="1"/>
  <c r="U1289" i="1"/>
  <c r="AE1289" i="1"/>
  <c r="AD1289" i="1"/>
  <c r="AC1289" i="1"/>
  <c r="AB1289" i="1"/>
  <c r="AA1289" i="1"/>
  <c r="Z1289" i="1"/>
  <c r="Y1289" i="1"/>
  <c r="U1586" i="1"/>
  <c r="AE1586" i="1"/>
  <c r="AD1586" i="1"/>
  <c r="AC1586" i="1"/>
  <c r="AB1586" i="1"/>
  <c r="AA1586" i="1"/>
  <c r="Z1586" i="1"/>
  <c r="Y1586" i="1"/>
  <c r="V1586" i="1"/>
  <c r="X1586" i="1"/>
  <c r="W1586" i="1"/>
  <c r="T1586" i="1"/>
  <c r="T791" i="1"/>
  <c r="AC791" i="1"/>
  <c r="AB791" i="1"/>
  <c r="AA791" i="1"/>
  <c r="Y791" i="1"/>
  <c r="AE791" i="1"/>
  <c r="AD791" i="1"/>
  <c r="Z791" i="1"/>
  <c r="X791" i="1"/>
  <c r="W791" i="1"/>
  <c r="V791" i="1"/>
  <c r="U791" i="1"/>
  <c r="W1468" i="1"/>
  <c r="V1468" i="1"/>
  <c r="U1468" i="1"/>
  <c r="T1468" i="1"/>
  <c r="AE1468" i="1"/>
  <c r="AD1468" i="1"/>
  <c r="AC1468" i="1"/>
  <c r="AB1468" i="1"/>
  <c r="AA1468" i="1"/>
  <c r="Z1468" i="1"/>
  <c r="X1468" i="1"/>
  <c r="Y1468" i="1"/>
  <c r="AB1459" i="1"/>
  <c r="AA1459" i="1"/>
  <c r="Z1459" i="1"/>
  <c r="X1459" i="1"/>
  <c r="W1459" i="1"/>
  <c r="V1459" i="1"/>
  <c r="U1459" i="1"/>
  <c r="T1459" i="1"/>
  <c r="AD1459" i="1"/>
  <c r="AC1459" i="1"/>
  <c r="Y1459" i="1"/>
  <c r="AE1459" i="1"/>
  <c r="Y995" i="1"/>
  <c r="X995" i="1"/>
  <c r="W995" i="1"/>
  <c r="V995" i="1"/>
  <c r="U995" i="1"/>
  <c r="T995" i="1"/>
  <c r="AE995" i="1"/>
  <c r="AB995" i="1"/>
  <c r="AA995" i="1"/>
  <c r="AD995" i="1"/>
  <c r="AC995" i="1"/>
  <c r="Z995" i="1"/>
  <c r="AE751" i="1"/>
  <c r="AD751" i="1"/>
  <c r="AC751" i="1"/>
  <c r="AA751" i="1"/>
  <c r="Y751" i="1"/>
  <c r="X751" i="1"/>
  <c r="W751" i="1"/>
  <c r="V751" i="1"/>
  <c r="T751" i="1"/>
  <c r="U751" i="1"/>
  <c r="AB751" i="1"/>
  <c r="Z751" i="1"/>
  <c r="AC708" i="1"/>
  <c r="AB708" i="1"/>
  <c r="Y708" i="1"/>
  <c r="X708" i="1"/>
  <c r="W708" i="1"/>
  <c r="V708" i="1"/>
  <c r="U708" i="1"/>
  <c r="T708" i="1"/>
  <c r="AE708" i="1"/>
  <c r="AD708" i="1"/>
  <c r="AA708" i="1"/>
  <c r="Z708" i="1"/>
  <c r="X767" i="1"/>
  <c r="W767" i="1"/>
  <c r="V767" i="1"/>
  <c r="U767" i="1"/>
  <c r="T767" i="1"/>
  <c r="AE767" i="1"/>
  <c r="AB767" i="1"/>
  <c r="AA767" i="1"/>
  <c r="Z767" i="1"/>
  <c r="Y767" i="1"/>
  <c r="AD767" i="1"/>
  <c r="AC767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AC883" i="1"/>
  <c r="Y883" i="1"/>
  <c r="X883" i="1"/>
  <c r="W883" i="1"/>
  <c r="V883" i="1"/>
  <c r="U883" i="1"/>
  <c r="AB883" i="1"/>
  <c r="T883" i="1"/>
  <c r="AE883" i="1"/>
  <c r="AD883" i="1"/>
  <c r="AA883" i="1"/>
  <c r="Z883" i="1"/>
  <c r="AE1302" i="1"/>
  <c r="AD1302" i="1"/>
  <c r="AC1302" i="1"/>
  <c r="Z1302" i="1"/>
  <c r="T1302" i="1"/>
  <c r="AB1302" i="1"/>
  <c r="AA1302" i="1"/>
  <c r="Y1302" i="1"/>
  <c r="X1302" i="1"/>
  <c r="W1302" i="1"/>
  <c r="V1302" i="1"/>
  <c r="U1302" i="1"/>
  <c r="AD1784" i="1"/>
  <c r="AB1784" i="1"/>
  <c r="AE1784" i="1"/>
  <c r="AC1784" i="1"/>
  <c r="AA1784" i="1"/>
  <c r="V1784" i="1"/>
  <c r="U1784" i="1"/>
  <c r="T1784" i="1"/>
  <c r="Z1784" i="1"/>
  <c r="Y1784" i="1"/>
  <c r="X1784" i="1"/>
  <c r="W1784" i="1"/>
  <c r="AE870" i="1"/>
  <c r="AD870" i="1"/>
  <c r="U870" i="1"/>
  <c r="T870" i="1"/>
  <c r="AC870" i="1"/>
  <c r="AB870" i="1"/>
  <c r="Z870" i="1"/>
  <c r="W870" i="1"/>
  <c r="V870" i="1"/>
  <c r="X870" i="1"/>
  <c r="Y870" i="1"/>
  <c r="AA870" i="1"/>
  <c r="AB1427" i="1"/>
  <c r="Z1427" i="1"/>
  <c r="Y1427" i="1"/>
  <c r="X1427" i="1"/>
  <c r="W1427" i="1"/>
  <c r="V1427" i="1"/>
  <c r="U1427" i="1"/>
  <c r="T1427" i="1"/>
  <c r="AE1427" i="1"/>
  <c r="AD1427" i="1"/>
  <c r="AC1427" i="1"/>
  <c r="AA1427" i="1"/>
  <c r="Y1086" i="1"/>
  <c r="V1086" i="1"/>
  <c r="AE1086" i="1"/>
  <c r="Z1086" i="1"/>
  <c r="X1086" i="1"/>
  <c r="W1086" i="1"/>
  <c r="U1086" i="1"/>
  <c r="T1086" i="1"/>
  <c r="AD1086" i="1"/>
  <c r="AC1086" i="1"/>
  <c r="AB1086" i="1"/>
  <c r="AA1086" i="1"/>
  <c r="Y1140" i="1"/>
  <c r="W1140" i="1"/>
  <c r="AB1140" i="1"/>
  <c r="U1140" i="1"/>
  <c r="AC1140" i="1"/>
  <c r="AE1140" i="1"/>
  <c r="AD1140" i="1"/>
  <c r="AA1140" i="1"/>
  <c r="Z1140" i="1"/>
  <c r="X1140" i="1"/>
  <c r="V1140" i="1"/>
  <c r="T1140" i="1"/>
  <c r="AB1159" i="1"/>
  <c r="X1159" i="1"/>
  <c r="W1159" i="1"/>
  <c r="AE1159" i="1"/>
  <c r="AD1159" i="1"/>
  <c r="AC1159" i="1"/>
  <c r="AA1159" i="1"/>
  <c r="Z1159" i="1"/>
  <c r="Y1159" i="1"/>
  <c r="V1159" i="1"/>
  <c r="U1159" i="1"/>
  <c r="T1159" i="1"/>
  <c r="X1204" i="1"/>
  <c r="V1204" i="1"/>
  <c r="AE1204" i="1"/>
  <c r="AD1204" i="1"/>
  <c r="AC1204" i="1"/>
  <c r="AB1204" i="1"/>
  <c r="AA1204" i="1"/>
  <c r="Z1204" i="1"/>
  <c r="Y1204" i="1"/>
  <c r="W1204" i="1"/>
  <c r="U1204" i="1"/>
  <c r="T1204" i="1"/>
  <c r="AE1371" i="1"/>
  <c r="AD1371" i="1"/>
  <c r="AC1371" i="1"/>
  <c r="Z1371" i="1"/>
  <c r="Y1371" i="1"/>
  <c r="V1371" i="1"/>
  <c r="U1371" i="1"/>
  <c r="T1371" i="1"/>
  <c r="AB1371" i="1"/>
  <c r="AA1371" i="1"/>
  <c r="X1371" i="1"/>
  <c r="W1371" i="1"/>
  <c r="Y1485" i="1"/>
  <c r="X1485" i="1"/>
  <c r="W1485" i="1"/>
  <c r="V1485" i="1"/>
  <c r="U1485" i="1"/>
  <c r="T1485" i="1"/>
  <c r="AD1485" i="1"/>
  <c r="AC1485" i="1"/>
  <c r="AB1485" i="1"/>
  <c r="AA1485" i="1"/>
  <c r="Z1485" i="1"/>
  <c r="AE1485" i="1"/>
  <c r="U1588" i="1"/>
  <c r="AE1588" i="1"/>
  <c r="AD1588" i="1"/>
  <c r="AC1588" i="1"/>
  <c r="AB1588" i="1"/>
  <c r="AA1588" i="1"/>
  <c r="Z1588" i="1"/>
  <c r="Y1588" i="1"/>
  <c r="X1588" i="1"/>
  <c r="W1588" i="1"/>
  <c r="V1588" i="1"/>
  <c r="T1588" i="1"/>
  <c r="X1234" i="1"/>
  <c r="V1234" i="1"/>
  <c r="AE1234" i="1"/>
  <c r="AA1234" i="1"/>
  <c r="Z1234" i="1"/>
  <c r="AD1234" i="1"/>
  <c r="AC1234" i="1"/>
  <c r="AB1234" i="1"/>
  <c r="Y1234" i="1"/>
  <c r="W1234" i="1"/>
  <c r="U1234" i="1"/>
  <c r="T1234" i="1"/>
  <c r="AD864" i="1"/>
  <c r="AC864" i="1"/>
  <c r="AB864" i="1"/>
  <c r="Z864" i="1"/>
  <c r="Y864" i="1"/>
  <c r="AE864" i="1"/>
  <c r="AA864" i="1"/>
  <c r="X864" i="1"/>
  <c r="W864" i="1"/>
  <c r="V864" i="1"/>
  <c r="U864" i="1"/>
  <c r="T864" i="1"/>
  <c r="AE1314" i="1"/>
  <c r="AD1314" i="1"/>
  <c r="AC1314" i="1"/>
  <c r="Z1314" i="1"/>
  <c r="V1314" i="1"/>
  <c r="U1314" i="1"/>
  <c r="T1314" i="1"/>
  <c r="AB1314" i="1"/>
  <c r="AA1314" i="1"/>
  <c r="Y1314" i="1"/>
  <c r="X1314" i="1"/>
  <c r="W1314" i="1"/>
  <c r="AC1337" i="1"/>
  <c r="AB1337" i="1"/>
  <c r="AA1337" i="1"/>
  <c r="Y1337" i="1"/>
  <c r="AE1337" i="1"/>
  <c r="AD1337" i="1"/>
  <c r="X1337" i="1"/>
  <c r="W1337" i="1"/>
  <c r="U1337" i="1"/>
  <c r="Z1337" i="1"/>
  <c r="V1337" i="1"/>
  <c r="T1337" i="1"/>
  <c r="X1172" i="1"/>
  <c r="V1172" i="1"/>
  <c r="AA1172" i="1"/>
  <c r="Y1172" i="1"/>
  <c r="W1172" i="1"/>
  <c r="AE1172" i="1"/>
  <c r="AD1172" i="1"/>
  <c r="AC1172" i="1"/>
  <c r="AB1172" i="1"/>
  <c r="Z1172" i="1"/>
  <c r="U1172" i="1"/>
  <c r="T1172" i="1"/>
  <c r="Y1112" i="1"/>
  <c r="AA1112" i="1"/>
  <c r="X1112" i="1"/>
  <c r="W1112" i="1"/>
  <c r="V1112" i="1"/>
  <c r="U1112" i="1"/>
  <c r="T1112" i="1"/>
  <c r="AB1112" i="1"/>
  <c r="Z1112" i="1"/>
  <c r="AE1112" i="1"/>
  <c r="AD1112" i="1"/>
  <c r="AC1112" i="1"/>
  <c r="W1482" i="1"/>
  <c r="V1482" i="1"/>
  <c r="U1482" i="1"/>
  <c r="T1482" i="1"/>
  <c r="AE1482" i="1"/>
  <c r="AD1482" i="1"/>
  <c r="AC1482" i="1"/>
  <c r="AA1482" i="1"/>
  <c r="Z1482" i="1"/>
  <c r="Y1482" i="1"/>
  <c r="X1482" i="1"/>
  <c r="AB1482" i="1"/>
  <c r="AE1257" i="1"/>
  <c r="AA1257" i="1"/>
  <c r="Z1257" i="1"/>
  <c r="Y1257" i="1"/>
  <c r="AD1257" i="1"/>
  <c r="AC1257" i="1"/>
  <c r="AB1257" i="1"/>
  <c r="X1257" i="1"/>
  <c r="W1257" i="1"/>
  <c r="V1257" i="1"/>
  <c r="U1257" i="1"/>
  <c r="T1257" i="1"/>
  <c r="AC887" i="1"/>
  <c r="AA887" i="1"/>
  <c r="Z887" i="1"/>
  <c r="Y887" i="1"/>
  <c r="X887" i="1"/>
  <c r="W887" i="1"/>
  <c r="AB887" i="1"/>
  <c r="V887" i="1"/>
  <c r="U887" i="1"/>
  <c r="T887" i="1"/>
  <c r="AE887" i="1"/>
  <c r="AD887" i="1"/>
  <c r="AD1105" i="1"/>
  <c r="AC1105" i="1"/>
  <c r="W1105" i="1"/>
  <c r="AE1105" i="1"/>
  <c r="AB1105" i="1"/>
  <c r="AA1105" i="1"/>
  <c r="Z1105" i="1"/>
  <c r="Y1105" i="1"/>
  <c r="X1105" i="1"/>
  <c r="V1105" i="1"/>
  <c r="T1105" i="1"/>
  <c r="U1105" i="1"/>
  <c r="U1626" i="1"/>
  <c r="T1626" i="1"/>
  <c r="AE1626" i="1"/>
  <c r="AB1626" i="1"/>
  <c r="Z1626" i="1"/>
  <c r="Y1626" i="1"/>
  <c r="AD1626" i="1"/>
  <c r="AC1626" i="1"/>
  <c r="AA1626" i="1"/>
  <c r="W1626" i="1"/>
  <c r="V1626" i="1"/>
  <c r="X1626" i="1"/>
  <c r="U1354" i="1"/>
  <c r="AA1354" i="1"/>
  <c r="Z1354" i="1"/>
  <c r="Y1354" i="1"/>
  <c r="X1354" i="1"/>
  <c r="W1354" i="1"/>
  <c r="V1354" i="1"/>
  <c r="AD1354" i="1"/>
  <c r="AC1354" i="1"/>
  <c r="AB1354" i="1"/>
  <c r="T1354" i="1"/>
  <c r="AE1354" i="1"/>
  <c r="U1455" i="1"/>
  <c r="T1455" i="1"/>
  <c r="X1455" i="1"/>
  <c r="W1455" i="1"/>
  <c r="V1455" i="1"/>
  <c r="AE1455" i="1"/>
  <c r="AD1455" i="1"/>
  <c r="AC1455" i="1"/>
  <c r="AB1455" i="1"/>
  <c r="AA1455" i="1"/>
  <c r="Z1455" i="1"/>
  <c r="Y1455" i="1"/>
  <c r="AB701" i="1"/>
  <c r="AA701" i="1"/>
  <c r="Z701" i="1"/>
  <c r="Y701" i="1"/>
  <c r="X701" i="1"/>
  <c r="W701" i="1"/>
  <c r="V701" i="1"/>
  <c r="U701" i="1"/>
  <c r="T701" i="1"/>
  <c r="AE701" i="1"/>
  <c r="AD701" i="1"/>
  <c r="AC701" i="1"/>
  <c r="U1379" i="1"/>
  <c r="T1379" i="1"/>
  <c r="AE1379" i="1"/>
  <c r="AD1379" i="1"/>
  <c r="AC1379" i="1"/>
  <c r="X1379" i="1"/>
  <c r="AB1379" i="1"/>
  <c r="AA1379" i="1"/>
  <c r="Z1379" i="1"/>
  <c r="Y1379" i="1"/>
  <c r="W1379" i="1"/>
  <c r="V1379" i="1"/>
  <c r="AE978" i="1"/>
  <c r="AD978" i="1"/>
  <c r="AB978" i="1"/>
  <c r="AA978" i="1"/>
  <c r="X978" i="1"/>
  <c r="W978" i="1"/>
  <c r="AC978" i="1"/>
  <c r="Z978" i="1"/>
  <c r="Y978" i="1"/>
  <c r="V978" i="1"/>
  <c r="U978" i="1"/>
  <c r="T978" i="1"/>
  <c r="U1638" i="1"/>
  <c r="T1638" i="1"/>
  <c r="AE1638" i="1"/>
  <c r="AD1638" i="1"/>
  <c r="AC1638" i="1"/>
  <c r="Z1638" i="1"/>
  <c r="Y1638" i="1"/>
  <c r="X1638" i="1"/>
  <c r="W1638" i="1"/>
  <c r="V1638" i="1"/>
  <c r="AB1638" i="1"/>
  <c r="AA1638" i="1"/>
  <c r="AE737" i="1"/>
  <c r="AD737" i="1"/>
  <c r="AB737" i="1"/>
  <c r="AC737" i="1"/>
  <c r="AA737" i="1"/>
  <c r="Z737" i="1"/>
  <c r="Y737" i="1"/>
  <c r="X737" i="1"/>
  <c r="W737" i="1"/>
  <c r="V737" i="1"/>
  <c r="U737" i="1"/>
  <c r="T737" i="1"/>
  <c r="AE906" i="1"/>
  <c r="AD906" i="1"/>
  <c r="AC906" i="1"/>
  <c r="AA906" i="1"/>
  <c r="Z906" i="1"/>
  <c r="Y906" i="1"/>
  <c r="T906" i="1"/>
  <c r="U906" i="1"/>
  <c r="AB906" i="1"/>
  <c r="X906" i="1"/>
  <c r="W906" i="1"/>
  <c r="V906" i="1"/>
  <c r="AC1487" i="1"/>
  <c r="AB1487" i="1"/>
  <c r="AA1487" i="1"/>
  <c r="Z1487" i="1"/>
  <c r="AE1487" i="1"/>
  <c r="Y1487" i="1"/>
  <c r="X1487" i="1"/>
  <c r="W1487" i="1"/>
  <c r="V1487" i="1"/>
  <c r="U1487" i="1"/>
  <c r="T1487" i="1"/>
  <c r="AD1487" i="1"/>
  <c r="AE1737" i="1"/>
  <c r="AC1737" i="1"/>
  <c r="AB1737" i="1"/>
  <c r="AA1737" i="1"/>
  <c r="AD1737" i="1"/>
  <c r="Z1737" i="1"/>
  <c r="Y1737" i="1"/>
  <c r="X1737" i="1"/>
  <c r="T1737" i="1"/>
  <c r="W1737" i="1"/>
  <c r="V1737" i="1"/>
  <c r="U1737" i="1"/>
  <c r="AC953" i="1"/>
  <c r="X953" i="1"/>
  <c r="W953" i="1"/>
  <c r="V953" i="1"/>
  <c r="T953" i="1"/>
  <c r="AD953" i="1"/>
  <c r="AA953" i="1"/>
  <c r="Z953" i="1"/>
  <c r="Y953" i="1"/>
  <c r="U953" i="1"/>
  <c r="AE953" i="1"/>
  <c r="AB953" i="1"/>
  <c r="AC1684" i="1"/>
  <c r="AB1684" i="1"/>
  <c r="Y1684" i="1"/>
  <c r="X1684" i="1"/>
  <c r="AA1684" i="1"/>
  <c r="Z1684" i="1"/>
  <c r="AE1684" i="1"/>
  <c r="AD1684" i="1"/>
  <c r="W1684" i="1"/>
  <c r="V1684" i="1"/>
  <c r="U1684" i="1"/>
  <c r="T1684" i="1"/>
  <c r="X1269" i="1"/>
  <c r="V1269" i="1"/>
  <c r="AE1269" i="1"/>
  <c r="AC1269" i="1"/>
  <c r="AB1269" i="1"/>
  <c r="AA1269" i="1"/>
  <c r="U1269" i="1"/>
  <c r="Z1269" i="1"/>
  <c r="T1269" i="1"/>
  <c r="W1269" i="1"/>
  <c r="AD1269" i="1"/>
  <c r="Y1269" i="1"/>
  <c r="T805" i="1"/>
  <c r="AE805" i="1"/>
  <c r="AD805" i="1"/>
  <c r="AB805" i="1"/>
  <c r="AA805" i="1"/>
  <c r="X805" i="1"/>
  <c r="W805" i="1"/>
  <c r="V805" i="1"/>
  <c r="U805" i="1"/>
  <c r="AC805" i="1"/>
  <c r="Z805" i="1"/>
  <c r="Y805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AE1227" i="1"/>
  <c r="AD1227" i="1"/>
  <c r="AC1227" i="1"/>
  <c r="AB1227" i="1"/>
  <c r="AA1227" i="1"/>
  <c r="V1227" i="1"/>
  <c r="Z1227" i="1"/>
  <c r="X1227" i="1"/>
  <c r="W1227" i="1"/>
  <c r="Y1227" i="1"/>
  <c r="U1227" i="1"/>
  <c r="T1227" i="1"/>
  <c r="AC954" i="1"/>
  <c r="AB954" i="1"/>
  <c r="AA954" i="1"/>
  <c r="Z954" i="1"/>
  <c r="Y954" i="1"/>
  <c r="AE954" i="1"/>
  <c r="AD954" i="1"/>
  <c r="X954" i="1"/>
  <c r="W954" i="1"/>
  <c r="V954" i="1"/>
  <c r="U954" i="1"/>
  <c r="T954" i="1"/>
  <c r="AD860" i="1"/>
  <c r="AC860" i="1"/>
  <c r="AB860" i="1"/>
  <c r="Z860" i="1"/>
  <c r="Y860" i="1"/>
  <c r="AE860" i="1"/>
  <c r="AA860" i="1"/>
  <c r="X860" i="1"/>
  <c r="W860" i="1"/>
  <c r="V860" i="1"/>
  <c r="U860" i="1"/>
  <c r="T860" i="1"/>
  <c r="W1426" i="1"/>
  <c r="V1426" i="1"/>
  <c r="U1426" i="1"/>
  <c r="T1426" i="1"/>
  <c r="AD1426" i="1"/>
  <c r="AE1426" i="1"/>
  <c r="AC1426" i="1"/>
  <c r="AA1426" i="1"/>
  <c r="Y1426" i="1"/>
  <c r="X1426" i="1"/>
  <c r="AB1426" i="1"/>
  <c r="Z1426" i="1"/>
  <c r="X1214" i="1"/>
  <c r="V1214" i="1"/>
  <c r="AA1214" i="1"/>
  <c r="Y1214" i="1"/>
  <c r="W1214" i="1"/>
  <c r="U1214" i="1"/>
  <c r="AD1214" i="1"/>
  <c r="AC1214" i="1"/>
  <c r="AB1214" i="1"/>
  <c r="Z1214" i="1"/>
  <c r="T1214" i="1"/>
  <c r="AE1214" i="1"/>
  <c r="Z946" i="1"/>
  <c r="Y946" i="1"/>
  <c r="X946" i="1"/>
  <c r="W946" i="1"/>
  <c r="V946" i="1"/>
  <c r="AE946" i="1"/>
  <c r="AA946" i="1"/>
  <c r="AD946" i="1"/>
  <c r="AC946" i="1"/>
  <c r="AB946" i="1"/>
  <c r="U946" i="1"/>
  <c r="T946" i="1"/>
  <c r="X1063" i="1"/>
  <c r="AC1063" i="1"/>
  <c r="AE1063" i="1"/>
  <c r="AD1063" i="1"/>
  <c r="AA1063" i="1"/>
  <c r="Z1063" i="1"/>
  <c r="AB1063" i="1"/>
  <c r="Y1063" i="1"/>
  <c r="W1063" i="1"/>
  <c r="V1063" i="1"/>
  <c r="U1063" i="1"/>
  <c r="T1063" i="1"/>
  <c r="AD1419" i="1"/>
  <c r="AC1419" i="1"/>
  <c r="AB1419" i="1"/>
  <c r="AA1419" i="1"/>
  <c r="Z1419" i="1"/>
  <c r="AE1419" i="1"/>
  <c r="Y1419" i="1"/>
  <c r="X1419" i="1"/>
  <c r="W1419" i="1"/>
  <c r="U1419" i="1"/>
  <c r="T1419" i="1"/>
  <c r="V1419" i="1"/>
  <c r="AD1665" i="1"/>
  <c r="AB1665" i="1"/>
  <c r="AA1665" i="1"/>
  <c r="U1665" i="1"/>
  <c r="AE1665" i="1"/>
  <c r="AC1665" i="1"/>
  <c r="Z1665" i="1"/>
  <c r="Y1665" i="1"/>
  <c r="X1665" i="1"/>
  <c r="W1665" i="1"/>
  <c r="V1665" i="1"/>
  <c r="T1665" i="1"/>
  <c r="AC885" i="1"/>
  <c r="Z885" i="1"/>
  <c r="Y885" i="1"/>
  <c r="X885" i="1"/>
  <c r="W885" i="1"/>
  <c r="V885" i="1"/>
  <c r="AE885" i="1"/>
  <c r="AD885" i="1"/>
  <c r="AB885" i="1"/>
  <c r="AA885" i="1"/>
  <c r="U885" i="1"/>
  <c r="T885" i="1"/>
  <c r="AE1292" i="1"/>
  <c r="AA1292" i="1"/>
  <c r="Z1292" i="1"/>
  <c r="Y1292" i="1"/>
  <c r="V1292" i="1"/>
  <c r="AC1292" i="1"/>
  <c r="AB1292" i="1"/>
  <c r="X1292" i="1"/>
  <c r="W1292" i="1"/>
  <c r="U1292" i="1"/>
  <c r="T1292" i="1"/>
  <c r="AD1292" i="1"/>
  <c r="AC949" i="1"/>
  <c r="W949" i="1"/>
  <c r="V949" i="1"/>
  <c r="U949" i="1"/>
  <c r="AE949" i="1"/>
  <c r="AD949" i="1"/>
  <c r="AB949" i="1"/>
  <c r="AA949" i="1"/>
  <c r="Z949" i="1"/>
  <c r="X949" i="1"/>
  <c r="Y949" i="1"/>
  <c r="T949" i="1"/>
  <c r="W1324" i="1"/>
  <c r="AE1324" i="1"/>
  <c r="AD1324" i="1"/>
  <c r="AC1324" i="1"/>
  <c r="AA1324" i="1"/>
  <c r="AB1324" i="1"/>
  <c r="Z1324" i="1"/>
  <c r="Y1324" i="1"/>
  <c r="V1324" i="1"/>
  <c r="U1324" i="1"/>
  <c r="X1324" i="1"/>
  <c r="T1324" i="1"/>
  <c r="Z719" i="1"/>
  <c r="Y719" i="1"/>
  <c r="X719" i="1"/>
  <c r="V719" i="1"/>
  <c r="W719" i="1"/>
  <c r="U719" i="1"/>
  <c r="T719" i="1"/>
  <c r="AD719" i="1"/>
  <c r="AC719" i="1"/>
  <c r="AB719" i="1"/>
  <c r="AA719" i="1"/>
  <c r="AE719" i="1"/>
  <c r="AC969" i="1"/>
  <c r="AD969" i="1"/>
  <c r="AB969" i="1"/>
  <c r="AA969" i="1"/>
  <c r="Z969" i="1"/>
  <c r="Y969" i="1"/>
  <c r="X969" i="1"/>
  <c r="W969" i="1"/>
  <c r="V969" i="1"/>
  <c r="U969" i="1"/>
  <c r="T969" i="1"/>
  <c r="AE969" i="1"/>
  <c r="X1273" i="1"/>
  <c r="V1273" i="1"/>
  <c r="AE1273" i="1"/>
  <c r="AA1273" i="1"/>
  <c r="U1273" i="1"/>
  <c r="T1273" i="1"/>
  <c r="AD1273" i="1"/>
  <c r="AC1273" i="1"/>
  <c r="AB1273" i="1"/>
  <c r="Y1273" i="1"/>
  <c r="W1273" i="1"/>
  <c r="Z1273" i="1"/>
  <c r="AC738" i="1"/>
  <c r="AB738" i="1"/>
  <c r="V738" i="1"/>
  <c r="U738" i="1"/>
  <c r="T738" i="1"/>
  <c r="AE738" i="1"/>
  <c r="Z738" i="1"/>
  <c r="Y738" i="1"/>
  <c r="X738" i="1"/>
  <c r="W738" i="1"/>
  <c r="AD738" i="1"/>
  <c r="AA738" i="1"/>
  <c r="X1295" i="1"/>
  <c r="W1295" i="1"/>
  <c r="V1295" i="1"/>
  <c r="T1295" i="1"/>
  <c r="AD1295" i="1"/>
  <c r="AC1295" i="1"/>
  <c r="AB1295" i="1"/>
  <c r="AA1295" i="1"/>
  <c r="Z1295" i="1"/>
  <c r="U1295" i="1"/>
  <c r="AE1295" i="1"/>
  <c r="Y1295" i="1"/>
  <c r="AD1393" i="1"/>
  <c r="X1393" i="1"/>
  <c r="W1393" i="1"/>
  <c r="V1393" i="1"/>
  <c r="U1393" i="1"/>
  <c r="T1393" i="1"/>
  <c r="AE1393" i="1"/>
  <c r="AC1393" i="1"/>
  <c r="AB1393" i="1"/>
  <c r="AA1393" i="1"/>
  <c r="Z1393" i="1"/>
  <c r="Y1393" i="1"/>
  <c r="AD878" i="1"/>
  <c r="AC878" i="1"/>
  <c r="AE878" i="1"/>
  <c r="AB878" i="1"/>
  <c r="AA878" i="1"/>
  <c r="Z878" i="1"/>
  <c r="Y878" i="1"/>
  <c r="X878" i="1"/>
  <c r="V878" i="1"/>
  <c r="T878" i="1"/>
  <c r="W878" i="1"/>
  <c r="U878" i="1"/>
  <c r="AC959" i="1"/>
  <c r="AE959" i="1"/>
  <c r="AA959" i="1"/>
  <c r="Z959" i="1"/>
  <c r="AD959" i="1"/>
  <c r="AB959" i="1"/>
  <c r="Y959" i="1"/>
  <c r="W959" i="1"/>
  <c r="U959" i="1"/>
  <c r="T959" i="1"/>
  <c r="X959" i="1"/>
  <c r="V959" i="1"/>
  <c r="W1444" i="1"/>
  <c r="V1444" i="1"/>
  <c r="U1444" i="1"/>
  <c r="T1444" i="1"/>
  <c r="Z1444" i="1"/>
  <c r="Y1444" i="1"/>
  <c r="X1444" i="1"/>
  <c r="AE1444" i="1"/>
  <c r="AD1444" i="1"/>
  <c r="AC1444" i="1"/>
  <c r="AB1444" i="1"/>
  <c r="AA1444" i="1"/>
  <c r="T825" i="1"/>
  <c r="W825" i="1"/>
  <c r="V825" i="1"/>
  <c r="AE825" i="1"/>
  <c r="AD825" i="1"/>
  <c r="AC825" i="1"/>
  <c r="AB825" i="1"/>
  <c r="AA825" i="1"/>
  <c r="Z825" i="1"/>
  <c r="Y825" i="1"/>
  <c r="X825" i="1"/>
  <c r="U825" i="1"/>
  <c r="U1366" i="1"/>
  <c r="AE1366" i="1"/>
  <c r="AD1366" i="1"/>
  <c r="AC1366" i="1"/>
  <c r="AB1366" i="1"/>
  <c r="AA1366" i="1"/>
  <c r="Z1366" i="1"/>
  <c r="Y1366" i="1"/>
  <c r="X1366" i="1"/>
  <c r="V1366" i="1"/>
  <c r="W1366" i="1"/>
  <c r="T1366" i="1"/>
  <c r="V922" i="1"/>
  <c r="U922" i="1"/>
  <c r="T922" i="1"/>
  <c r="AE922" i="1"/>
  <c r="AD922" i="1"/>
  <c r="AC922" i="1"/>
  <c r="AB922" i="1"/>
  <c r="AA922" i="1"/>
  <c r="Z922" i="1"/>
  <c r="Y922" i="1"/>
  <c r="X922" i="1"/>
  <c r="W922" i="1"/>
  <c r="AD1395" i="1"/>
  <c r="Y1395" i="1"/>
  <c r="X1395" i="1"/>
  <c r="W1395" i="1"/>
  <c r="V1395" i="1"/>
  <c r="U1395" i="1"/>
  <c r="T1395" i="1"/>
  <c r="AC1395" i="1"/>
  <c r="AB1395" i="1"/>
  <c r="AA1395" i="1"/>
  <c r="Z1395" i="1"/>
  <c r="AE1395" i="1"/>
  <c r="V1410" i="1"/>
  <c r="U1410" i="1"/>
  <c r="X1410" i="1"/>
  <c r="AE1410" i="1"/>
  <c r="AD1410" i="1"/>
  <c r="AC1410" i="1"/>
  <c r="AB1410" i="1"/>
  <c r="AA1410" i="1"/>
  <c r="Z1410" i="1"/>
  <c r="Y1410" i="1"/>
  <c r="T1410" i="1"/>
  <c r="W1410" i="1"/>
  <c r="AD1109" i="1"/>
  <c r="AC1109" i="1"/>
  <c r="W1109" i="1"/>
  <c r="AE1109" i="1"/>
  <c r="AB1109" i="1"/>
  <c r="AA1109" i="1"/>
  <c r="Z1109" i="1"/>
  <c r="X1109" i="1"/>
  <c r="V1109" i="1"/>
  <c r="U1109" i="1"/>
  <c r="Y1109" i="1"/>
  <c r="T1109" i="1"/>
  <c r="AE872" i="1"/>
  <c r="AD872" i="1"/>
  <c r="U872" i="1"/>
  <c r="T872" i="1"/>
  <c r="W872" i="1"/>
  <c r="V872" i="1"/>
  <c r="AA872" i="1"/>
  <c r="Z872" i="1"/>
  <c r="Y872" i="1"/>
  <c r="X872" i="1"/>
  <c r="AC872" i="1"/>
  <c r="AB872" i="1"/>
  <c r="AB854" i="1"/>
  <c r="AA854" i="1"/>
  <c r="Z854" i="1"/>
  <c r="X854" i="1"/>
  <c r="W854" i="1"/>
  <c r="AE854" i="1"/>
  <c r="AD854" i="1"/>
  <c r="Y854" i="1"/>
  <c r="U854" i="1"/>
  <c r="T854" i="1"/>
  <c r="AC854" i="1"/>
  <c r="V854" i="1"/>
  <c r="AE1738" i="1"/>
  <c r="AB1738" i="1"/>
  <c r="Z1738" i="1"/>
  <c r="Y1738" i="1"/>
  <c r="X1738" i="1"/>
  <c r="W1738" i="1"/>
  <c r="V1738" i="1"/>
  <c r="U1738" i="1"/>
  <c r="T1738" i="1"/>
  <c r="AD1738" i="1"/>
  <c r="AC1738" i="1"/>
  <c r="AA1738" i="1"/>
  <c r="W1336" i="1"/>
  <c r="AE1336" i="1"/>
  <c r="AD1336" i="1"/>
  <c r="AC1336" i="1"/>
  <c r="AB1336" i="1"/>
  <c r="AA1336" i="1"/>
  <c r="Z1336" i="1"/>
  <c r="V1336" i="1"/>
  <c r="Y1336" i="1"/>
  <c r="X1336" i="1"/>
  <c r="U1336" i="1"/>
  <c r="T1336" i="1"/>
  <c r="Z1557" i="1"/>
  <c r="Y1557" i="1"/>
  <c r="AE1557" i="1"/>
  <c r="AD1557" i="1"/>
  <c r="AC1557" i="1"/>
  <c r="AB1557" i="1"/>
  <c r="AA1557" i="1"/>
  <c r="X1557" i="1"/>
  <c r="W1557" i="1"/>
  <c r="V1557" i="1"/>
  <c r="U1557" i="1"/>
  <c r="T1557" i="1"/>
  <c r="U1650" i="1"/>
  <c r="T1650" i="1"/>
  <c r="AE1650" i="1"/>
  <c r="AD1650" i="1"/>
  <c r="AC1650" i="1"/>
  <c r="AB1650" i="1"/>
  <c r="AA1650" i="1"/>
  <c r="Z1650" i="1"/>
  <c r="Y1650" i="1"/>
  <c r="X1650" i="1"/>
  <c r="W1650" i="1"/>
  <c r="V1650" i="1"/>
  <c r="X834" i="1"/>
  <c r="W834" i="1"/>
  <c r="V834" i="1"/>
  <c r="T834" i="1"/>
  <c r="AE834" i="1"/>
  <c r="AD834" i="1"/>
  <c r="AC834" i="1"/>
  <c r="AB834" i="1"/>
  <c r="AA834" i="1"/>
  <c r="Z834" i="1"/>
  <c r="Y834" i="1"/>
  <c r="U834" i="1"/>
  <c r="AE705" i="1"/>
  <c r="AD705" i="1"/>
  <c r="AC705" i="1"/>
  <c r="AB705" i="1"/>
  <c r="AA705" i="1"/>
  <c r="Z705" i="1"/>
  <c r="Y705" i="1"/>
  <c r="X705" i="1"/>
  <c r="W705" i="1"/>
  <c r="V705" i="1"/>
  <c r="T705" i="1"/>
  <c r="U705" i="1"/>
  <c r="AA1075" i="1"/>
  <c r="T1075" i="1"/>
  <c r="AE1075" i="1"/>
  <c r="AD1075" i="1"/>
  <c r="AC1075" i="1"/>
  <c r="Z1075" i="1"/>
  <c r="Y1075" i="1"/>
  <c r="X1075" i="1"/>
  <c r="V1075" i="1"/>
  <c r="U1075" i="1"/>
  <c r="W1075" i="1"/>
  <c r="AB1075" i="1"/>
  <c r="X1311" i="1"/>
  <c r="W1311" i="1"/>
  <c r="V1311" i="1"/>
  <c r="T1311" i="1"/>
  <c r="AE1311" i="1"/>
  <c r="AD1311" i="1"/>
  <c r="AC1311" i="1"/>
  <c r="AB1311" i="1"/>
  <c r="AA1311" i="1"/>
  <c r="Z1311" i="1"/>
  <c r="Y1311" i="1"/>
  <c r="U1311" i="1"/>
  <c r="AC1866" i="1"/>
  <c r="AD1866" i="1"/>
  <c r="Y1866" i="1"/>
  <c r="AB1866" i="1"/>
  <c r="AA1866" i="1"/>
  <c r="AE1866" i="1"/>
  <c r="Z1866" i="1"/>
  <c r="X1866" i="1"/>
  <c r="W1866" i="1"/>
  <c r="V1866" i="1"/>
  <c r="U1866" i="1"/>
  <c r="T1866" i="1"/>
  <c r="Y1510" i="1"/>
  <c r="W1510" i="1"/>
  <c r="V1510" i="1"/>
  <c r="U1510" i="1"/>
  <c r="T1510" i="1"/>
  <c r="AD1510" i="1"/>
  <c r="AC1510" i="1"/>
  <c r="AB1510" i="1"/>
  <c r="Z1510" i="1"/>
  <c r="X1510" i="1"/>
  <c r="AE1510" i="1"/>
  <c r="AA1510" i="1"/>
  <c r="T835" i="1"/>
  <c r="AA835" i="1"/>
  <c r="Z835" i="1"/>
  <c r="AB835" i="1"/>
  <c r="Y835" i="1"/>
  <c r="X835" i="1"/>
  <c r="W835" i="1"/>
  <c r="V835" i="1"/>
  <c r="U835" i="1"/>
  <c r="AE835" i="1"/>
  <c r="AD835" i="1"/>
  <c r="AC835" i="1"/>
  <c r="AC1255" i="1"/>
  <c r="Y1255" i="1"/>
  <c r="X1255" i="1"/>
  <c r="W1255" i="1"/>
  <c r="T1255" i="1"/>
  <c r="AE1255" i="1"/>
  <c r="AD1255" i="1"/>
  <c r="AB1255" i="1"/>
  <c r="AA1255" i="1"/>
  <c r="Z1255" i="1"/>
  <c r="V1255" i="1"/>
  <c r="U1255" i="1"/>
  <c r="U1660" i="1"/>
  <c r="T1660" i="1"/>
  <c r="Z1660" i="1"/>
  <c r="Y1660" i="1"/>
  <c r="X1660" i="1"/>
  <c r="W1660" i="1"/>
  <c r="AE1660" i="1"/>
  <c r="AD1660" i="1"/>
  <c r="AB1660" i="1"/>
  <c r="AA1660" i="1"/>
  <c r="AC1660" i="1"/>
  <c r="V1660" i="1"/>
  <c r="AE1850" i="1"/>
  <c r="AC1850" i="1"/>
  <c r="AB1850" i="1"/>
  <c r="U1850" i="1"/>
  <c r="Z1850" i="1"/>
  <c r="Y1850" i="1"/>
  <c r="W1850" i="1"/>
  <c r="AD1850" i="1"/>
  <c r="AA1850" i="1"/>
  <c r="X1850" i="1"/>
  <c r="V1850" i="1"/>
  <c r="T1850" i="1"/>
  <c r="AE976" i="1"/>
  <c r="AD976" i="1"/>
  <c r="AC976" i="1"/>
  <c r="Z976" i="1"/>
  <c r="Y976" i="1"/>
  <c r="V976" i="1"/>
  <c r="U976" i="1"/>
  <c r="AB976" i="1"/>
  <c r="AA976" i="1"/>
  <c r="X976" i="1"/>
  <c r="W976" i="1"/>
  <c r="T976" i="1"/>
  <c r="AE685" i="1"/>
  <c r="AC685" i="1"/>
  <c r="AB685" i="1"/>
  <c r="AA685" i="1"/>
  <c r="Z685" i="1"/>
  <c r="X685" i="1"/>
  <c r="U685" i="1"/>
  <c r="T685" i="1"/>
  <c r="AD685" i="1"/>
  <c r="Y685" i="1"/>
  <c r="W685" i="1"/>
  <c r="V685" i="1"/>
  <c r="X1481" i="1"/>
  <c r="W1481" i="1"/>
  <c r="AE1481" i="1"/>
  <c r="AD1481" i="1"/>
  <c r="AC1481" i="1"/>
  <c r="AB1481" i="1"/>
  <c r="AA1481" i="1"/>
  <c r="Z1481" i="1"/>
  <c r="Y1481" i="1"/>
  <c r="U1481" i="1"/>
  <c r="T1481" i="1"/>
  <c r="V1481" i="1"/>
  <c r="X1495" i="1"/>
  <c r="W1495" i="1"/>
  <c r="V1495" i="1"/>
  <c r="T1495" i="1"/>
  <c r="AD1495" i="1"/>
  <c r="AE1495" i="1"/>
  <c r="Y1495" i="1"/>
  <c r="U1495" i="1"/>
  <c r="AC1495" i="1"/>
  <c r="AB1495" i="1"/>
  <c r="AA1495" i="1"/>
  <c r="Z1495" i="1"/>
  <c r="AE1685" i="1"/>
  <c r="AC1685" i="1"/>
  <c r="AB1685" i="1"/>
  <c r="AD1685" i="1"/>
  <c r="AA1685" i="1"/>
  <c r="Z1685" i="1"/>
  <c r="Y1685" i="1"/>
  <c r="X1685" i="1"/>
  <c r="W1685" i="1"/>
  <c r="U1685" i="1"/>
  <c r="V1685" i="1"/>
  <c r="T1685" i="1"/>
  <c r="AE1783" i="1"/>
  <c r="AD1783" i="1"/>
  <c r="AC1783" i="1"/>
  <c r="AB1783" i="1"/>
  <c r="AA1783" i="1"/>
  <c r="Z1783" i="1"/>
  <c r="Y1783" i="1"/>
  <c r="W1783" i="1"/>
  <c r="V1783" i="1"/>
  <c r="U1783" i="1"/>
  <c r="T1783" i="1"/>
  <c r="X1783" i="1"/>
  <c r="AC1534" i="1"/>
  <c r="AA1534" i="1"/>
  <c r="Z1534" i="1"/>
  <c r="AE1534" i="1"/>
  <c r="AD1534" i="1"/>
  <c r="AB1534" i="1"/>
  <c r="W1534" i="1"/>
  <c r="V1534" i="1"/>
  <c r="Y1534" i="1"/>
  <c r="X1534" i="1"/>
  <c r="U1534" i="1"/>
  <c r="T1534" i="1"/>
  <c r="AE1300" i="1"/>
  <c r="AD1300" i="1"/>
  <c r="AC1300" i="1"/>
  <c r="Z1300" i="1"/>
  <c r="T1300" i="1"/>
  <c r="W1300" i="1"/>
  <c r="V1300" i="1"/>
  <c r="U1300" i="1"/>
  <c r="AA1300" i="1"/>
  <c r="AB1300" i="1"/>
  <c r="Y1300" i="1"/>
  <c r="X1300" i="1"/>
  <c r="AD1445" i="1"/>
  <c r="W1445" i="1"/>
  <c r="V1445" i="1"/>
  <c r="Z1445" i="1"/>
  <c r="AE1445" i="1"/>
  <c r="AC1445" i="1"/>
  <c r="AB1445" i="1"/>
  <c r="AA1445" i="1"/>
  <c r="Y1445" i="1"/>
  <c r="X1445" i="1"/>
  <c r="U1445" i="1"/>
  <c r="T1445" i="1"/>
  <c r="Y983" i="1"/>
  <c r="AD983" i="1"/>
  <c r="Z983" i="1"/>
  <c r="X983" i="1"/>
  <c r="W983" i="1"/>
  <c r="U983" i="1"/>
  <c r="T983" i="1"/>
  <c r="AE983" i="1"/>
  <c r="AC983" i="1"/>
  <c r="AB983" i="1"/>
  <c r="AA983" i="1"/>
  <c r="V983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Y1152" i="1"/>
  <c r="W1152" i="1"/>
  <c r="AE1152" i="1"/>
  <c r="AD1152" i="1"/>
  <c r="AC1152" i="1"/>
  <c r="AB1152" i="1"/>
  <c r="AA1152" i="1"/>
  <c r="X1152" i="1"/>
  <c r="V1152" i="1"/>
  <c r="U1152" i="1"/>
  <c r="Z1152" i="1"/>
  <c r="T1152" i="1"/>
  <c r="AD1421" i="1"/>
  <c r="AC1421" i="1"/>
  <c r="AB1421" i="1"/>
  <c r="AA1421" i="1"/>
  <c r="Z1421" i="1"/>
  <c r="AE1421" i="1"/>
  <c r="Y1421" i="1"/>
  <c r="V1421" i="1"/>
  <c r="U1421" i="1"/>
  <c r="T1421" i="1"/>
  <c r="X1421" i="1"/>
  <c r="W1421" i="1"/>
  <c r="X1407" i="1"/>
  <c r="W1407" i="1"/>
  <c r="V1407" i="1"/>
  <c r="T1407" i="1"/>
  <c r="AC1407" i="1"/>
  <c r="AB1407" i="1"/>
  <c r="AA1407" i="1"/>
  <c r="AE1407" i="1"/>
  <c r="AD1407" i="1"/>
  <c r="Z1407" i="1"/>
  <c r="Y1407" i="1"/>
  <c r="U1407" i="1"/>
  <c r="AE1771" i="1" l="1"/>
  <c r="AD1771" i="1"/>
  <c r="AC1771" i="1"/>
  <c r="AB1771" i="1"/>
  <c r="AA1771" i="1"/>
  <c r="Z1771" i="1"/>
  <c r="W1771" i="1"/>
  <c r="U1771" i="1"/>
  <c r="T1771" i="1"/>
  <c r="Y1771" i="1"/>
  <c r="X1771" i="1"/>
  <c r="V1771" i="1"/>
  <c r="AD1155" i="1"/>
  <c r="X1155" i="1"/>
  <c r="T1155" i="1"/>
  <c r="Y1155" i="1"/>
  <c r="W1155" i="1"/>
  <c r="V1155" i="1"/>
  <c r="U1155" i="1"/>
  <c r="AE1155" i="1"/>
  <c r="AC1155" i="1"/>
  <c r="AB1155" i="1"/>
  <c r="Z1155" i="1"/>
  <c r="AA1155" i="1"/>
  <c r="AC1570" i="1"/>
  <c r="AA1570" i="1"/>
  <c r="Z1570" i="1"/>
  <c r="Y1570" i="1"/>
  <c r="X1570" i="1"/>
  <c r="W1570" i="1"/>
  <c r="V1570" i="1"/>
  <c r="U1570" i="1"/>
  <c r="T1570" i="1"/>
  <c r="AE1570" i="1"/>
  <c r="AD1570" i="1"/>
  <c r="AB1570" i="1"/>
  <c r="X1168" i="1"/>
  <c r="V1168" i="1"/>
  <c r="U1168" i="1"/>
  <c r="AE1168" i="1"/>
  <c r="AD1168" i="1"/>
  <c r="AC1168" i="1"/>
  <c r="AB1168" i="1"/>
  <c r="AA1168" i="1"/>
  <c r="Z1168" i="1"/>
  <c r="Y1168" i="1"/>
  <c r="W1168" i="1"/>
  <c r="T1168" i="1"/>
  <c r="X1147" i="1"/>
  <c r="V1147" i="1"/>
  <c r="Z1147" i="1"/>
  <c r="AA1147" i="1"/>
  <c r="Y1147" i="1"/>
  <c r="W1147" i="1"/>
  <c r="U1147" i="1"/>
  <c r="T1147" i="1"/>
  <c r="AE1147" i="1"/>
  <c r="AD1147" i="1"/>
  <c r="AB1147" i="1"/>
  <c r="AC1147" i="1"/>
  <c r="Y1158" i="1"/>
  <c r="W1158" i="1"/>
  <c r="AD1158" i="1"/>
  <c r="AA1158" i="1"/>
  <c r="Z1158" i="1"/>
  <c r="X1158" i="1"/>
  <c r="V1158" i="1"/>
  <c r="U1158" i="1"/>
  <c r="T1158" i="1"/>
  <c r="AE1158" i="1"/>
  <c r="AB1158" i="1"/>
  <c r="AC1158" i="1"/>
  <c r="Y1051" i="1"/>
  <c r="V1051" i="1"/>
  <c r="U1051" i="1"/>
  <c r="T1051" i="1"/>
  <c r="AD1051" i="1"/>
  <c r="AC1051" i="1"/>
  <c r="AB1051" i="1"/>
  <c r="Z1051" i="1"/>
  <c r="X1051" i="1"/>
  <c r="AA1051" i="1"/>
  <c r="AE1051" i="1"/>
  <c r="W1051" i="1"/>
  <c r="U1372" i="1"/>
  <c r="W1372" i="1"/>
  <c r="V1372" i="1"/>
  <c r="T1372" i="1"/>
  <c r="AE1372" i="1"/>
  <c r="AD1372" i="1"/>
  <c r="AC1372" i="1"/>
  <c r="AB1372" i="1"/>
  <c r="AA1372" i="1"/>
  <c r="Z1372" i="1"/>
  <c r="Y1372" i="1"/>
  <c r="X1372" i="1"/>
  <c r="AE1812" i="1"/>
  <c r="AD1812" i="1"/>
  <c r="AC1812" i="1"/>
  <c r="AB1812" i="1"/>
  <c r="AA1812" i="1"/>
  <c r="Y1812" i="1"/>
  <c r="Z1812" i="1"/>
  <c r="X1812" i="1"/>
  <c r="V1812" i="1"/>
  <c r="U1812" i="1"/>
  <c r="W1812" i="1"/>
  <c r="T1812" i="1"/>
  <c r="Z944" i="1"/>
  <c r="Y944" i="1"/>
  <c r="X944" i="1"/>
  <c r="W944" i="1"/>
  <c r="V944" i="1"/>
  <c r="AE944" i="1"/>
  <c r="AC944" i="1"/>
  <c r="AB944" i="1"/>
  <c r="AA944" i="1"/>
  <c r="U944" i="1"/>
  <c r="AD944" i="1"/>
  <c r="T944" i="1"/>
  <c r="AA1333" i="1"/>
  <c r="Z1333" i="1"/>
  <c r="Y1333" i="1"/>
  <c r="W1333" i="1"/>
  <c r="AC1333" i="1"/>
  <c r="AB1333" i="1"/>
  <c r="X1333" i="1"/>
  <c r="AE1333" i="1"/>
  <c r="AD1333" i="1"/>
  <c r="V1333" i="1"/>
  <c r="U1333" i="1"/>
  <c r="T1333" i="1"/>
  <c r="AE1790" i="1"/>
  <c r="AD1790" i="1"/>
  <c r="AB1790" i="1"/>
  <c r="AA1790" i="1"/>
  <c r="AC1790" i="1"/>
  <c r="Z1790" i="1"/>
  <c r="Y1790" i="1"/>
  <c r="X1790" i="1"/>
  <c r="W1790" i="1"/>
  <c r="V1790" i="1"/>
  <c r="U1790" i="1"/>
  <c r="T1790" i="1"/>
  <c r="Y1136" i="1"/>
  <c r="W1136" i="1"/>
  <c r="Z1136" i="1"/>
  <c r="AE1136" i="1"/>
  <c r="V1136" i="1"/>
  <c r="AD1136" i="1"/>
  <c r="AC1136" i="1"/>
  <c r="AB1136" i="1"/>
  <c r="X1136" i="1"/>
  <c r="U1136" i="1"/>
  <c r="T1136" i="1"/>
  <c r="AA1136" i="1"/>
  <c r="AC1538" i="1"/>
  <c r="AA1538" i="1"/>
  <c r="Z1538" i="1"/>
  <c r="AE1538" i="1"/>
  <c r="AD1538" i="1"/>
  <c r="AB1538" i="1"/>
  <c r="Y1538" i="1"/>
  <c r="X1538" i="1"/>
  <c r="W1538" i="1"/>
  <c r="V1538" i="1"/>
  <c r="U1538" i="1"/>
  <c r="T1538" i="1"/>
  <c r="AE1709" i="1"/>
  <c r="AC1709" i="1"/>
  <c r="AB1709" i="1"/>
  <c r="AA1709" i="1"/>
  <c r="AD1709" i="1"/>
  <c r="Z1709" i="1"/>
  <c r="Y1709" i="1"/>
  <c r="X1709" i="1"/>
  <c r="W1709" i="1"/>
  <c r="V1709" i="1"/>
  <c r="U1709" i="1"/>
  <c r="T1709" i="1"/>
  <c r="AE1713" i="1"/>
  <c r="AC1713" i="1"/>
  <c r="AB1713" i="1"/>
  <c r="AA1713" i="1"/>
  <c r="Z1713" i="1"/>
  <c r="Y1713" i="1"/>
  <c r="X1713" i="1"/>
  <c r="W1713" i="1"/>
  <c r="V1713" i="1"/>
  <c r="AD1713" i="1"/>
  <c r="U1713" i="1"/>
  <c r="T1713" i="1"/>
  <c r="AE1091" i="1"/>
  <c r="AD1091" i="1"/>
  <c r="AC1091" i="1"/>
  <c r="AB1091" i="1"/>
  <c r="AA1091" i="1"/>
  <c r="X1091" i="1"/>
  <c r="W1091" i="1"/>
  <c r="Z1091" i="1"/>
  <c r="Y1091" i="1"/>
  <c r="V1091" i="1"/>
  <c r="U1091" i="1"/>
  <c r="T1091" i="1"/>
  <c r="AE1719" i="1"/>
  <c r="AC1719" i="1"/>
  <c r="AB1719" i="1"/>
  <c r="AA1719" i="1"/>
  <c r="X1719" i="1"/>
  <c r="W1719" i="1"/>
  <c r="V1719" i="1"/>
  <c r="U1719" i="1"/>
  <c r="T1719" i="1"/>
  <c r="Y1719" i="1"/>
  <c r="AD1719" i="1"/>
  <c r="Z1719" i="1"/>
  <c r="Z1514" i="1"/>
  <c r="AA1514" i="1"/>
  <c r="Y1514" i="1"/>
  <c r="X1514" i="1"/>
  <c r="W1514" i="1"/>
  <c r="V1514" i="1"/>
  <c r="AC1514" i="1"/>
  <c r="AB1514" i="1"/>
  <c r="U1514" i="1"/>
  <c r="T1514" i="1"/>
  <c r="AE1514" i="1"/>
  <c r="AD1514" i="1"/>
  <c r="AE1739" i="1"/>
  <c r="AC1739" i="1"/>
  <c r="AB1739" i="1"/>
  <c r="AA1739" i="1"/>
  <c r="AD1739" i="1"/>
  <c r="X1739" i="1"/>
  <c r="Y1739" i="1"/>
  <c r="W1739" i="1"/>
  <c r="V1739" i="1"/>
  <c r="U1739" i="1"/>
  <c r="Z1739" i="1"/>
  <c r="T1739" i="1"/>
  <c r="T1527" i="1"/>
  <c r="X1527" i="1"/>
  <c r="W1527" i="1"/>
  <c r="V1527" i="1"/>
  <c r="AE1527" i="1"/>
  <c r="AD1527" i="1"/>
  <c r="AC1527" i="1"/>
  <c r="AB1527" i="1"/>
  <c r="AA1527" i="1"/>
  <c r="Z1527" i="1"/>
  <c r="Y1527" i="1"/>
  <c r="U1527" i="1"/>
  <c r="U1231" i="1"/>
  <c r="AB1231" i="1"/>
  <c r="AA1231" i="1"/>
  <c r="Z1231" i="1"/>
  <c r="Y1231" i="1"/>
  <c r="X1231" i="1"/>
  <c r="W1231" i="1"/>
  <c r="V1231" i="1"/>
  <c r="T1231" i="1"/>
  <c r="AE1231" i="1"/>
  <c r="AC1231" i="1"/>
  <c r="AD1231" i="1"/>
  <c r="AE1769" i="1"/>
  <c r="AD1769" i="1"/>
  <c r="AC1769" i="1"/>
  <c r="AB1769" i="1"/>
  <c r="AA1769" i="1"/>
  <c r="Z1769" i="1"/>
  <c r="X1769" i="1"/>
  <c r="W1769" i="1"/>
  <c r="U1769" i="1"/>
  <c r="Y1769" i="1"/>
  <c r="V1769" i="1"/>
  <c r="T1769" i="1"/>
  <c r="Z1682" i="1"/>
  <c r="Y1682" i="1"/>
  <c r="V1682" i="1"/>
  <c r="AE1682" i="1"/>
  <c r="AD1682" i="1"/>
  <c r="AC1682" i="1"/>
  <c r="AB1682" i="1"/>
  <c r="AA1682" i="1"/>
  <c r="X1682" i="1"/>
  <c r="W1682" i="1"/>
  <c r="T1682" i="1"/>
  <c r="U1682" i="1"/>
  <c r="V924" i="1"/>
  <c r="U924" i="1"/>
  <c r="T924" i="1"/>
  <c r="AE924" i="1"/>
  <c r="AD924" i="1"/>
  <c r="AC924" i="1"/>
  <c r="AB924" i="1"/>
  <c r="AA924" i="1"/>
  <c r="Z924" i="1"/>
  <c r="Y924" i="1"/>
  <c r="X924" i="1"/>
  <c r="W924" i="1"/>
  <c r="X1726" i="1"/>
  <c r="W1726" i="1"/>
  <c r="V1726" i="1"/>
  <c r="U1726" i="1"/>
  <c r="T1726" i="1"/>
  <c r="Y1726" i="1"/>
  <c r="AA1726" i="1"/>
  <c r="AB1726" i="1"/>
  <c r="Z1726" i="1"/>
  <c r="AE1726" i="1"/>
  <c r="AD1726" i="1"/>
  <c r="AC1726" i="1"/>
  <c r="Y1154" i="1"/>
  <c r="W1154" i="1"/>
  <c r="AE1154" i="1"/>
  <c r="AD1154" i="1"/>
  <c r="AC1154" i="1"/>
  <c r="U1154" i="1"/>
  <c r="AB1154" i="1"/>
  <c r="AA1154" i="1"/>
  <c r="Z1154" i="1"/>
  <c r="V1154" i="1"/>
  <c r="X1154" i="1"/>
  <c r="T1154" i="1"/>
  <c r="X1615" i="1"/>
  <c r="W1615" i="1"/>
  <c r="V1615" i="1"/>
  <c r="U1615" i="1"/>
  <c r="T1615" i="1"/>
  <c r="Y1615" i="1"/>
  <c r="Z1615" i="1"/>
  <c r="AE1615" i="1"/>
  <c r="AD1615" i="1"/>
  <c r="AC1615" i="1"/>
  <c r="AB1615" i="1"/>
  <c r="AA1615" i="1"/>
  <c r="AD800" i="1"/>
  <c r="W800" i="1"/>
  <c r="V800" i="1"/>
  <c r="U800" i="1"/>
  <c r="T800" i="1"/>
  <c r="AE800" i="1"/>
  <c r="AA800" i="1"/>
  <c r="Z800" i="1"/>
  <c r="Y800" i="1"/>
  <c r="X800" i="1"/>
  <c r="AC800" i="1"/>
  <c r="AB800" i="1"/>
  <c r="T1675" i="1"/>
  <c r="W1675" i="1"/>
  <c r="V1675" i="1"/>
  <c r="U1675" i="1"/>
  <c r="Z1675" i="1"/>
  <c r="Y1675" i="1"/>
  <c r="AE1675" i="1"/>
  <c r="AD1675" i="1"/>
  <c r="AC1675" i="1"/>
  <c r="AB1675" i="1"/>
  <c r="AA1675" i="1"/>
  <c r="X1675" i="1"/>
  <c r="V900" i="1"/>
  <c r="U900" i="1"/>
  <c r="T900" i="1"/>
  <c r="AE900" i="1"/>
  <c r="AD900" i="1"/>
  <c r="AC900" i="1"/>
  <c r="AB900" i="1"/>
  <c r="AA900" i="1"/>
  <c r="Z900" i="1"/>
  <c r="Y900" i="1"/>
  <c r="W900" i="1"/>
  <c r="X900" i="1"/>
  <c r="AD908" i="1"/>
  <c r="AC908" i="1"/>
  <c r="AB908" i="1"/>
  <c r="W908" i="1"/>
  <c r="T908" i="1"/>
  <c r="AE908" i="1"/>
  <c r="AA908" i="1"/>
  <c r="Z908" i="1"/>
  <c r="Y908" i="1"/>
  <c r="X908" i="1"/>
  <c r="V908" i="1"/>
  <c r="U908" i="1"/>
  <c r="AC947" i="1"/>
  <c r="V947" i="1"/>
  <c r="U947" i="1"/>
  <c r="T947" i="1"/>
  <c r="AE947" i="1"/>
  <c r="AD947" i="1"/>
  <c r="AB947" i="1"/>
  <c r="AA947" i="1"/>
  <c r="Z947" i="1"/>
  <c r="Y947" i="1"/>
  <c r="X947" i="1"/>
  <c r="W947" i="1"/>
  <c r="W1498" i="1"/>
  <c r="V1498" i="1"/>
  <c r="U1498" i="1"/>
  <c r="T1498" i="1"/>
  <c r="AE1498" i="1"/>
  <c r="AD1498" i="1"/>
  <c r="AC1498" i="1"/>
  <c r="Y1498" i="1"/>
  <c r="X1498" i="1"/>
  <c r="AB1498" i="1"/>
  <c r="AA1498" i="1"/>
  <c r="Z1498" i="1"/>
  <c r="AE1387" i="1"/>
  <c r="AD1387" i="1"/>
  <c r="AC1387" i="1"/>
  <c r="AB1387" i="1"/>
  <c r="AA1387" i="1"/>
  <c r="Z1387" i="1"/>
  <c r="W1387" i="1"/>
  <c r="V1387" i="1"/>
  <c r="Y1387" i="1"/>
  <c r="X1387" i="1"/>
  <c r="U1387" i="1"/>
  <c r="T1387" i="1"/>
  <c r="AD798" i="1"/>
  <c r="V798" i="1"/>
  <c r="U798" i="1"/>
  <c r="T798" i="1"/>
  <c r="AC798" i="1"/>
  <c r="Z798" i="1"/>
  <c r="Y798" i="1"/>
  <c r="X798" i="1"/>
  <c r="W798" i="1"/>
  <c r="AE798" i="1"/>
  <c r="AB798" i="1"/>
  <c r="AA798" i="1"/>
  <c r="X1267" i="1"/>
  <c r="V1267" i="1"/>
  <c r="AC1267" i="1"/>
  <c r="AA1267" i="1"/>
  <c r="Z1267" i="1"/>
  <c r="Y1267" i="1"/>
  <c r="AE1267" i="1"/>
  <c r="AD1267" i="1"/>
  <c r="AB1267" i="1"/>
  <c r="W1267" i="1"/>
  <c r="U1267" i="1"/>
  <c r="T1267" i="1"/>
  <c r="W1338" i="1"/>
  <c r="AE1338" i="1"/>
  <c r="AB1338" i="1"/>
  <c r="X1338" i="1"/>
  <c r="V1338" i="1"/>
  <c r="U1338" i="1"/>
  <c r="AD1338" i="1"/>
  <c r="Z1338" i="1"/>
  <c r="AC1338" i="1"/>
  <c r="AA1338" i="1"/>
  <c r="Y1338" i="1"/>
  <c r="T1338" i="1"/>
  <c r="V1388" i="1"/>
  <c r="U1388" i="1"/>
  <c r="AE1388" i="1"/>
  <c r="AD1388" i="1"/>
  <c r="AB1388" i="1"/>
  <c r="Z1388" i="1"/>
  <c r="X1388" i="1"/>
  <c r="T1388" i="1"/>
  <c r="Y1388" i="1"/>
  <c r="W1388" i="1"/>
  <c r="AC1388" i="1"/>
  <c r="AA1388" i="1"/>
  <c r="Y1148" i="1"/>
  <c r="W1148" i="1"/>
  <c r="AD1148" i="1"/>
  <c r="AC1148" i="1"/>
  <c r="AB1148" i="1"/>
  <c r="AA1148" i="1"/>
  <c r="Z1148" i="1"/>
  <c r="X1148" i="1"/>
  <c r="V1148" i="1"/>
  <c r="U1148" i="1"/>
  <c r="T1148" i="1"/>
  <c r="AE1148" i="1"/>
  <c r="AE1681" i="1"/>
  <c r="AC1681" i="1"/>
  <c r="AB1681" i="1"/>
  <c r="V1681" i="1"/>
  <c r="U1681" i="1"/>
  <c r="T1681" i="1"/>
  <c r="W1681" i="1"/>
  <c r="X1681" i="1"/>
  <c r="AD1681" i="1"/>
  <c r="AA1681" i="1"/>
  <c r="Z1681" i="1"/>
  <c r="Y1681" i="1"/>
  <c r="X1708" i="1"/>
  <c r="W1708" i="1"/>
  <c r="V1708" i="1"/>
  <c r="T1708" i="1"/>
  <c r="AE1708" i="1"/>
  <c r="AD1708" i="1"/>
  <c r="AC1708" i="1"/>
  <c r="AA1708" i="1"/>
  <c r="Z1708" i="1"/>
  <c r="Y1708" i="1"/>
  <c r="U1708" i="1"/>
  <c r="AB1708" i="1"/>
  <c r="V1143" i="1"/>
  <c r="T1143" i="1"/>
  <c r="AE1143" i="1"/>
  <c r="AD1143" i="1"/>
  <c r="AC1143" i="1"/>
  <c r="AA1143" i="1"/>
  <c r="Z1143" i="1"/>
  <c r="Y1143" i="1"/>
  <c r="X1143" i="1"/>
  <c r="W1143" i="1"/>
  <c r="AB1143" i="1"/>
  <c r="U1143" i="1"/>
  <c r="AC915" i="1"/>
  <c r="V915" i="1"/>
  <c r="U915" i="1"/>
  <c r="T915" i="1"/>
  <c r="AE915" i="1"/>
  <c r="AD915" i="1"/>
  <c r="AB915" i="1"/>
  <c r="AA915" i="1"/>
  <c r="Z915" i="1"/>
  <c r="Y915" i="1"/>
  <c r="X915" i="1"/>
  <c r="W915" i="1"/>
  <c r="T847" i="1"/>
  <c r="AC847" i="1"/>
  <c r="AB847" i="1"/>
  <c r="AE847" i="1"/>
  <c r="AD847" i="1"/>
  <c r="AA847" i="1"/>
  <c r="Z847" i="1"/>
  <c r="X847" i="1"/>
  <c r="V847" i="1"/>
  <c r="U847" i="1"/>
  <c r="Y847" i="1"/>
  <c r="W847" i="1"/>
  <c r="AD956" i="1"/>
  <c r="AC956" i="1"/>
  <c r="AB956" i="1"/>
  <c r="AA956" i="1"/>
  <c r="Z956" i="1"/>
  <c r="AE956" i="1"/>
  <c r="Y956" i="1"/>
  <c r="X956" i="1"/>
  <c r="W956" i="1"/>
  <c r="U956" i="1"/>
  <c r="V956" i="1"/>
  <c r="T956" i="1"/>
  <c r="AE1707" i="1"/>
  <c r="AC1707" i="1"/>
  <c r="AB1707" i="1"/>
  <c r="AA1707" i="1"/>
  <c r="Y1707" i="1"/>
  <c r="AD1707" i="1"/>
  <c r="V1707" i="1"/>
  <c r="U1707" i="1"/>
  <c r="T1707" i="1"/>
  <c r="Z1707" i="1"/>
  <c r="X1707" i="1"/>
  <c r="W1707" i="1"/>
  <c r="AD1399" i="1"/>
  <c r="Z1399" i="1"/>
  <c r="Y1399" i="1"/>
  <c r="X1399" i="1"/>
  <c r="W1399" i="1"/>
  <c r="V1399" i="1"/>
  <c r="U1399" i="1"/>
  <c r="T1399" i="1"/>
  <c r="AE1399" i="1"/>
  <c r="AC1399" i="1"/>
  <c r="AB1399" i="1"/>
  <c r="AA1399" i="1"/>
  <c r="W1474" i="1"/>
  <c r="V1474" i="1"/>
  <c r="U1474" i="1"/>
  <c r="T1474" i="1"/>
  <c r="Y1474" i="1"/>
  <c r="X1474" i="1"/>
  <c r="AB1474" i="1"/>
  <c r="AA1474" i="1"/>
  <c r="AE1474" i="1"/>
  <c r="AD1474" i="1"/>
  <c r="AC1474" i="1"/>
  <c r="Z1474" i="1"/>
  <c r="AE1268" i="1"/>
  <c r="AC1268" i="1"/>
  <c r="AD1268" i="1"/>
  <c r="AB1268" i="1"/>
  <c r="AA1268" i="1"/>
  <c r="Z1268" i="1"/>
  <c r="Y1268" i="1"/>
  <c r="W1268" i="1"/>
  <c r="V1268" i="1"/>
  <c r="U1268" i="1"/>
  <c r="X1268" i="1"/>
  <c r="T1268" i="1"/>
  <c r="AB1453" i="1"/>
  <c r="AA1453" i="1"/>
  <c r="AE1453" i="1"/>
  <c r="AD1453" i="1"/>
  <c r="AC1453" i="1"/>
  <c r="Z1453" i="1"/>
  <c r="Y1453" i="1"/>
  <c r="W1453" i="1"/>
  <c r="V1453" i="1"/>
  <c r="U1453" i="1"/>
  <c r="X1453" i="1"/>
  <c r="T1453" i="1"/>
  <c r="Z1852" i="1"/>
  <c r="Y1852" i="1"/>
  <c r="X1852" i="1"/>
  <c r="W1852" i="1"/>
  <c r="V1852" i="1"/>
  <c r="U1852" i="1"/>
  <c r="T1852" i="1"/>
  <c r="AE1852" i="1"/>
  <c r="AD1852" i="1"/>
  <c r="AC1852" i="1"/>
  <c r="AB1852" i="1"/>
  <c r="AA1852" i="1"/>
  <c r="AC1050" i="1"/>
  <c r="U1050" i="1"/>
  <c r="AB1050" i="1"/>
  <c r="T1050" i="1"/>
  <c r="AD1050" i="1"/>
  <c r="AA1050" i="1"/>
  <c r="Z1050" i="1"/>
  <c r="Y1050" i="1"/>
  <c r="X1050" i="1"/>
  <c r="W1050" i="1"/>
  <c r="V1050" i="1"/>
  <c r="AE1050" i="1"/>
  <c r="V1135" i="1"/>
  <c r="U1135" i="1"/>
  <c r="T1135" i="1"/>
  <c r="AE1135" i="1"/>
  <c r="AC1135" i="1"/>
  <c r="Z1135" i="1"/>
  <c r="Y1135" i="1"/>
  <c r="X1135" i="1"/>
  <c r="W1135" i="1"/>
  <c r="AD1135" i="1"/>
  <c r="AB1135" i="1"/>
  <c r="AA1135" i="1"/>
  <c r="AE1813" i="1"/>
  <c r="AD1813" i="1"/>
  <c r="AC1813" i="1"/>
  <c r="AB1813" i="1"/>
  <c r="AA1813" i="1"/>
  <c r="Z1813" i="1"/>
  <c r="Y1813" i="1"/>
  <c r="W1813" i="1"/>
  <c r="V1813" i="1"/>
  <c r="U1813" i="1"/>
  <c r="T1813" i="1"/>
  <c r="X1813" i="1"/>
  <c r="AE1736" i="1"/>
  <c r="AD1736" i="1"/>
  <c r="AC1736" i="1"/>
  <c r="AB1736" i="1"/>
  <c r="Z1736" i="1"/>
  <c r="Y1736" i="1"/>
  <c r="X1736" i="1"/>
  <c r="W1736" i="1"/>
  <c r="V1736" i="1"/>
  <c r="T1736" i="1"/>
  <c r="AA1736" i="1"/>
  <c r="U1736" i="1"/>
  <c r="AA1197" i="1"/>
  <c r="Y1197" i="1"/>
  <c r="AE1197" i="1"/>
  <c r="AD1197" i="1"/>
  <c r="AC1197" i="1"/>
  <c r="U1197" i="1"/>
  <c r="AB1197" i="1"/>
  <c r="X1197" i="1"/>
  <c r="W1197" i="1"/>
  <c r="Z1197" i="1"/>
  <c r="V1197" i="1"/>
  <c r="T1197" i="1"/>
  <c r="AC1167" i="1"/>
  <c r="Y1167" i="1"/>
  <c r="X1167" i="1"/>
  <c r="AA1167" i="1"/>
  <c r="AE1167" i="1"/>
  <c r="AD1167" i="1"/>
  <c r="AB1167" i="1"/>
  <c r="W1167" i="1"/>
  <c r="V1167" i="1"/>
  <c r="Z1167" i="1"/>
  <c r="U1167" i="1"/>
  <c r="T1167" i="1"/>
  <c r="AD1373" i="1"/>
  <c r="AC1373" i="1"/>
  <c r="Z1373" i="1"/>
  <c r="Y1373" i="1"/>
  <c r="X1373" i="1"/>
  <c r="AE1373" i="1"/>
  <c r="AB1373" i="1"/>
  <c r="AA1373" i="1"/>
  <c r="W1373" i="1"/>
  <c r="V1373" i="1"/>
  <c r="U1373" i="1"/>
  <c r="T1373" i="1"/>
  <c r="Z1038" i="1"/>
  <c r="AE1038" i="1"/>
  <c r="AD1038" i="1"/>
  <c r="AC1038" i="1"/>
  <c r="AB1038" i="1"/>
  <c r="AA1038" i="1"/>
  <c r="U1038" i="1"/>
  <c r="Y1038" i="1"/>
  <c r="X1038" i="1"/>
  <c r="W1038" i="1"/>
  <c r="V1038" i="1"/>
  <c r="T1038" i="1"/>
  <c r="W1464" i="1"/>
  <c r="V1464" i="1"/>
  <c r="U1464" i="1"/>
  <c r="T1464" i="1"/>
  <c r="Y1464" i="1"/>
  <c r="X1464" i="1"/>
  <c r="AE1464" i="1"/>
  <c r="AD1464" i="1"/>
  <c r="AC1464" i="1"/>
  <c r="AB1464" i="1"/>
  <c r="AA1464" i="1"/>
  <c r="Z1464" i="1"/>
  <c r="AA848" i="1"/>
  <c r="Z848" i="1"/>
  <c r="Y848" i="1"/>
  <c r="W848" i="1"/>
  <c r="V848" i="1"/>
  <c r="AE848" i="1"/>
  <c r="AD848" i="1"/>
  <c r="AC848" i="1"/>
  <c r="AB848" i="1"/>
  <c r="X848" i="1"/>
  <c r="U848" i="1"/>
  <c r="T848" i="1"/>
  <c r="AB1429" i="1"/>
  <c r="AA1429" i="1"/>
  <c r="Z1429" i="1"/>
  <c r="Y1429" i="1"/>
  <c r="X1429" i="1"/>
  <c r="W1429" i="1"/>
  <c r="V1429" i="1"/>
  <c r="U1429" i="1"/>
  <c r="T1429" i="1"/>
  <c r="AE1429" i="1"/>
  <c r="AD1429" i="1"/>
  <c r="AC1429" i="1"/>
  <c r="AE890" i="1"/>
  <c r="Y890" i="1"/>
  <c r="V890" i="1"/>
  <c r="U890" i="1"/>
  <c r="AD890" i="1"/>
  <c r="AC890" i="1"/>
  <c r="AB890" i="1"/>
  <c r="Z890" i="1"/>
  <c r="W890" i="1"/>
  <c r="T890" i="1"/>
  <c r="AA890" i="1"/>
  <c r="X890" i="1"/>
  <c r="AE1690" i="1"/>
  <c r="Z1690" i="1"/>
  <c r="Y1690" i="1"/>
  <c r="X1690" i="1"/>
  <c r="W1690" i="1"/>
  <c r="U1690" i="1"/>
  <c r="T1690" i="1"/>
  <c r="AD1690" i="1"/>
  <c r="AC1690" i="1"/>
  <c r="AB1690" i="1"/>
  <c r="AA1690" i="1"/>
  <c r="V1690" i="1"/>
  <c r="U1370" i="1"/>
  <c r="V1370" i="1"/>
  <c r="T1370" i="1"/>
  <c r="AD1370" i="1"/>
  <c r="AC1370" i="1"/>
  <c r="AB1370" i="1"/>
  <c r="AA1370" i="1"/>
  <c r="Z1370" i="1"/>
  <c r="Y1370" i="1"/>
  <c r="X1370" i="1"/>
  <c r="W1370" i="1"/>
  <c r="AE1370" i="1"/>
  <c r="Y1104" i="1"/>
  <c r="Z1104" i="1"/>
  <c r="W1104" i="1"/>
  <c r="T1104" i="1"/>
  <c r="AE1104" i="1"/>
  <c r="AD1104" i="1"/>
  <c r="AC1104" i="1"/>
  <c r="AB1104" i="1"/>
  <c r="AA1104" i="1"/>
  <c r="X1104" i="1"/>
  <c r="V1104" i="1"/>
  <c r="U1104" i="1"/>
  <c r="AE1355" i="1"/>
  <c r="AD1355" i="1"/>
  <c r="AB1355" i="1"/>
  <c r="Z1355" i="1"/>
  <c r="X1355" i="1"/>
  <c r="W1355" i="1"/>
  <c r="AC1355" i="1"/>
  <c r="AA1355" i="1"/>
  <c r="V1355" i="1"/>
  <c r="Y1355" i="1"/>
  <c r="U1355" i="1"/>
  <c r="T1355" i="1"/>
  <c r="Y1015" i="1"/>
  <c r="AD1015" i="1"/>
  <c r="AC1015" i="1"/>
  <c r="AB1015" i="1"/>
  <c r="Z1015" i="1"/>
  <c r="X1015" i="1"/>
  <c r="AE1015" i="1"/>
  <c r="AA1015" i="1"/>
  <c r="W1015" i="1"/>
  <c r="V1015" i="1"/>
  <c r="U1015" i="1"/>
  <c r="T1015" i="1"/>
  <c r="Y1049" i="1"/>
  <c r="AE1049" i="1"/>
  <c r="AD1049" i="1"/>
  <c r="AC1049" i="1"/>
  <c r="AB1049" i="1"/>
  <c r="AA1049" i="1"/>
  <c r="Z1049" i="1"/>
  <c r="X1049" i="1"/>
  <c r="U1049" i="1"/>
  <c r="T1049" i="1"/>
  <c r="W1049" i="1"/>
  <c r="V1049" i="1"/>
  <c r="W1440" i="1"/>
  <c r="V1440" i="1"/>
  <c r="U1440" i="1"/>
  <c r="T1440" i="1"/>
  <c r="AE1440" i="1"/>
  <c r="Y1440" i="1"/>
  <c r="AD1440" i="1"/>
  <c r="AC1440" i="1"/>
  <c r="AA1440" i="1"/>
  <c r="Z1440" i="1"/>
  <c r="AB1440" i="1"/>
  <c r="X1440" i="1"/>
  <c r="AC1526" i="1"/>
  <c r="Z1526" i="1"/>
  <c r="AD1526" i="1"/>
  <c r="AB1526" i="1"/>
  <c r="AA1526" i="1"/>
  <c r="Y1526" i="1"/>
  <c r="X1526" i="1"/>
  <c r="AE1526" i="1"/>
  <c r="W1526" i="1"/>
  <c r="V1526" i="1"/>
  <c r="U1526" i="1"/>
  <c r="T1526" i="1"/>
  <c r="X1293" i="1"/>
  <c r="V1293" i="1"/>
  <c r="T1293" i="1"/>
  <c r="Z1293" i="1"/>
  <c r="Y1293" i="1"/>
  <c r="W1293" i="1"/>
  <c r="U1293" i="1"/>
  <c r="AE1293" i="1"/>
  <c r="AD1293" i="1"/>
  <c r="AC1293" i="1"/>
  <c r="AB1293" i="1"/>
  <c r="AA1293" i="1"/>
  <c r="U1662" i="1"/>
  <c r="T1662" i="1"/>
  <c r="AB1662" i="1"/>
  <c r="AA1662" i="1"/>
  <c r="Z1662" i="1"/>
  <c r="Y1662" i="1"/>
  <c r="V1662" i="1"/>
  <c r="AE1662" i="1"/>
  <c r="AD1662" i="1"/>
  <c r="AC1662" i="1"/>
  <c r="X1662" i="1"/>
  <c r="W1662" i="1"/>
  <c r="AE1712" i="1"/>
  <c r="AD1712" i="1"/>
  <c r="AB1712" i="1"/>
  <c r="AC1712" i="1"/>
  <c r="AA1712" i="1"/>
  <c r="Z1712" i="1"/>
  <c r="Y1712" i="1"/>
  <c r="X1712" i="1"/>
  <c r="W1712" i="1"/>
  <c r="V1712" i="1"/>
  <c r="U1712" i="1"/>
  <c r="T1712" i="1"/>
  <c r="V1631" i="1"/>
  <c r="U1631" i="1"/>
  <c r="T1631" i="1"/>
  <c r="AD1631" i="1"/>
  <c r="W1631" i="1"/>
  <c r="AE1631" i="1"/>
  <c r="AC1631" i="1"/>
  <c r="AB1631" i="1"/>
  <c r="AA1631" i="1"/>
  <c r="Z1631" i="1"/>
  <c r="Y1631" i="1"/>
  <c r="X1631" i="1"/>
  <c r="Y1090" i="1"/>
  <c r="W1090" i="1"/>
  <c r="U1090" i="1"/>
  <c r="T1090" i="1"/>
  <c r="AE1090" i="1"/>
  <c r="AD1090" i="1"/>
  <c r="AC1090" i="1"/>
  <c r="AB1090" i="1"/>
  <c r="AA1090" i="1"/>
  <c r="Z1090" i="1"/>
  <c r="X1090" i="1"/>
  <c r="V1090" i="1"/>
  <c r="AD1294" i="1"/>
  <c r="AC1294" i="1"/>
  <c r="AB1294" i="1"/>
  <c r="W1294" i="1"/>
  <c r="V1294" i="1"/>
  <c r="U1294" i="1"/>
  <c r="T1294" i="1"/>
  <c r="AE1294" i="1"/>
  <c r="AA1294" i="1"/>
  <c r="Z1294" i="1"/>
  <c r="Y1294" i="1"/>
  <c r="X1294" i="1"/>
  <c r="AA1046" i="1"/>
  <c r="AE1046" i="1"/>
  <c r="AD1046" i="1"/>
  <c r="X1046" i="1"/>
  <c r="AC1046" i="1"/>
  <c r="AB1046" i="1"/>
  <c r="Z1046" i="1"/>
  <c r="Y1046" i="1"/>
  <c r="W1046" i="1"/>
  <c r="V1046" i="1"/>
  <c r="U1046" i="1"/>
  <c r="T1046" i="1"/>
  <c r="AB1451" i="1"/>
  <c r="AA1451" i="1"/>
  <c r="AE1451" i="1"/>
  <c r="AD1451" i="1"/>
  <c r="AC1451" i="1"/>
  <c r="Z1451" i="1"/>
  <c r="Y1451" i="1"/>
  <c r="X1451" i="1"/>
  <c r="W1451" i="1"/>
  <c r="U1451" i="1"/>
  <c r="T1451" i="1"/>
  <c r="V1451" i="1"/>
  <c r="AC943" i="1"/>
  <c r="AD943" i="1"/>
  <c r="AB943" i="1"/>
  <c r="AA943" i="1"/>
  <c r="Z943" i="1"/>
  <c r="Y943" i="1"/>
  <c r="X943" i="1"/>
  <c r="V943" i="1"/>
  <c r="U943" i="1"/>
  <c r="T943" i="1"/>
  <c r="W943" i="1"/>
  <c r="AE943" i="1"/>
  <c r="X1275" i="1"/>
  <c r="V1275" i="1"/>
  <c r="AC1275" i="1"/>
  <c r="Y1275" i="1"/>
  <c r="W1275" i="1"/>
  <c r="U1275" i="1"/>
  <c r="AB1275" i="1"/>
  <c r="AA1275" i="1"/>
  <c r="Z1275" i="1"/>
  <c r="T1275" i="1"/>
  <c r="AE1275" i="1"/>
  <c r="AD1275" i="1"/>
  <c r="AD1341" i="1"/>
  <c r="AC1341" i="1"/>
  <c r="AB1341" i="1"/>
  <c r="Z1341" i="1"/>
  <c r="X1341" i="1"/>
  <c r="W1341" i="1"/>
  <c r="V1341" i="1"/>
  <c r="U1341" i="1"/>
  <c r="T1341" i="1"/>
  <c r="AE1341" i="1"/>
  <c r="AA1341" i="1"/>
  <c r="Y1341" i="1"/>
  <c r="T1770" i="1"/>
  <c r="AB1770" i="1"/>
  <c r="AA1770" i="1"/>
  <c r="Z1770" i="1"/>
  <c r="Y1770" i="1"/>
  <c r="W1770" i="1"/>
  <c r="V1770" i="1"/>
  <c r="U1770" i="1"/>
  <c r="AE1770" i="1"/>
  <c r="AD1770" i="1"/>
  <c r="AC1770" i="1"/>
  <c r="X1770" i="1"/>
  <c r="Y997" i="1"/>
  <c r="Z997" i="1"/>
  <c r="X997" i="1"/>
  <c r="W997" i="1"/>
  <c r="V997" i="1"/>
  <c r="U997" i="1"/>
  <c r="AE997" i="1"/>
  <c r="AD997" i="1"/>
  <c r="AC997" i="1"/>
  <c r="AB997" i="1"/>
  <c r="T997" i="1"/>
  <c r="AA997" i="1"/>
  <c r="X1174" i="1"/>
  <c r="V1174" i="1"/>
  <c r="AC1174" i="1"/>
  <c r="AA1174" i="1"/>
  <c r="AD1174" i="1"/>
  <c r="W1174" i="1"/>
  <c r="U1174" i="1"/>
  <c r="T1174" i="1"/>
  <c r="AE1174" i="1"/>
  <c r="AB1174" i="1"/>
  <c r="Z1174" i="1"/>
  <c r="Y1174" i="1"/>
  <c r="X1236" i="1"/>
  <c r="V1236" i="1"/>
  <c r="AC1236" i="1"/>
  <c r="AB1236" i="1"/>
  <c r="AE1236" i="1"/>
  <c r="AD1236" i="1"/>
  <c r="AA1236" i="1"/>
  <c r="T1236" i="1"/>
  <c r="Z1236" i="1"/>
  <c r="Y1236" i="1"/>
  <c r="W1236" i="1"/>
  <c r="U1236" i="1"/>
  <c r="AE1603" i="1"/>
  <c r="AD1603" i="1"/>
  <c r="AC1603" i="1"/>
  <c r="Z1603" i="1"/>
  <c r="X1603" i="1"/>
  <c r="W1603" i="1"/>
  <c r="Y1603" i="1"/>
  <c r="V1603" i="1"/>
  <c r="U1603" i="1"/>
  <c r="T1603" i="1"/>
  <c r="AA1603" i="1"/>
  <c r="AB1603" i="1"/>
  <c r="AC869" i="1"/>
  <c r="U869" i="1"/>
  <c r="T869" i="1"/>
  <c r="AE869" i="1"/>
  <c r="AD869" i="1"/>
  <c r="AB869" i="1"/>
  <c r="AA869" i="1"/>
  <c r="Z869" i="1"/>
  <c r="Y869" i="1"/>
  <c r="X869" i="1"/>
  <c r="W869" i="1"/>
  <c r="V869" i="1"/>
  <c r="Y1067" i="1"/>
  <c r="AE1067" i="1"/>
  <c r="W1067" i="1"/>
  <c r="V1067" i="1"/>
  <c r="U1067" i="1"/>
  <c r="T1067" i="1"/>
  <c r="AB1067" i="1"/>
  <c r="AA1067" i="1"/>
  <c r="Z1067" i="1"/>
  <c r="X1067" i="1"/>
  <c r="AD1067" i="1"/>
  <c r="AC1067" i="1"/>
  <c r="T801" i="1"/>
  <c r="AD801" i="1"/>
  <c r="AC801" i="1"/>
  <c r="AB801" i="1"/>
  <c r="Z801" i="1"/>
  <c r="AE801" i="1"/>
  <c r="AA801" i="1"/>
  <c r="Y801" i="1"/>
  <c r="W801" i="1"/>
  <c r="U801" i="1"/>
  <c r="X801" i="1"/>
  <c r="V801" i="1"/>
  <c r="T857" i="1"/>
  <c r="AE857" i="1"/>
  <c r="AD857" i="1"/>
  <c r="AC857" i="1"/>
  <c r="AB857" i="1"/>
  <c r="AA857" i="1"/>
  <c r="Z857" i="1"/>
  <c r="Y857" i="1"/>
  <c r="X857" i="1"/>
  <c r="W857" i="1"/>
  <c r="V857" i="1"/>
  <c r="U857" i="1"/>
  <c r="Z1559" i="1"/>
  <c r="Y1559" i="1"/>
  <c r="AE1559" i="1"/>
  <c r="AD1559" i="1"/>
  <c r="AC1559" i="1"/>
  <c r="W1559" i="1"/>
  <c r="AB1559" i="1"/>
  <c r="AA1559" i="1"/>
  <c r="U1559" i="1"/>
  <c r="T1559" i="1"/>
  <c r="X1559" i="1"/>
  <c r="V1559" i="1"/>
  <c r="AE1733" i="1"/>
  <c r="AC1733" i="1"/>
  <c r="AB1733" i="1"/>
  <c r="AA1733" i="1"/>
  <c r="T1733" i="1"/>
  <c r="AD1733" i="1"/>
  <c r="Z1733" i="1"/>
  <c r="Y1733" i="1"/>
  <c r="V1733" i="1"/>
  <c r="U1733" i="1"/>
  <c r="X1733" i="1"/>
  <c r="W1733" i="1"/>
  <c r="AD1804" i="1"/>
  <c r="AE1804" i="1"/>
  <c r="AC1804" i="1"/>
  <c r="AB1804" i="1"/>
  <c r="AA1804" i="1"/>
  <c r="Z1804" i="1"/>
  <c r="Y1804" i="1"/>
  <c r="X1804" i="1"/>
  <c r="W1804" i="1"/>
  <c r="V1804" i="1"/>
  <c r="U1804" i="1"/>
  <c r="T1804" i="1"/>
  <c r="V1400" i="1"/>
  <c r="U1400" i="1"/>
  <c r="AD1400" i="1"/>
  <c r="AC1400" i="1"/>
  <c r="AB1400" i="1"/>
  <c r="Z1400" i="1"/>
  <c r="Y1400" i="1"/>
  <c r="X1400" i="1"/>
  <c r="W1400" i="1"/>
  <c r="AA1400" i="1"/>
  <c r="T1400" i="1"/>
  <c r="AE1400" i="1"/>
  <c r="X1220" i="1"/>
  <c r="V1220" i="1"/>
  <c r="AC1220" i="1"/>
  <c r="AA1220" i="1"/>
  <c r="Z1220" i="1"/>
  <c r="Y1220" i="1"/>
  <c r="AE1220" i="1"/>
  <c r="AD1220" i="1"/>
  <c r="AB1220" i="1"/>
  <c r="W1220" i="1"/>
  <c r="U1220" i="1"/>
  <c r="T1220" i="1"/>
  <c r="AB1335" i="1"/>
  <c r="AA1335" i="1"/>
  <c r="Z1335" i="1"/>
  <c r="X1335" i="1"/>
  <c r="AE1335" i="1"/>
  <c r="AD1335" i="1"/>
  <c r="AC1335" i="1"/>
  <c r="V1335" i="1"/>
  <c r="Y1335" i="1"/>
  <c r="W1335" i="1"/>
  <c r="U1335" i="1"/>
  <c r="T1335" i="1"/>
  <c r="W1344" i="1"/>
  <c r="AE1344" i="1"/>
  <c r="AD1344" i="1"/>
  <c r="AC1344" i="1"/>
  <c r="AB1344" i="1"/>
  <c r="AA1344" i="1"/>
  <c r="Z1344" i="1"/>
  <c r="Y1344" i="1"/>
  <c r="X1344" i="1"/>
  <c r="T1344" i="1"/>
  <c r="U1344" i="1"/>
  <c r="V1344" i="1"/>
  <c r="W1422" i="1"/>
  <c r="V1422" i="1"/>
  <c r="U1422" i="1"/>
  <c r="T1422" i="1"/>
  <c r="AC1422" i="1"/>
  <c r="AB1422" i="1"/>
  <c r="Z1422" i="1"/>
  <c r="X1422" i="1"/>
  <c r="AE1422" i="1"/>
  <c r="AD1422" i="1"/>
  <c r="AA1422" i="1"/>
  <c r="Y1422" i="1"/>
  <c r="AE1169" i="1"/>
  <c r="AA1169" i="1"/>
  <c r="Z1169" i="1"/>
  <c r="V1169" i="1"/>
  <c r="U1169" i="1"/>
  <c r="T1169" i="1"/>
  <c r="AD1169" i="1"/>
  <c r="AC1169" i="1"/>
  <c r="AB1169" i="1"/>
  <c r="Y1169" i="1"/>
  <c r="X1169" i="1"/>
  <c r="W1169" i="1"/>
  <c r="W1494" i="1"/>
  <c r="V1494" i="1"/>
  <c r="U1494" i="1"/>
  <c r="T1494" i="1"/>
  <c r="AC1494" i="1"/>
  <c r="AB1494" i="1"/>
  <c r="AA1494" i="1"/>
  <c r="Z1494" i="1"/>
  <c r="Y1494" i="1"/>
  <c r="AE1494" i="1"/>
  <c r="AD1494" i="1"/>
  <c r="X1494" i="1"/>
  <c r="Y1439" i="1"/>
  <c r="X1439" i="1"/>
  <c r="V1439" i="1"/>
  <c r="AE1439" i="1"/>
  <c r="AD1439" i="1"/>
  <c r="AC1439" i="1"/>
  <c r="AA1439" i="1"/>
  <c r="W1439" i="1"/>
  <c r="U1439" i="1"/>
  <c r="T1439" i="1"/>
  <c r="AB1439" i="1"/>
  <c r="Z1439" i="1"/>
  <c r="AB1391" i="1"/>
  <c r="AC1391" i="1"/>
  <c r="AA1391" i="1"/>
  <c r="Z1391" i="1"/>
  <c r="AE1391" i="1"/>
  <c r="AD1391" i="1"/>
  <c r="Y1391" i="1"/>
  <c r="X1391" i="1"/>
  <c r="W1391" i="1"/>
  <c r="V1391" i="1"/>
  <c r="U1391" i="1"/>
  <c r="T1391" i="1"/>
  <c r="W1430" i="1"/>
  <c r="V1430" i="1"/>
  <c r="U1430" i="1"/>
  <c r="T1430" i="1"/>
  <c r="AD1430" i="1"/>
  <c r="AC1430" i="1"/>
  <c r="AB1430" i="1"/>
  <c r="AA1430" i="1"/>
  <c r="Z1430" i="1"/>
  <c r="Y1430" i="1"/>
  <c r="AE1430" i="1"/>
  <c r="X1430" i="1"/>
  <c r="Y1824" i="1"/>
  <c r="AB1824" i="1"/>
  <c r="AA1824" i="1"/>
  <c r="AD1824" i="1"/>
  <c r="AE1824" i="1"/>
  <c r="AC1824" i="1"/>
  <c r="Z1824" i="1"/>
  <c r="X1824" i="1"/>
  <c r="W1824" i="1"/>
  <c r="V1824" i="1"/>
  <c r="U1824" i="1"/>
  <c r="T1824" i="1"/>
  <c r="AB1728" i="1"/>
  <c r="AA1728" i="1"/>
  <c r="Z1728" i="1"/>
  <c r="Y1728" i="1"/>
  <c r="X1728" i="1"/>
  <c r="T1728" i="1"/>
  <c r="AD1728" i="1"/>
  <c r="AC1728" i="1"/>
  <c r="W1728" i="1"/>
  <c r="V1728" i="1"/>
  <c r="U1728" i="1"/>
  <c r="AE1728" i="1"/>
  <c r="X1497" i="1"/>
  <c r="W1497" i="1"/>
  <c r="V1497" i="1"/>
  <c r="T1497" i="1"/>
  <c r="Y1497" i="1"/>
  <c r="U1497" i="1"/>
  <c r="AE1497" i="1"/>
  <c r="AD1497" i="1"/>
  <c r="Z1497" i="1"/>
  <c r="AC1497" i="1"/>
  <c r="AB1497" i="1"/>
  <c r="AA1497" i="1"/>
  <c r="V1406" i="1"/>
  <c r="U1406" i="1"/>
  <c r="AD1406" i="1"/>
  <c r="AE1406" i="1"/>
  <c r="AC1406" i="1"/>
  <c r="AB1406" i="1"/>
  <c r="AA1406" i="1"/>
  <c r="Z1406" i="1"/>
  <c r="Y1406" i="1"/>
  <c r="X1406" i="1"/>
  <c r="W1406" i="1"/>
  <c r="T1406" i="1"/>
  <c r="AD1671" i="1"/>
  <c r="AC1671" i="1"/>
  <c r="AB1671" i="1"/>
  <c r="U1671" i="1"/>
  <c r="T1671" i="1"/>
  <c r="Z1671" i="1"/>
  <c r="AE1671" i="1"/>
  <c r="AA1671" i="1"/>
  <c r="Y1671" i="1"/>
  <c r="X1671" i="1"/>
  <c r="V1671" i="1"/>
  <c r="W1671" i="1"/>
  <c r="X1279" i="1"/>
  <c r="V1279" i="1"/>
  <c r="T1279" i="1"/>
  <c r="AB1279" i="1"/>
  <c r="AA1279" i="1"/>
  <c r="Z1279" i="1"/>
  <c r="AE1279" i="1"/>
  <c r="AD1279" i="1"/>
  <c r="AC1279" i="1"/>
  <c r="Y1279" i="1"/>
  <c r="W1279" i="1"/>
  <c r="U1279" i="1"/>
  <c r="W1492" i="1"/>
  <c r="V1492" i="1"/>
  <c r="U1492" i="1"/>
  <c r="T1492" i="1"/>
  <c r="Y1492" i="1"/>
  <c r="X1492" i="1"/>
  <c r="AE1492" i="1"/>
  <c r="AD1492" i="1"/>
  <c r="AC1492" i="1"/>
  <c r="AA1492" i="1"/>
  <c r="Z1492" i="1"/>
  <c r="AB1492" i="1"/>
  <c r="AC911" i="1"/>
  <c r="AE911" i="1"/>
  <c r="AD911" i="1"/>
  <c r="AB911" i="1"/>
  <c r="Z911" i="1"/>
  <c r="W911" i="1"/>
  <c r="V911" i="1"/>
  <c r="U911" i="1"/>
  <c r="T911" i="1"/>
  <c r="AA911" i="1"/>
  <c r="Y911" i="1"/>
  <c r="X911" i="1"/>
  <c r="X1176" i="1"/>
  <c r="V1176" i="1"/>
  <c r="AE1176" i="1"/>
  <c r="AC1176" i="1"/>
  <c r="U1176" i="1"/>
  <c r="AD1176" i="1"/>
  <c r="AB1176" i="1"/>
  <c r="Z1176" i="1"/>
  <c r="Y1176" i="1"/>
  <c r="AA1176" i="1"/>
  <c r="W1176" i="1"/>
  <c r="T1176" i="1"/>
  <c r="AC1540" i="1"/>
  <c r="AA1540" i="1"/>
  <c r="Z1540" i="1"/>
  <c r="AE1540" i="1"/>
  <c r="AD1540" i="1"/>
  <c r="AB1540" i="1"/>
  <c r="Y1540" i="1"/>
  <c r="X1540" i="1"/>
  <c r="W1540" i="1"/>
  <c r="V1540" i="1"/>
  <c r="U1540" i="1"/>
  <c r="T1540" i="1"/>
  <c r="U1567" i="1"/>
  <c r="T1567" i="1"/>
  <c r="AE1567" i="1"/>
  <c r="AD1567" i="1"/>
  <c r="AC1567" i="1"/>
  <c r="AB1567" i="1"/>
  <c r="AA1567" i="1"/>
  <c r="Z1567" i="1"/>
  <c r="Y1567" i="1"/>
  <c r="X1567" i="1"/>
  <c r="W1567" i="1"/>
  <c r="V1567" i="1"/>
  <c r="Z1115" i="1"/>
  <c r="AD1115" i="1"/>
  <c r="AC1115" i="1"/>
  <c r="AE1115" i="1"/>
  <c r="AA1115" i="1"/>
  <c r="W1115" i="1"/>
  <c r="V1115" i="1"/>
  <c r="U1115" i="1"/>
  <c r="T1115" i="1"/>
  <c r="X1115" i="1"/>
  <c r="Y1115" i="1"/>
  <c r="AB1115" i="1"/>
  <c r="W1484" i="1"/>
  <c r="V1484" i="1"/>
  <c r="U1484" i="1"/>
  <c r="T1484" i="1"/>
  <c r="AE1484" i="1"/>
  <c r="AD1484" i="1"/>
  <c r="AC1484" i="1"/>
  <c r="AB1484" i="1"/>
  <c r="AA1484" i="1"/>
  <c r="Z1484" i="1"/>
  <c r="Y1484" i="1"/>
  <c r="X1484" i="1"/>
  <c r="AB1525" i="1"/>
  <c r="AA1525" i="1"/>
  <c r="Z1525" i="1"/>
  <c r="Y1525" i="1"/>
  <c r="X1525" i="1"/>
  <c r="W1525" i="1"/>
  <c r="V1525" i="1"/>
  <c r="U1525" i="1"/>
  <c r="T1525" i="1"/>
  <c r="AE1525" i="1"/>
  <c r="AD1525" i="1"/>
  <c r="AC1525" i="1"/>
  <c r="V1384" i="1"/>
  <c r="U1384" i="1"/>
  <c r="AD1384" i="1"/>
  <c r="AC1384" i="1"/>
  <c r="AB1384" i="1"/>
  <c r="Z1384" i="1"/>
  <c r="X1384" i="1"/>
  <c r="T1384" i="1"/>
  <c r="AE1384" i="1"/>
  <c r="AA1384" i="1"/>
  <c r="Y1384" i="1"/>
  <c r="W1384" i="1"/>
  <c r="X1194" i="1"/>
  <c r="V1194" i="1"/>
  <c r="AE1194" i="1"/>
  <c r="AD1194" i="1"/>
  <c r="AC1194" i="1"/>
  <c r="AA1194" i="1"/>
  <c r="Z1194" i="1"/>
  <c r="Y1194" i="1"/>
  <c r="W1194" i="1"/>
  <c r="U1194" i="1"/>
  <c r="T1194" i="1"/>
  <c r="AB1194" i="1"/>
  <c r="U1183" i="1"/>
  <c r="AE1183" i="1"/>
  <c r="AD1183" i="1"/>
  <c r="AC1183" i="1"/>
  <c r="AB1183" i="1"/>
  <c r="AA1183" i="1"/>
  <c r="Z1183" i="1"/>
  <c r="Y1183" i="1"/>
  <c r="X1183" i="1"/>
  <c r="W1183" i="1"/>
  <c r="T1183" i="1"/>
  <c r="V1183" i="1"/>
  <c r="U1483" i="1"/>
  <c r="T1483" i="1"/>
  <c r="AD1483" i="1"/>
  <c r="AC1483" i="1"/>
  <c r="V1483" i="1"/>
  <c r="AE1483" i="1"/>
  <c r="AB1483" i="1"/>
  <c r="AA1483" i="1"/>
  <c r="Z1483" i="1"/>
  <c r="Y1483" i="1"/>
  <c r="X1483" i="1"/>
  <c r="W1483" i="1"/>
  <c r="AC1572" i="1"/>
  <c r="AA1572" i="1"/>
  <c r="Z1572" i="1"/>
  <c r="AE1572" i="1"/>
  <c r="Y1572" i="1"/>
  <c r="X1572" i="1"/>
  <c r="W1572" i="1"/>
  <c r="V1572" i="1"/>
  <c r="U1572" i="1"/>
  <c r="T1572" i="1"/>
  <c r="AB1572" i="1"/>
  <c r="AD1572" i="1"/>
  <c r="Z1545" i="1"/>
  <c r="Y1545" i="1"/>
  <c r="X1545" i="1"/>
  <c r="W1545" i="1"/>
  <c r="V1545" i="1"/>
  <c r="AE1545" i="1"/>
  <c r="AD1545" i="1"/>
  <c r="AC1545" i="1"/>
  <c r="AB1545" i="1"/>
  <c r="AA1545" i="1"/>
  <c r="U1545" i="1"/>
  <c r="T1545" i="1"/>
  <c r="W1462" i="1"/>
  <c r="V1462" i="1"/>
  <c r="U1462" i="1"/>
  <c r="T1462" i="1"/>
  <c r="Y1462" i="1"/>
  <c r="X1462" i="1"/>
  <c r="AE1462" i="1"/>
  <c r="AD1462" i="1"/>
  <c r="AC1462" i="1"/>
  <c r="AB1462" i="1"/>
  <c r="AA1462" i="1"/>
  <c r="Z1462" i="1"/>
  <c r="AE1661" i="1"/>
  <c r="AD1661" i="1"/>
  <c r="AC1661" i="1"/>
  <c r="AB1661" i="1"/>
  <c r="AA1661" i="1"/>
  <c r="W1661" i="1"/>
  <c r="X1661" i="1"/>
  <c r="V1661" i="1"/>
  <c r="U1661" i="1"/>
  <c r="T1661" i="1"/>
  <c r="Z1661" i="1"/>
  <c r="Y1661" i="1"/>
  <c r="AE1365" i="1"/>
  <c r="AC1365" i="1"/>
  <c r="X1365" i="1"/>
  <c r="W1365" i="1"/>
  <c r="V1365" i="1"/>
  <c r="U1365" i="1"/>
  <c r="T1365" i="1"/>
  <c r="AD1365" i="1"/>
  <c r="AB1365" i="1"/>
  <c r="AA1365" i="1"/>
  <c r="Z1365" i="1"/>
  <c r="Y1365" i="1"/>
  <c r="AE1179" i="1"/>
  <c r="AD1179" i="1"/>
  <c r="AC1179" i="1"/>
  <c r="W1179" i="1"/>
  <c r="AB1179" i="1"/>
  <c r="AA1179" i="1"/>
  <c r="Z1179" i="1"/>
  <c r="X1179" i="1"/>
  <c r="V1179" i="1"/>
  <c r="Y1179" i="1"/>
  <c r="U1179" i="1"/>
  <c r="T1179" i="1"/>
  <c r="AE1730" i="1"/>
  <c r="AD1730" i="1"/>
  <c r="AC1730" i="1"/>
  <c r="AB1730" i="1"/>
  <c r="X1730" i="1"/>
  <c r="AA1730" i="1"/>
  <c r="Z1730" i="1"/>
  <c r="Y1730" i="1"/>
  <c r="W1730" i="1"/>
  <c r="V1730" i="1"/>
  <c r="U1730" i="1"/>
  <c r="T1730" i="1"/>
  <c r="AE1820" i="1"/>
  <c r="AD1820" i="1"/>
  <c r="AC1820" i="1"/>
  <c r="AB1820" i="1"/>
  <c r="AA1820" i="1"/>
  <c r="Z1820" i="1"/>
  <c r="Y1820" i="1"/>
  <c r="X1820" i="1"/>
  <c r="W1820" i="1"/>
  <c r="U1820" i="1"/>
  <c r="V1820" i="1"/>
  <c r="T1820" i="1"/>
  <c r="AC1560" i="1"/>
  <c r="AA1560" i="1"/>
  <c r="Z1560" i="1"/>
  <c r="Y1560" i="1"/>
  <c r="X1560" i="1"/>
  <c r="W1560" i="1"/>
  <c r="V1560" i="1"/>
  <c r="U1560" i="1"/>
  <c r="AE1560" i="1"/>
  <c r="AD1560" i="1"/>
  <c r="AB1560" i="1"/>
  <c r="T1560" i="1"/>
  <c r="AC744" i="1"/>
  <c r="AB744" i="1"/>
  <c r="X744" i="1"/>
  <c r="W744" i="1"/>
  <c r="V744" i="1"/>
  <c r="U744" i="1"/>
  <c r="T744" i="1"/>
  <c r="AD744" i="1"/>
  <c r="AA744" i="1"/>
  <c r="Z744" i="1"/>
  <c r="Y744" i="1"/>
  <c r="AE744" i="1"/>
  <c r="Z1329" i="1"/>
  <c r="Y1329" i="1"/>
  <c r="X1329" i="1"/>
  <c r="V1329" i="1"/>
  <c r="AE1329" i="1"/>
  <c r="AB1329" i="1"/>
  <c r="T1329" i="1"/>
  <c r="AD1329" i="1"/>
  <c r="AC1329" i="1"/>
  <c r="AA1329" i="1"/>
  <c r="W1329" i="1"/>
  <c r="U1329" i="1"/>
  <c r="T1401" i="1"/>
  <c r="Z1401" i="1"/>
  <c r="Y1401" i="1"/>
  <c r="X1401" i="1"/>
  <c r="W1401" i="1"/>
  <c r="V1401" i="1"/>
  <c r="U1401" i="1"/>
  <c r="AE1401" i="1"/>
  <c r="AD1401" i="1"/>
  <c r="AC1401" i="1"/>
  <c r="AB1401" i="1"/>
  <c r="AA1401" i="1"/>
  <c r="AE1819" i="1"/>
  <c r="AD1819" i="1"/>
  <c r="AC1819" i="1"/>
  <c r="AB1819" i="1"/>
  <c r="AA1819" i="1"/>
  <c r="Z1819" i="1"/>
  <c r="Y1819" i="1"/>
  <c r="T1819" i="1"/>
  <c r="X1819" i="1"/>
  <c r="W1819" i="1"/>
  <c r="V1819" i="1"/>
  <c r="U1819" i="1"/>
  <c r="AC772" i="1"/>
  <c r="AB772" i="1"/>
  <c r="AE772" i="1"/>
  <c r="AD772" i="1"/>
  <c r="Z772" i="1"/>
  <c r="T772" i="1"/>
  <c r="X772" i="1"/>
  <c r="W772" i="1"/>
  <c r="V772" i="1"/>
  <c r="U772" i="1"/>
  <c r="AA772" i="1"/>
  <c r="Y772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T815" i="1"/>
  <c r="AD815" i="1"/>
  <c r="AC815" i="1"/>
  <c r="AA815" i="1"/>
  <c r="Z815" i="1"/>
  <c r="Y815" i="1"/>
  <c r="X815" i="1"/>
  <c r="W815" i="1"/>
  <c r="V815" i="1"/>
  <c r="U815" i="1"/>
  <c r="AE815" i="1"/>
  <c r="AB815" i="1"/>
  <c r="U1610" i="1"/>
  <c r="T1610" i="1"/>
  <c r="V1610" i="1"/>
  <c r="Z1610" i="1"/>
  <c r="Y1610" i="1"/>
  <c r="X1610" i="1"/>
  <c r="W1610" i="1"/>
  <c r="AE1610" i="1"/>
  <c r="AD1610" i="1"/>
  <c r="AC1610" i="1"/>
  <c r="AB1610" i="1"/>
  <c r="AA1610" i="1"/>
  <c r="AC1574" i="1"/>
  <c r="AA1574" i="1"/>
  <c r="Z1574" i="1"/>
  <c r="AE1574" i="1"/>
  <c r="AD1574" i="1"/>
  <c r="AB1574" i="1"/>
  <c r="Y1574" i="1"/>
  <c r="X1574" i="1"/>
  <c r="W1574" i="1"/>
  <c r="V1574" i="1"/>
  <c r="U1574" i="1"/>
  <c r="T1574" i="1"/>
  <c r="AE1727" i="1"/>
  <c r="AC1727" i="1"/>
  <c r="AB1727" i="1"/>
  <c r="AA1727" i="1"/>
  <c r="AD1727" i="1"/>
  <c r="Z1727" i="1"/>
  <c r="Y1727" i="1"/>
  <c r="X1727" i="1"/>
  <c r="W1727" i="1"/>
  <c r="V1727" i="1"/>
  <c r="U1727" i="1"/>
  <c r="T1727" i="1"/>
  <c r="AC1578" i="1"/>
  <c r="AA1578" i="1"/>
  <c r="Z1578" i="1"/>
  <c r="T1578" i="1"/>
  <c r="AE1578" i="1"/>
  <c r="AD1578" i="1"/>
  <c r="AB1578" i="1"/>
  <c r="U1578" i="1"/>
  <c r="Y1578" i="1"/>
  <c r="X1578" i="1"/>
  <c r="W1578" i="1"/>
  <c r="V1578" i="1"/>
  <c r="AE1802" i="1"/>
  <c r="AC1802" i="1"/>
  <c r="AD1802" i="1"/>
  <c r="AA1802" i="1"/>
  <c r="Z1802" i="1"/>
  <c r="AB1802" i="1"/>
  <c r="Y1802" i="1"/>
  <c r="X1802" i="1"/>
  <c r="W1802" i="1"/>
  <c r="V1802" i="1"/>
  <c r="U1802" i="1"/>
  <c r="T1802" i="1"/>
  <c r="U1507" i="1"/>
  <c r="T1507" i="1"/>
  <c r="AE1507" i="1"/>
  <c r="AD1507" i="1"/>
  <c r="AC1507" i="1"/>
  <c r="Z1507" i="1"/>
  <c r="Y1507" i="1"/>
  <c r="X1507" i="1"/>
  <c r="W1507" i="1"/>
  <c r="V1507" i="1"/>
  <c r="AB1507" i="1"/>
  <c r="AA1507" i="1"/>
  <c r="U1374" i="1"/>
  <c r="X1374" i="1"/>
  <c r="W1374" i="1"/>
  <c r="V1374" i="1"/>
  <c r="Z1374" i="1"/>
  <c r="Y1374" i="1"/>
  <c r="T1374" i="1"/>
  <c r="AE1374" i="1"/>
  <c r="AD1374" i="1"/>
  <c r="AC1374" i="1"/>
  <c r="AB1374" i="1"/>
  <c r="AA1374" i="1"/>
  <c r="X1190" i="1"/>
  <c r="V1190" i="1"/>
  <c r="AC1190" i="1"/>
  <c r="AB1190" i="1"/>
  <c r="AE1190" i="1"/>
  <c r="AD1190" i="1"/>
  <c r="AA1190" i="1"/>
  <c r="Y1190" i="1"/>
  <c r="W1190" i="1"/>
  <c r="T1190" i="1"/>
  <c r="Z1190" i="1"/>
  <c r="U1190" i="1"/>
  <c r="Y1017" i="1"/>
  <c r="AE1017" i="1"/>
  <c r="AC1017" i="1"/>
  <c r="AB1017" i="1"/>
  <c r="AD1017" i="1"/>
  <c r="Z1017" i="1"/>
  <c r="X1017" i="1"/>
  <c r="W1017" i="1"/>
  <c r="V1017" i="1"/>
  <c r="T1017" i="1"/>
  <c r="AA1017" i="1"/>
  <c r="U1017" i="1"/>
  <c r="V1734" i="1"/>
  <c r="U1734" i="1"/>
  <c r="T1734" i="1"/>
  <c r="AE1734" i="1"/>
  <c r="AD1734" i="1"/>
  <c r="AC1734" i="1"/>
  <c r="AB1734" i="1"/>
  <c r="AA1734" i="1"/>
  <c r="Z1734" i="1"/>
  <c r="Y1734" i="1"/>
  <c r="X1734" i="1"/>
  <c r="W1734" i="1"/>
  <c r="Y985" i="1"/>
  <c r="AE985" i="1"/>
  <c r="U985" i="1"/>
  <c r="T985" i="1"/>
  <c r="AD985" i="1"/>
  <c r="AC985" i="1"/>
  <c r="AB985" i="1"/>
  <c r="Z985" i="1"/>
  <c r="X985" i="1"/>
  <c r="W985" i="1"/>
  <c r="V985" i="1"/>
  <c r="AA985" i="1"/>
  <c r="AC1546" i="1"/>
  <c r="AA1546" i="1"/>
  <c r="Z1546" i="1"/>
  <c r="AE1546" i="1"/>
  <c r="AD1546" i="1"/>
  <c r="AB1546" i="1"/>
  <c r="Y1546" i="1"/>
  <c r="U1546" i="1"/>
  <c r="X1546" i="1"/>
  <c r="W1546" i="1"/>
  <c r="V1546" i="1"/>
  <c r="T1546" i="1"/>
  <c r="Z1223" i="1"/>
  <c r="Y1223" i="1"/>
  <c r="X1223" i="1"/>
  <c r="W1223" i="1"/>
  <c r="V1223" i="1"/>
  <c r="U1223" i="1"/>
  <c r="T1223" i="1"/>
  <c r="AE1223" i="1"/>
  <c r="AD1223" i="1"/>
  <c r="AB1223" i="1"/>
  <c r="AC1223" i="1"/>
  <c r="AA1223" i="1"/>
  <c r="AE1793" i="1"/>
  <c r="AD1793" i="1"/>
  <c r="AC1793" i="1"/>
  <c r="AB1793" i="1"/>
  <c r="AA1793" i="1"/>
  <c r="Z1793" i="1"/>
  <c r="Y1793" i="1"/>
  <c r="X1793" i="1"/>
  <c r="W1793" i="1"/>
  <c r="V1793" i="1"/>
  <c r="T1793" i="1"/>
  <c r="U1793" i="1"/>
  <c r="AB1808" i="1"/>
  <c r="AA1808" i="1"/>
  <c r="Z1808" i="1"/>
  <c r="Y1808" i="1"/>
  <c r="X1808" i="1"/>
  <c r="W1808" i="1"/>
  <c r="V1808" i="1"/>
  <c r="U1808" i="1"/>
  <c r="T1808" i="1"/>
  <c r="AE1808" i="1"/>
  <c r="AD1808" i="1"/>
  <c r="AC1808" i="1"/>
  <c r="AC1119" i="1"/>
  <c r="W1119" i="1"/>
  <c r="V1119" i="1"/>
  <c r="U1119" i="1"/>
  <c r="T1119" i="1"/>
  <c r="AE1119" i="1"/>
  <c r="AD1119" i="1"/>
  <c r="AB1119" i="1"/>
  <c r="AA1119" i="1"/>
  <c r="Z1119" i="1"/>
  <c r="Y1119" i="1"/>
  <c r="X1119" i="1"/>
  <c r="AB1389" i="1"/>
  <c r="AE1389" i="1"/>
  <c r="AA1389" i="1"/>
  <c r="Z1389" i="1"/>
  <c r="Y1389" i="1"/>
  <c r="AD1389" i="1"/>
  <c r="AC1389" i="1"/>
  <c r="X1389" i="1"/>
  <c r="W1389" i="1"/>
  <c r="V1389" i="1"/>
  <c r="U1389" i="1"/>
  <c r="T1389" i="1"/>
  <c r="AE970" i="1"/>
  <c r="AD970" i="1"/>
  <c r="AB970" i="1"/>
  <c r="AA970" i="1"/>
  <c r="Z970" i="1"/>
  <c r="Y970" i="1"/>
  <c r="V970" i="1"/>
  <c r="U970" i="1"/>
  <c r="AC970" i="1"/>
  <c r="W970" i="1"/>
  <c r="X970" i="1"/>
  <c r="T970" i="1"/>
  <c r="AE1735" i="1"/>
  <c r="AC1735" i="1"/>
  <c r="AB1735" i="1"/>
  <c r="AA1735" i="1"/>
  <c r="X1735" i="1"/>
  <c r="W1735" i="1"/>
  <c r="V1735" i="1"/>
  <c r="U1735" i="1"/>
  <c r="T1735" i="1"/>
  <c r="AD1735" i="1"/>
  <c r="Z1735" i="1"/>
  <c r="Y1735" i="1"/>
  <c r="U1360" i="1"/>
  <c r="AC1360" i="1"/>
  <c r="AB1360" i="1"/>
  <c r="Y1360" i="1"/>
  <c r="X1360" i="1"/>
  <c r="W1360" i="1"/>
  <c r="AA1360" i="1"/>
  <c r="Z1360" i="1"/>
  <c r="V1360" i="1"/>
  <c r="T1360" i="1"/>
  <c r="AE1360" i="1"/>
  <c r="AD1360" i="1"/>
  <c r="V1016" i="1"/>
  <c r="T1016" i="1"/>
  <c r="Z1016" i="1"/>
  <c r="Y1016" i="1"/>
  <c r="X1016" i="1"/>
  <c r="W1016" i="1"/>
  <c r="U1016" i="1"/>
  <c r="AC1016" i="1"/>
  <c r="AB1016" i="1"/>
  <c r="AA1016" i="1"/>
  <c r="AE1016" i="1"/>
  <c r="AD1016" i="1"/>
  <c r="W1024" i="1"/>
  <c r="X1024" i="1"/>
  <c r="V1024" i="1"/>
  <c r="U1024" i="1"/>
  <c r="T1024" i="1"/>
  <c r="AE1024" i="1"/>
  <c r="AD1024" i="1"/>
  <c r="AC1024" i="1"/>
  <c r="Z1024" i="1"/>
  <c r="Y1024" i="1"/>
  <c r="AA1024" i="1"/>
  <c r="AB1024" i="1"/>
  <c r="W1334" i="1"/>
  <c r="Z1334" i="1"/>
  <c r="Y1334" i="1"/>
  <c r="X1334" i="1"/>
  <c r="V1334" i="1"/>
  <c r="U1334" i="1"/>
  <c r="T1334" i="1"/>
  <c r="AE1334" i="1"/>
  <c r="AD1334" i="1"/>
  <c r="AC1334" i="1"/>
  <c r="AB1334" i="1"/>
  <c r="AA1334" i="1"/>
  <c r="AE1700" i="1"/>
  <c r="AC1700" i="1"/>
  <c r="AD1700" i="1"/>
  <c r="AB1700" i="1"/>
  <c r="AA1700" i="1"/>
  <c r="Z1700" i="1"/>
  <c r="Y1700" i="1"/>
  <c r="X1700" i="1"/>
  <c r="W1700" i="1"/>
  <c r="V1700" i="1"/>
  <c r="U1700" i="1"/>
  <c r="T1700" i="1"/>
  <c r="X1210" i="1"/>
  <c r="V1210" i="1"/>
  <c r="U1210" i="1"/>
  <c r="AB1210" i="1"/>
  <c r="AD1210" i="1"/>
  <c r="AC1210" i="1"/>
  <c r="AA1210" i="1"/>
  <c r="Y1210" i="1"/>
  <c r="W1210" i="1"/>
  <c r="AE1210" i="1"/>
  <c r="Z1210" i="1"/>
  <c r="T1210" i="1"/>
  <c r="AA1195" i="1"/>
  <c r="Y1195" i="1"/>
  <c r="AE1195" i="1"/>
  <c r="AD1195" i="1"/>
  <c r="AC1195" i="1"/>
  <c r="AB1195" i="1"/>
  <c r="Z1195" i="1"/>
  <c r="X1195" i="1"/>
  <c r="W1195" i="1"/>
  <c r="V1195" i="1"/>
  <c r="T1195" i="1"/>
  <c r="U1195" i="1"/>
  <c r="AE1385" i="1"/>
  <c r="AD1385" i="1"/>
  <c r="AC1385" i="1"/>
  <c r="AB1385" i="1"/>
  <c r="AA1385" i="1"/>
  <c r="Z1385" i="1"/>
  <c r="W1385" i="1"/>
  <c r="V1385" i="1"/>
  <c r="U1385" i="1"/>
  <c r="T1385" i="1"/>
  <c r="Y1385" i="1"/>
  <c r="X1385" i="1"/>
  <c r="Y1043" i="1"/>
  <c r="Z1043" i="1"/>
  <c r="X1043" i="1"/>
  <c r="W1043" i="1"/>
  <c r="V1043" i="1"/>
  <c r="U1043" i="1"/>
  <c r="T1043" i="1"/>
  <c r="AE1043" i="1"/>
  <c r="AC1043" i="1"/>
  <c r="AB1043" i="1"/>
  <c r="AA1043" i="1"/>
  <c r="AD1043" i="1"/>
  <c r="W1446" i="1"/>
  <c r="V1446" i="1"/>
  <c r="U1446" i="1"/>
  <c r="T1446" i="1"/>
  <c r="AE1446" i="1"/>
  <c r="AD1446" i="1"/>
  <c r="AC1446" i="1"/>
  <c r="AA1446" i="1"/>
  <c r="Y1446" i="1"/>
  <c r="X1446" i="1"/>
  <c r="AB1446" i="1"/>
  <c r="Z1446" i="1"/>
  <c r="Z1069" i="1"/>
  <c r="AC1069" i="1"/>
  <c r="AB1069" i="1"/>
  <c r="AA1069" i="1"/>
  <c r="Y1069" i="1"/>
  <c r="X1069" i="1"/>
  <c r="W1069" i="1"/>
  <c r="V1069" i="1"/>
  <c r="U1069" i="1"/>
  <c r="T1069" i="1"/>
  <c r="AE1069" i="1"/>
  <c r="AD1069" i="1"/>
  <c r="X1569" i="1"/>
  <c r="W1569" i="1"/>
  <c r="V1569" i="1"/>
  <c r="U1569" i="1"/>
  <c r="T1569" i="1"/>
  <c r="AA1569" i="1"/>
  <c r="Z1569" i="1"/>
  <c r="Y1569" i="1"/>
  <c r="AE1569" i="1"/>
  <c r="AD1569" i="1"/>
  <c r="AC1569" i="1"/>
  <c r="AB1569" i="1"/>
  <c r="X1307" i="1"/>
  <c r="W1307" i="1"/>
  <c r="V1307" i="1"/>
  <c r="T1307" i="1"/>
  <c r="Y1307" i="1"/>
  <c r="U1307" i="1"/>
  <c r="AE1307" i="1"/>
  <c r="AD1307" i="1"/>
  <c r="AC1307" i="1"/>
  <c r="AB1307" i="1"/>
  <c r="AA1307" i="1"/>
  <c r="Z1307" i="1"/>
  <c r="U1276" i="1"/>
  <c r="AD1276" i="1"/>
  <c r="X1276" i="1"/>
  <c r="AE1276" i="1"/>
  <c r="AC1276" i="1"/>
  <c r="AA1276" i="1"/>
  <c r="Z1276" i="1"/>
  <c r="Y1276" i="1"/>
  <c r="V1276" i="1"/>
  <c r="T1276" i="1"/>
  <c r="AB1276" i="1"/>
  <c r="W1276" i="1"/>
  <c r="AC921" i="1"/>
  <c r="Y921" i="1"/>
  <c r="X921" i="1"/>
  <c r="W921" i="1"/>
  <c r="U921" i="1"/>
  <c r="T921" i="1"/>
  <c r="AE921" i="1"/>
  <c r="AB921" i="1"/>
  <c r="Z921" i="1"/>
  <c r="V921" i="1"/>
  <c r="AD921" i="1"/>
  <c r="AA921" i="1"/>
  <c r="Y1473" i="1"/>
  <c r="X1473" i="1"/>
  <c r="W1473" i="1"/>
  <c r="U1473" i="1"/>
  <c r="T1473" i="1"/>
  <c r="AD1473" i="1"/>
  <c r="Z1473" i="1"/>
  <c r="V1473" i="1"/>
  <c r="AA1473" i="1"/>
  <c r="AE1473" i="1"/>
  <c r="AC1473" i="1"/>
  <c r="AB1473" i="1"/>
  <c r="X1186" i="1"/>
  <c r="V1186" i="1"/>
  <c r="AE1186" i="1"/>
  <c r="AA1186" i="1"/>
  <c r="Z1186" i="1"/>
  <c r="AD1186" i="1"/>
  <c r="AC1186" i="1"/>
  <c r="AB1186" i="1"/>
  <c r="Y1186" i="1"/>
  <c r="W1186" i="1"/>
  <c r="U1186" i="1"/>
  <c r="T1186" i="1"/>
  <c r="X1317" i="1"/>
  <c r="W1317" i="1"/>
  <c r="V1317" i="1"/>
  <c r="T1317" i="1"/>
  <c r="Z1317" i="1"/>
  <c r="Y1317" i="1"/>
  <c r="U1317" i="1"/>
  <c r="AE1317" i="1"/>
  <c r="AC1317" i="1"/>
  <c r="AB1317" i="1"/>
  <c r="AD1317" i="1"/>
  <c r="AA1317" i="1"/>
  <c r="AC979" i="1"/>
  <c r="X979" i="1"/>
  <c r="W979" i="1"/>
  <c r="V979" i="1"/>
  <c r="T979" i="1"/>
  <c r="AE979" i="1"/>
  <c r="AD979" i="1"/>
  <c r="AB979" i="1"/>
  <c r="AA979" i="1"/>
  <c r="Z979" i="1"/>
  <c r="Y979" i="1"/>
  <c r="U979" i="1"/>
  <c r="W1676" i="1"/>
  <c r="V1676" i="1"/>
  <c r="AE1676" i="1"/>
  <c r="AC1676" i="1"/>
  <c r="AB1676" i="1"/>
  <c r="AA1676" i="1"/>
  <c r="Z1676" i="1"/>
  <c r="Y1676" i="1"/>
  <c r="AD1676" i="1"/>
  <c r="X1676" i="1"/>
  <c r="U1676" i="1"/>
  <c r="T1676" i="1"/>
  <c r="AD1704" i="1"/>
  <c r="AE1704" i="1"/>
  <c r="AC1704" i="1"/>
  <c r="AB1704" i="1"/>
  <c r="Z1704" i="1"/>
  <c r="Y1704" i="1"/>
  <c r="X1704" i="1"/>
  <c r="AA1704" i="1"/>
  <c r="W1704" i="1"/>
  <c r="V1704" i="1"/>
  <c r="U1704" i="1"/>
  <c r="T1704" i="1"/>
  <c r="W1189" i="1"/>
  <c r="U1189" i="1"/>
  <c r="AA1189" i="1"/>
  <c r="Z1189" i="1"/>
  <c r="Y1189" i="1"/>
  <c r="X1189" i="1"/>
  <c r="V1189" i="1"/>
  <c r="T1189" i="1"/>
  <c r="AE1189" i="1"/>
  <c r="AD1189" i="1"/>
  <c r="AC1189" i="1"/>
  <c r="AB1189" i="1"/>
  <c r="U1014" i="1"/>
  <c r="W1014" i="1"/>
  <c r="V1014" i="1"/>
  <c r="T1014" i="1"/>
  <c r="AD1014" i="1"/>
  <c r="AB1014" i="1"/>
  <c r="AA1014" i="1"/>
  <c r="Z1014" i="1"/>
  <c r="Y1014" i="1"/>
  <c r="AE1014" i="1"/>
  <c r="AC1014" i="1"/>
  <c r="X1014" i="1"/>
  <c r="AD1343" i="1"/>
  <c r="AC1343" i="1"/>
  <c r="AB1343" i="1"/>
  <c r="Z1343" i="1"/>
  <c r="AE1343" i="1"/>
  <c r="AA1343" i="1"/>
  <c r="Y1343" i="1"/>
  <c r="X1343" i="1"/>
  <c r="W1343" i="1"/>
  <c r="T1343" i="1"/>
  <c r="U1343" i="1"/>
  <c r="V1343" i="1"/>
  <c r="AE1805" i="1"/>
  <c r="AD1805" i="1"/>
  <c r="AC1805" i="1"/>
  <c r="AB1805" i="1"/>
  <c r="AA1805" i="1"/>
  <c r="Z1805" i="1"/>
  <c r="Y1805" i="1"/>
  <c r="X1805" i="1"/>
  <c r="W1805" i="1"/>
  <c r="V1805" i="1"/>
  <c r="T1805" i="1"/>
  <c r="U1805" i="1"/>
  <c r="U1806" i="1"/>
  <c r="T1806" i="1"/>
  <c r="AE1806" i="1"/>
  <c r="AD1806" i="1"/>
  <c r="AC1806" i="1"/>
  <c r="AB1806" i="1"/>
  <c r="AA1806" i="1"/>
  <c r="Z1806" i="1"/>
  <c r="Y1806" i="1"/>
  <c r="X1806" i="1"/>
  <c r="W1806" i="1"/>
  <c r="V1806" i="1"/>
  <c r="AE1817" i="1"/>
  <c r="AD1817" i="1"/>
  <c r="AC1817" i="1"/>
  <c r="AB1817" i="1"/>
  <c r="AA1817" i="1"/>
  <c r="Z1817" i="1"/>
  <c r="Y1817" i="1"/>
  <c r="W1817" i="1"/>
  <c r="X1817" i="1"/>
  <c r="V1817" i="1"/>
  <c r="U1817" i="1"/>
  <c r="T1817" i="1"/>
  <c r="AE1217" i="1"/>
  <c r="AD1217" i="1"/>
  <c r="AA1217" i="1"/>
  <c r="W1217" i="1"/>
  <c r="V1217" i="1"/>
  <c r="U1217" i="1"/>
  <c r="T1217" i="1"/>
  <c r="AB1217" i="1"/>
  <c r="Z1217" i="1"/>
  <c r="Y1217" i="1"/>
  <c r="X1217" i="1"/>
  <c r="AC1217" i="1"/>
  <c r="AC891" i="1"/>
  <c r="AB891" i="1"/>
  <c r="AA891" i="1"/>
  <c r="Z891" i="1"/>
  <c r="Y891" i="1"/>
  <c r="X891" i="1"/>
  <c r="T891" i="1"/>
  <c r="AE891" i="1"/>
  <c r="AD891" i="1"/>
  <c r="W891" i="1"/>
  <c r="V891" i="1"/>
  <c r="U891" i="1"/>
  <c r="U1622" i="1"/>
  <c r="T1622" i="1"/>
  <c r="AD1622" i="1"/>
  <c r="AC1622" i="1"/>
  <c r="AB1622" i="1"/>
  <c r="AA1622" i="1"/>
  <c r="X1622" i="1"/>
  <c r="V1622" i="1"/>
  <c r="Y1622" i="1"/>
  <c r="W1622" i="1"/>
  <c r="AE1622" i="1"/>
  <c r="Z1622" i="1"/>
  <c r="AC1213" i="1"/>
  <c r="AB1213" i="1"/>
  <c r="AE1213" i="1"/>
  <c r="AD1213" i="1"/>
  <c r="AA1213" i="1"/>
  <c r="Z1213" i="1"/>
  <c r="Y1213" i="1"/>
  <c r="X1213" i="1"/>
  <c r="W1213" i="1"/>
  <c r="V1213" i="1"/>
  <c r="U1213" i="1"/>
  <c r="T1213" i="1"/>
  <c r="AD1085" i="1"/>
  <c r="AB1085" i="1"/>
  <c r="AA1085" i="1"/>
  <c r="Z1085" i="1"/>
  <c r="Y1085" i="1"/>
  <c r="X1085" i="1"/>
  <c r="W1085" i="1"/>
  <c r="V1085" i="1"/>
  <c r="AE1085" i="1"/>
  <c r="AC1085" i="1"/>
  <c r="U1085" i="1"/>
  <c r="T1085" i="1"/>
  <c r="AE1513" i="1"/>
  <c r="AD1513" i="1"/>
  <c r="AC1513" i="1"/>
  <c r="AB1513" i="1"/>
  <c r="AA1513" i="1"/>
  <c r="Y1513" i="1"/>
  <c r="X1513" i="1"/>
  <c r="W1513" i="1"/>
  <c r="U1513" i="1"/>
  <c r="T1513" i="1"/>
  <c r="Z1513" i="1"/>
  <c r="V1513" i="1"/>
  <c r="U1630" i="1"/>
  <c r="T1630" i="1"/>
  <c r="AE1630" i="1"/>
  <c r="AD1630" i="1"/>
  <c r="AC1630" i="1"/>
  <c r="AB1630" i="1"/>
  <c r="Y1630" i="1"/>
  <c r="X1630" i="1"/>
  <c r="AA1630" i="1"/>
  <c r="Z1630" i="1"/>
  <c r="W1630" i="1"/>
  <c r="V1630" i="1"/>
  <c r="W1674" i="1"/>
  <c r="V1674" i="1"/>
  <c r="AE1674" i="1"/>
  <c r="AD1674" i="1"/>
  <c r="AC1674" i="1"/>
  <c r="AA1674" i="1"/>
  <c r="Z1674" i="1"/>
  <c r="Y1674" i="1"/>
  <c r="X1674" i="1"/>
  <c r="U1674" i="1"/>
  <c r="AB1674" i="1"/>
  <c r="T1674" i="1"/>
  <c r="AD1339" i="1"/>
  <c r="AC1339" i="1"/>
  <c r="AB1339" i="1"/>
  <c r="Z1339" i="1"/>
  <c r="T1339" i="1"/>
  <c r="AE1339" i="1"/>
  <c r="AA1339" i="1"/>
  <c r="Y1339" i="1"/>
  <c r="X1339" i="1"/>
  <c r="W1339" i="1"/>
  <c r="V1339" i="1"/>
  <c r="U1339" i="1"/>
  <c r="V1145" i="1"/>
  <c r="T1145" i="1"/>
  <c r="AE1145" i="1"/>
  <c r="AC1145" i="1"/>
  <c r="AB1145" i="1"/>
  <c r="AA1145" i="1"/>
  <c r="AD1145" i="1"/>
  <c r="Z1145" i="1"/>
  <c r="Y1145" i="1"/>
  <c r="X1145" i="1"/>
  <c r="W1145" i="1"/>
  <c r="U1145" i="1"/>
  <c r="Z1042" i="1"/>
  <c r="AE1042" i="1"/>
  <c r="AD1042" i="1"/>
  <c r="AC1042" i="1"/>
  <c r="AB1042" i="1"/>
  <c r="V1042" i="1"/>
  <c r="AA1042" i="1"/>
  <c r="Y1042" i="1"/>
  <c r="X1042" i="1"/>
  <c r="U1042" i="1"/>
  <c r="T1042" i="1"/>
  <c r="W1042" i="1"/>
  <c r="AC1576" i="1"/>
  <c r="AA1576" i="1"/>
  <c r="Z1576" i="1"/>
  <c r="AE1576" i="1"/>
  <c r="AD1576" i="1"/>
  <c r="AB1576" i="1"/>
  <c r="Y1576" i="1"/>
  <c r="X1576" i="1"/>
  <c r="W1576" i="1"/>
  <c r="V1576" i="1"/>
  <c r="U1576" i="1"/>
  <c r="T1576" i="1"/>
  <c r="AA1571" i="1"/>
  <c r="Z1571" i="1"/>
  <c r="Y1571" i="1"/>
  <c r="X1571" i="1"/>
  <c r="W1571" i="1"/>
  <c r="AE1571" i="1"/>
  <c r="AD1571" i="1"/>
  <c r="AC1571" i="1"/>
  <c r="AB1571" i="1"/>
  <c r="V1571" i="1"/>
  <c r="U1571" i="1"/>
  <c r="T1571" i="1"/>
  <c r="AE1821" i="1"/>
  <c r="AD1821" i="1"/>
  <c r="AC1821" i="1"/>
  <c r="AB1821" i="1"/>
  <c r="AA1821" i="1"/>
  <c r="Z1821" i="1"/>
  <c r="Y1821" i="1"/>
  <c r="W1821" i="1"/>
  <c r="V1821" i="1"/>
  <c r="X1821" i="1"/>
  <c r="U1821" i="1"/>
  <c r="T1821" i="1"/>
  <c r="AE1823" i="1"/>
  <c r="AD1823" i="1"/>
  <c r="AC1823" i="1"/>
  <c r="AB1823" i="1"/>
  <c r="AA1823" i="1"/>
  <c r="Z1823" i="1"/>
  <c r="Y1823" i="1"/>
  <c r="V1823" i="1"/>
  <c r="U1823" i="1"/>
  <c r="T1823" i="1"/>
  <c r="X1823" i="1"/>
  <c r="W1823" i="1"/>
  <c r="W1454" i="1"/>
  <c r="V1454" i="1"/>
  <c r="U1454" i="1"/>
  <c r="T1454" i="1"/>
  <c r="Y1454" i="1"/>
  <c r="X1454" i="1"/>
  <c r="AE1454" i="1"/>
  <c r="AD1454" i="1"/>
  <c r="AC1454" i="1"/>
  <c r="AB1454" i="1"/>
  <c r="AA1454" i="1"/>
  <c r="Z1454" i="1"/>
  <c r="X1212" i="1"/>
  <c r="V1212" i="1"/>
  <c r="Y1212" i="1"/>
  <c r="U1212" i="1"/>
  <c r="T1212" i="1"/>
  <c r="AE1212" i="1"/>
  <c r="AD1212" i="1"/>
  <c r="AC1212" i="1"/>
  <c r="AB1212" i="1"/>
  <c r="Z1212" i="1"/>
  <c r="W1212" i="1"/>
  <c r="AA1212" i="1"/>
  <c r="U1580" i="1"/>
  <c r="AD1580" i="1"/>
  <c r="AB1580" i="1"/>
  <c r="AA1580" i="1"/>
  <c r="X1580" i="1"/>
  <c r="W1580" i="1"/>
  <c r="V1580" i="1"/>
  <c r="T1580" i="1"/>
  <c r="Y1580" i="1"/>
  <c r="AE1580" i="1"/>
  <c r="AC1580" i="1"/>
  <c r="Z1580" i="1"/>
  <c r="Z996" i="1"/>
  <c r="Y996" i="1"/>
  <c r="X996" i="1"/>
  <c r="W996" i="1"/>
  <c r="V996" i="1"/>
  <c r="U996" i="1"/>
  <c r="T996" i="1"/>
  <c r="AC996" i="1"/>
  <c r="AB996" i="1"/>
  <c r="AA996" i="1"/>
  <c r="AE996" i="1"/>
  <c r="AD996" i="1"/>
  <c r="Y1068" i="1"/>
  <c r="AE1068" i="1"/>
  <c r="AD1068" i="1"/>
  <c r="AC1068" i="1"/>
  <c r="AB1068" i="1"/>
  <c r="AA1068" i="1"/>
  <c r="V1068" i="1"/>
  <c r="Z1068" i="1"/>
  <c r="W1068" i="1"/>
  <c r="U1068" i="1"/>
  <c r="X1068" i="1"/>
  <c r="T1068" i="1"/>
  <c r="AE747" i="1"/>
  <c r="AD747" i="1"/>
  <c r="AC747" i="1"/>
  <c r="AB747" i="1"/>
  <c r="AA747" i="1"/>
  <c r="Z747" i="1"/>
  <c r="X747" i="1"/>
  <c r="V747" i="1"/>
  <c r="U747" i="1"/>
  <c r="T747" i="1"/>
  <c r="Y747" i="1"/>
  <c r="W747" i="1"/>
  <c r="W1330" i="1"/>
  <c r="T1330" i="1"/>
  <c r="AE1330" i="1"/>
  <c r="AD1330" i="1"/>
  <c r="AC1330" i="1"/>
  <c r="AB1330" i="1"/>
  <c r="AA1330" i="1"/>
  <c r="X1330" i="1"/>
  <c r="Y1330" i="1"/>
  <c r="V1330" i="1"/>
  <c r="U1330" i="1"/>
  <c r="Z1330" i="1"/>
  <c r="U1656" i="1"/>
  <c r="T1656" i="1"/>
  <c r="X1656" i="1"/>
  <c r="W1656" i="1"/>
  <c r="V1656" i="1"/>
  <c r="Y1656" i="1"/>
  <c r="AE1656" i="1"/>
  <c r="AD1656" i="1"/>
  <c r="AC1656" i="1"/>
  <c r="AB1656" i="1"/>
  <c r="AA1656" i="1"/>
  <c r="Z1656" i="1"/>
  <c r="AB1493" i="1"/>
  <c r="AA1493" i="1"/>
  <c r="AE1493" i="1"/>
  <c r="AC1493" i="1"/>
  <c r="Z1493" i="1"/>
  <c r="Y1493" i="1"/>
  <c r="X1493" i="1"/>
  <c r="W1493" i="1"/>
  <c r="V1493" i="1"/>
  <c r="U1493" i="1"/>
  <c r="T1493" i="1"/>
  <c r="AD1493" i="1"/>
  <c r="AE1623" i="1"/>
  <c r="AD1623" i="1"/>
  <c r="V1623" i="1"/>
  <c r="U1623" i="1"/>
  <c r="AC1623" i="1"/>
  <c r="AB1623" i="1"/>
  <c r="AA1623" i="1"/>
  <c r="Z1623" i="1"/>
  <c r="Y1623" i="1"/>
  <c r="X1623" i="1"/>
  <c r="W1623" i="1"/>
  <c r="T1623" i="1"/>
  <c r="U1614" i="1"/>
  <c r="T1614" i="1"/>
  <c r="Z1614" i="1"/>
  <c r="Y1614" i="1"/>
  <c r="X1614" i="1"/>
  <c r="W1614" i="1"/>
  <c r="AE1614" i="1"/>
  <c r="V1614" i="1"/>
  <c r="AB1614" i="1"/>
  <c r="AA1614" i="1"/>
  <c r="AD1614" i="1"/>
  <c r="AC1614" i="1"/>
  <c r="Y1036" i="1"/>
  <c r="AC1036" i="1"/>
  <c r="AB1036" i="1"/>
  <c r="AA1036" i="1"/>
  <c r="Z1036" i="1"/>
  <c r="X1036" i="1"/>
  <c r="T1036" i="1"/>
  <c r="AE1036" i="1"/>
  <c r="AD1036" i="1"/>
  <c r="W1036" i="1"/>
  <c r="V1036" i="1"/>
  <c r="U1036" i="1"/>
  <c r="Y1512" i="1"/>
  <c r="X1512" i="1"/>
  <c r="W1512" i="1"/>
  <c r="V1512" i="1"/>
  <c r="U1512" i="1"/>
  <c r="T1512" i="1"/>
  <c r="AE1512" i="1"/>
  <c r="AD1512" i="1"/>
  <c r="AC1512" i="1"/>
  <c r="AB1512" i="1"/>
  <c r="AA1512" i="1"/>
  <c r="Z1512" i="1"/>
  <c r="W1470" i="1"/>
  <c r="V1470" i="1"/>
  <c r="U1470" i="1"/>
  <c r="T1470" i="1"/>
  <c r="AE1470" i="1"/>
  <c r="AD1470" i="1"/>
  <c r="AC1470" i="1"/>
  <c r="AB1470" i="1"/>
  <c r="AA1470" i="1"/>
  <c r="Z1470" i="1"/>
  <c r="Y1470" i="1"/>
  <c r="X1470" i="1"/>
  <c r="Y1078" i="1"/>
  <c r="AD1078" i="1"/>
  <c r="V1078" i="1"/>
  <c r="AA1078" i="1"/>
  <c r="Z1078" i="1"/>
  <c r="X1078" i="1"/>
  <c r="W1078" i="1"/>
  <c r="U1078" i="1"/>
  <c r="T1078" i="1"/>
  <c r="AE1078" i="1"/>
  <c r="AB1078" i="1"/>
  <c r="AC1078" i="1"/>
  <c r="AE1725" i="1"/>
  <c r="AC1725" i="1"/>
  <c r="AB1725" i="1"/>
  <c r="AA1725" i="1"/>
  <c r="AD1725" i="1"/>
  <c r="Z1725" i="1"/>
  <c r="Y1725" i="1"/>
  <c r="X1725" i="1"/>
  <c r="W1725" i="1"/>
  <c r="T1725" i="1"/>
  <c r="V1725" i="1"/>
  <c r="U1725" i="1"/>
  <c r="AC955" i="1"/>
  <c r="AE955" i="1"/>
  <c r="AD955" i="1"/>
  <c r="AB955" i="1"/>
  <c r="Z955" i="1"/>
  <c r="Y955" i="1"/>
  <c r="X955" i="1"/>
  <c r="W955" i="1"/>
  <c r="V955" i="1"/>
  <c r="U955" i="1"/>
  <c r="T955" i="1"/>
  <c r="AA955" i="1"/>
  <c r="Y1066" i="1"/>
  <c r="AD1066" i="1"/>
  <c r="AC1066" i="1"/>
  <c r="AB1066" i="1"/>
  <c r="AA1066" i="1"/>
  <c r="Z1066" i="1"/>
  <c r="X1066" i="1"/>
  <c r="T1066" i="1"/>
  <c r="AE1066" i="1"/>
  <c r="W1066" i="1"/>
  <c r="V1066" i="1"/>
  <c r="U1066" i="1"/>
  <c r="V1403" i="1"/>
  <c r="U1403" i="1"/>
  <c r="T1403" i="1"/>
  <c r="AE1403" i="1"/>
  <c r="AD1403" i="1"/>
  <c r="AC1403" i="1"/>
  <c r="AB1403" i="1"/>
  <c r="Z1403" i="1"/>
  <c r="Y1403" i="1"/>
  <c r="AA1403" i="1"/>
  <c r="X1403" i="1"/>
  <c r="W1403" i="1"/>
  <c r="AC770" i="1"/>
  <c r="AB770" i="1"/>
  <c r="AD770" i="1"/>
  <c r="AA770" i="1"/>
  <c r="Z770" i="1"/>
  <c r="X770" i="1"/>
  <c r="AE770" i="1"/>
  <c r="Y770" i="1"/>
  <c r="W770" i="1"/>
  <c r="U770" i="1"/>
  <c r="V770" i="1"/>
  <c r="T770" i="1"/>
  <c r="X1222" i="1"/>
  <c r="V1222" i="1"/>
  <c r="AE1222" i="1"/>
  <c r="AC1222" i="1"/>
  <c r="AB1222" i="1"/>
  <c r="AA1222" i="1"/>
  <c r="U1222" i="1"/>
  <c r="AD1222" i="1"/>
  <c r="Y1222" i="1"/>
  <c r="W1222" i="1"/>
  <c r="T1222" i="1"/>
  <c r="Z1222" i="1"/>
  <c r="AE1689" i="1"/>
  <c r="AC1689" i="1"/>
  <c r="AB1689" i="1"/>
  <c r="V1689" i="1"/>
  <c r="X1689" i="1"/>
  <c r="W1689" i="1"/>
  <c r="T1689" i="1"/>
  <c r="AD1689" i="1"/>
  <c r="AA1689" i="1"/>
  <c r="Z1689" i="1"/>
  <c r="Y1689" i="1"/>
  <c r="U1689" i="1"/>
  <c r="X1716" i="1"/>
  <c r="W1716" i="1"/>
  <c r="V1716" i="1"/>
  <c r="U1716" i="1"/>
  <c r="AE1716" i="1"/>
  <c r="AD1716" i="1"/>
  <c r="AC1716" i="1"/>
  <c r="AB1716" i="1"/>
  <c r="AA1716" i="1"/>
  <c r="Z1716" i="1"/>
  <c r="Y1716" i="1"/>
  <c r="T1716" i="1"/>
  <c r="AD958" i="1"/>
  <c r="AC958" i="1"/>
  <c r="AB958" i="1"/>
  <c r="AA958" i="1"/>
  <c r="Z958" i="1"/>
  <c r="T958" i="1"/>
  <c r="X958" i="1"/>
  <c r="W958" i="1"/>
  <c r="V958" i="1"/>
  <c r="U958" i="1"/>
  <c r="AE958" i="1"/>
  <c r="Y958" i="1"/>
  <c r="AC1548" i="1"/>
  <c r="AA1548" i="1"/>
  <c r="Z1548" i="1"/>
  <c r="AE1548" i="1"/>
  <c r="AD1548" i="1"/>
  <c r="AB1548" i="1"/>
  <c r="Y1548" i="1"/>
  <c r="X1548" i="1"/>
  <c r="W1548" i="1"/>
  <c r="V1548" i="1"/>
  <c r="U1548" i="1"/>
  <c r="T1548" i="1"/>
  <c r="Y1237" i="1"/>
  <c r="W1237" i="1"/>
  <c r="V1237" i="1"/>
  <c r="U1237" i="1"/>
  <c r="AB1237" i="1"/>
  <c r="AA1237" i="1"/>
  <c r="Z1237" i="1"/>
  <c r="X1237" i="1"/>
  <c r="T1237" i="1"/>
  <c r="AD1237" i="1"/>
  <c r="AC1237" i="1"/>
  <c r="AE1237" i="1"/>
  <c r="W1328" i="1"/>
  <c r="AE1328" i="1"/>
  <c r="AD1328" i="1"/>
  <c r="AC1328" i="1"/>
  <c r="AB1328" i="1"/>
  <c r="AA1328" i="1"/>
  <c r="Z1328" i="1"/>
  <c r="Y1328" i="1"/>
  <c r="X1328" i="1"/>
  <c r="V1328" i="1"/>
  <c r="U1328" i="1"/>
  <c r="T1328" i="1"/>
  <c r="AE1811" i="1"/>
  <c r="AD1811" i="1"/>
  <c r="AC1811" i="1"/>
  <c r="AB1811" i="1"/>
  <c r="AA1811" i="1"/>
  <c r="Z1811" i="1"/>
  <c r="Y1811" i="1"/>
  <c r="X1811" i="1"/>
  <c r="U1811" i="1"/>
  <c r="T1811" i="1"/>
  <c r="V1811" i="1"/>
  <c r="W1811" i="1"/>
  <c r="X1198" i="1"/>
  <c r="V1198" i="1"/>
  <c r="Y1198" i="1"/>
  <c r="W1198" i="1"/>
  <c r="U1198" i="1"/>
  <c r="T1198" i="1"/>
  <c r="AE1198" i="1"/>
  <c r="AD1198" i="1"/>
  <c r="AC1198" i="1"/>
  <c r="AB1198" i="1"/>
  <c r="AA1198" i="1"/>
  <c r="Z1198" i="1"/>
  <c r="T1529" i="1"/>
  <c r="Y1529" i="1"/>
  <c r="X1529" i="1"/>
  <c r="W1529" i="1"/>
  <c r="U1529" i="1"/>
  <c r="V1529" i="1"/>
  <c r="AE1529" i="1"/>
  <c r="AD1529" i="1"/>
  <c r="AC1529" i="1"/>
  <c r="AB1529" i="1"/>
  <c r="AA1529" i="1"/>
  <c r="Z1529" i="1"/>
  <c r="X1280" i="1"/>
  <c r="V1280" i="1"/>
  <c r="U1280" i="1"/>
  <c r="T1280" i="1"/>
  <c r="Y1280" i="1"/>
  <c r="W1280" i="1"/>
  <c r="AB1280" i="1"/>
  <c r="AA1280" i="1"/>
  <c r="Z1280" i="1"/>
  <c r="AC1280" i="1"/>
  <c r="AE1280" i="1"/>
  <c r="AD1280" i="1"/>
  <c r="AE1861" i="1"/>
  <c r="AD1861" i="1"/>
  <c r="AC1861" i="1"/>
  <c r="AB1861" i="1"/>
  <c r="AA1861" i="1"/>
  <c r="Z1861" i="1"/>
  <c r="Y1861" i="1"/>
  <c r="T1861" i="1"/>
  <c r="W1861" i="1"/>
  <c r="V1861" i="1"/>
  <c r="U1861" i="1"/>
  <c r="X1861" i="1"/>
  <c r="Y1146" i="1"/>
  <c r="W1146" i="1"/>
  <c r="AA1146" i="1"/>
  <c r="U1146" i="1"/>
  <c r="T1146" i="1"/>
  <c r="AE1146" i="1"/>
  <c r="AC1146" i="1"/>
  <c r="AB1146" i="1"/>
  <c r="Z1146" i="1"/>
  <c r="V1146" i="1"/>
  <c r="AD1146" i="1"/>
  <c r="X1146" i="1"/>
  <c r="AC760" i="1"/>
  <c r="AB760" i="1"/>
  <c r="X760" i="1"/>
  <c r="W760" i="1"/>
  <c r="V760" i="1"/>
  <c r="T760" i="1"/>
  <c r="AE760" i="1"/>
  <c r="AD760" i="1"/>
  <c r="AA760" i="1"/>
  <c r="Z760" i="1"/>
  <c r="Y760" i="1"/>
  <c r="U760" i="1"/>
  <c r="T817" i="1"/>
  <c r="AE817" i="1"/>
  <c r="AD817" i="1"/>
  <c r="AC817" i="1"/>
  <c r="AB817" i="1"/>
  <c r="AA817" i="1"/>
  <c r="Z817" i="1"/>
  <c r="Y817" i="1"/>
  <c r="X817" i="1"/>
  <c r="W817" i="1"/>
  <c r="V817" i="1"/>
  <c r="U817" i="1"/>
  <c r="U1636" i="1"/>
  <c r="T1636" i="1"/>
  <c r="AD1636" i="1"/>
  <c r="AE1636" i="1"/>
  <c r="AC1636" i="1"/>
  <c r="AB1636" i="1"/>
  <c r="AA1636" i="1"/>
  <c r="Z1636" i="1"/>
  <c r="W1636" i="1"/>
  <c r="V1636" i="1"/>
  <c r="Y1636" i="1"/>
  <c r="X1636" i="1"/>
  <c r="U1594" i="1"/>
  <c r="T1594" i="1"/>
  <c r="V1594" i="1"/>
  <c r="AC1594" i="1"/>
  <c r="AB1594" i="1"/>
  <c r="AA1594" i="1"/>
  <c r="Z1594" i="1"/>
  <c r="Y1594" i="1"/>
  <c r="X1594" i="1"/>
  <c r="AE1594" i="1"/>
  <c r="AD1594" i="1"/>
  <c r="W1594" i="1"/>
  <c r="AD1469" i="1"/>
  <c r="T1469" i="1"/>
  <c r="AE1469" i="1"/>
  <c r="AC1469" i="1"/>
  <c r="AB1469" i="1"/>
  <c r="AA1469" i="1"/>
  <c r="Z1469" i="1"/>
  <c r="Y1469" i="1"/>
  <c r="X1469" i="1"/>
  <c r="W1469" i="1"/>
  <c r="V1469" i="1"/>
  <c r="U1469" i="1"/>
  <c r="AE1703" i="1"/>
  <c r="AC1703" i="1"/>
  <c r="AB1703" i="1"/>
  <c r="AA1703" i="1"/>
  <c r="AD1703" i="1"/>
  <c r="Z1703" i="1"/>
  <c r="X1703" i="1"/>
  <c r="W1703" i="1"/>
  <c r="V1703" i="1"/>
  <c r="U1703" i="1"/>
  <c r="T1703" i="1"/>
  <c r="Y1703" i="1"/>
  <c r="W1438" i="1"/>
  <c r="V1438" i="1"/>
  <c r="U1438" i="1"/>
  <c r="T1438" i="1"/>
  <c r="X1438" i="1"/>
  <c r="AE1438" i="1"/>
  <c r="AD1438" i="1"/>
  <c r="AC1438" i="1"/>
  <c r="AB1438" i="1"/>
  <c r="AA1438" i="1"/>
  <c r="Y1438" i="1"/>
  <c r="Z1438" i="1"/>
  <c r="AE1699" i="1"/>
  <c r="AC1699" i="1"/>
  <c r="AB1699" i="1"/>
  <c r="Y1699" i="1"/>
  <c r="X1699" i="1"/>
  <c r="W1699" i="1"/>
  <c r="U1699" i="1"/>
  <c r="V1699" i="1"/>
  <c r="T1699" i="1"/>
  <c r="AD1699" i="1"/>
  <c r="AA1699" i="1"/>
  <c r="Z1699" i="1"/>
  <c r="AB856" i="1"/>
  <c r="AA856" i="1"/>
  <c r="Z856" i="1"/>
  <c r="X856" i="1"/>
  <c r="W856" i="1"/>
  <c r="AE856" i="1"/>
  <c r="AD856" i="1"/>
  <c r="AC856" i="1"/>
  <c r="Y856" i="1"/>
  <c r="U856" i="1"/>
  <c r="V856" i="1"/>
  <c r="T856" i="1"/>
  <c r="Y1142" i="1"/>
  <c r="W1142" i="1"/>
  <c r="AD1142" i="1"/>
  <c r="X1142" i="1"/>
  <c r="AE1142" i="1"/>
  <c r="AC1142" i="1"/>
  <c r="AB1142" i="1"/>
  <c r="AA1142" i="1"/>
  <c r="Z1142" i="1"/>
  <c r="V1142" i="1"/>
  <c r="U1142" i="1"/>
  <c r="T1142" i="1"/>
  <c r="U1640" i="1"/>
  <c r="T1640" i="1"/>
  <c r="AE1640" i="1"/>
  <c r="AB1640" i="1"/>
  <c r="AA1640" i="1"/>
  <c r="AD1640" i="1"/>
  <c r="AC1640" i="1"/>
  <c r="Z1640" i="1"/>
  <c r="Y1640" i="1"/>
  <c r="X1640" i="1"/>
  <c r="W1640" i="1"/>
  <c r="V1640" i="1"/>
  <c r="AC858" i="1"/>
  <c r="AB858" i="1"/>
  <c r="AA858" i="1"/>
  <c r="Y858" i="1"/>
  <c r="X858" i="1"/>
  <c r="V858" i="1"/>
  <c r="U858" i="1"/>
  <c r="T858" i="1"/>
  <c r="AE858" i="1"/>
  <c r="AD858" i="1"/>
  <c r="Z858" i="1"/>
  <c r="W858" i="1"/>
  <c r="W1466" i="1"/>
  <c r="V1466" i="1"/>
  <c r="U1466" i="1"/>
  <c r="T1466" i="1"/>
  <c r="AE1466" i="1"/>
  <c r="AD1466" i="1"/>
  <c r="AB1466" i="1"/>
  <c r="AA1466" i="1"/>
  <c r="Z1466" i="1"/>
  <c r="Y1466" i="1"/>
  <c r="X1466" i="1"/>
  <c r="AC1466" i="1"/>
  <c r="Y844" i="1"/>
  <c r="X844" i="1"/>
  <c r="W844" i="1"/>
  <c r="U844" i="1"/>
  <c r="T844" i="1"/>
  <c r="AE844" i="1"/>
  <c r="AC844" i="1"/>
  <c r="AB844" i="1"/>
  <c r="AA844" i="1"/>
  <c r="Z844" i="1"/>
  <c r="AD844" i="1"/>
  <c r="V844" i="1"/>
  <c r="T851" i="1"/>
  <c r="AD851" i="1"/>
  <c r="AC851" i="1"/>
  <c r="W851" i="1"/>
  <c r="V851" i="1"/>
  <c r="U851" i="1"/>
  <c r="AA851" i="1"/>
  <c r="Z851" i="1"/>
  <c r="Y851" i="1"/>
  <c r="X851" i="1"/>
  <c r="AE851" i="1"/>
  <c r="AB851" i="1"/>
  <c r="X1252" i="1"/>
  <c r="V1252" i="1"/>
  <c r="AC1252" i="1"/>
  <c r="AB1252" i="1"/>
  <c r="AA1252" i="1"/>
  <c r="Z1252" i="1"/>
  <c r="Y1252" i="1"/>
  <c r="W1252" i="1"/>
  <c r="U1252" i="1"/>
  <c r="T1252" i="1"/>
  <c r="AD1252" i="1"/>
  <c r="AE1252" i="1"/>
  <c r="AC1860" i="1"/>
  <c r="W1860" i="1"/>
  <c r="V1860" i="1"/>
  <c r="U1860" i="1"/>
  <c r="T1860" i="1"/>
  <c r="AE1860" i="1"/>
  <c r="AD1860" i="1"/>
  <c r="AB1860" i="1"/>
  <c r="AA1860" i="1"/>
  <c r="Z1860" i="1"/>
  <c r="Y1860" i="1"/>
  <c r="X1860" i="1"/>
  <c r="Y1325" i="1"/>
  <c r="X1325" i="1"/>
  <c r="W1325" i="1"/>
  <c r="U1325" i="1"/>
  <c r="AE1325" i="1"/>
  <c r="AD1325" i="1"/>
  <c r="AC1325" i="1"/>
  <c r="AB1325" i="1"/>
  <c r="AA1325" i="1"/>
  <c r="Z1325" i="1"/>
  <c r="T1325" i="1"/>
  <c r="V1325" i="1"/>
  <c r="AE1859" i="1"/>
  <c r="AD1859" i="1"/>
  <c r="AC1859" i="1"/>
  <c r="AB1859" i="1"/>
  <c r="AA1859" i="1"/>
  <c r="Z1859" i="1"/>
  <c r="Y1859" i="1"/>
  <c r="X1859" i="1"/>
  <c r="V1859" i="1"/>
  <c r="W1859" i="1"/>
  <c r="U1859" i="1"/>
  <c r="T1859" i="1"/>
  <c r="W1678" i="1"/>
  <c r="V1678" i="1"/>
  <c r="AE1678" i="1"/>
  <c r="AD1678" i="1"/>
  <c r="AC1678" i="1"/>
  <c r="AB1678" i="1"/>
  <c r="AA1678" i="1"/>
  <c r="Z1678" i="1"/>
  <c r="Y1678" i="1"/>
  <c r="X1678" i="1"/>
  <c r="U1678" i="1"/>
  <c r="T1678" i="1"/>
  <c r="AE1201" i="1"/>
  <c r="AC1201" i="1"/>
  <c r="AB1201" i="1"/>
  <c r="W1201" i="1"/>
  <c r="AD1201" i="1"/>
  <c r="AA1201" i="1"/>
  <c r="Z1201" i="1"/>
  <c r="Y1201" i="1"/>
  <c r="X1201" i="1"/>
  <c r="V1201" i="1"/>
  <c r="U1201" i="1"/>
  <c r="T1201" i="1"/>
  <c r="AD1774" i="1"/>
  <c r="AC1774" i="1"/>
  <c r="AB1774" i="1"/>
  <c r="AA1774" i="1"/>
  <c r="Z1774" i="1"/>
  <c r="Y1774" i="1"/>
  <c r="X1774" i="1"/>
  <c r="W1774" i="1"/>
  <c r="V1774" i="1"/>
  <c r="T1774" i="1"/>
  <c r="AE1774" i="1"/>
  <c r="U1774" i="1"/>
  <c r="AC961" i="1"/>
  <c r="AB961" i="1"/>
  <c r="AA961" i="1"/>
  <c r="AD961" i="1"/>
  <c r="Y961" i="1"/>
  <c r="X961" i="1"/>
  <c r="W961" i="1"/>
  <c r="V961" i="1"/>
  <c r="T961" i="1"/>
  <c r="AE961" i="1"/>
  <c r="Z961" i="1"/>
  <c r="U961" i="1"/>
  <c r="AD1367" i="1"/>
  <c r="AA1367" i="1"/>
  <c r="Z1367" i="1"/>
  <c r="Y1367" i="1"/>
  <c r="X1367" i="1"/>
  <c r="W1367" i="1"/>
  <c r="V1367" i="1"/>
  <c r="AE1367" i="1"/>
  <c r="AC1367" i="1"/>
  <c r="AB1367" i="1"/>
  <c r="U1367" i="1"/>
  <c r="T1367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AC1125" i="1"/>
  <c r="Y1125" i="1"/>
  <c r="X1125" i="1"/>
  <c r="W1125" i="1"/>
  <c r="V1125" i="1"/>
  <c r="U1125" i="1"/>
  <c r="T1125" i="1"/>
  <c r="AE1125" i="1"/>
  <c r="AD1125" i="1"/>
  <c r="AB1125" i="1"/>
  <c r="Z1125" i="1"/>
  <c r="AA1125" i="1"/>
  <c r="AC1568" i="1"/>
  <c r="AA1568" i="1"/>
  <c r="Z1568" i="1"/>
  <c r="AE1568" i="1"/>
  <c r="AD1568" i="1"/>
  <c r="AB1568" i="1"/>
  <c r="Y1568" i="1"/>
  <c r="X1568" i="1"/>
  <c r="W1568" i="1"/>
  <c r="V1568" i="1"/>
  <c r="U1568" i="1"/>
  <c r="T1568" i="1"/>
  <c r="Y1037" i="1" l="1"/>
  <c r="AD1037" i="1"/>
  <c r="AC1037" i="1"/>
  <c r="AB1037" i="1"/>
  <c r="AE1037" i="1"/>
  <c r="AA1037" i="1"/>
  <c r="Z1037" i="1"/>
  <c r="W1037" i="1"/>
  <c r="T1037" i="1"/>
  <c r="X1037" i="1"/>
  <c r="V1037" i="1"/>
  <c r="U1037" i="1"/>
  <c r="AC905" i="1"/>
  <c r="AE905" i="1"/>
  <c r="AD905" i="1"/>
  <c r="AB905" i="1"/>
  <c r="AA905" i="1"/>
  <c r="Z905" i="1"/>
  <c r="Y905" i="1"/>
  <c r="X905" i="1"/>
  <c r="W905" i="1"/>
  <c r="V905" i="1"/>
  <c r="U905" i="1"/>
  <c r="T905" i="1"/>
  <c r="W1480" i="1"/>
  <c r="V1480" i="1"/>
  <c r="U1480" i="1"/>
  <c r="T1480" i="1"/>
  <c r="AD1480" i="1"/>
  <c r="Z1480" i="1"/>
  <c r="Y1480" i="1"/>
  <c r="X1480" i="1"/>
  <c r="AE1480" i="1"/>
  <c r="AB1480" i="1"/>
  <c r="AA1480" i="1"/>
  <c r="AC1480" i="1"/>
  <c r="W1458" i="1"/>
  <c r="V1458" i="1"/>
  <c r="U1458" i="1"/>
  <c r="T1458" i="1"/>
  <c r="AC1458" i="1"/>
  <c r="AB1458" i="1"/>
  <c r="Z1458" i="1"/>
  <c r="AE1458" i="1"/>
  <c r="AA1458" i="1"/>
  <c r="Y1458" i="1"/>
  <c r="X1458" i="1"/>
  <c r="AD1458" i="1"/>
  <c r="AE1245" i="1"/>
  <c r="AC1245" i="1"/>
  <c r="AB1245" i="1"/>
  <c r="AA1245" i="1"/>
  <c r="W1245" i="1"/>
  <c r="AD1245" i="1"/>
  <c r="Z1245" i="1"/>
  <c r="T1245" i="1"/>
  <c r="Y1245" i="1"/>
  <c r="X1245" i="1"/>
  <c r="V1245" i="1"/>
  <c r="U1245" i="1"/>
  <c r="T990" i="1"/>
  <c r="AE990" i="1"/>
  <c r="AD990" i="1"/>
  <c r="AC990" i="1"/>
  <c r="AA990" i="1"/>
  <c r="Y990" i="1"/>
  <c r="X990" i="1"/>
  <c r="W990" i="1"/>
  <c r="V990" i="1"/>
  <c r="AB990" i="1"/>
  <c r="Z990" i="1"/>
  <c r="U990" i="1"/>
  <c r="Y1465" i="1"/>
  <c r="X1465" i="1"/>
  <c r="V1465" i="1"/>
  <c r="W1465" i="1"/>
  <c r="U1465" i="1"/>
  <c r="AC1465" i="1"/>
  <c r="AE1465" i="1"/>
  <c r="AD1465" i="1"/>
  <c r="AB1465" i="1"/>
  <c r="AA1465" i="1"/>
  <c r="Z1465" i="1"/>
  <c r="T1465" i="1"/>
  <c r="AE1832" i="1"/>
  <c r="AD1832" i="1"/>
  <c r="AC1832" i="1"/>
  <c r="AB1832" i="1"/>
  <c r="AA1832" i="1"/>
  <c r="Z1832" i="1"/>
  <c r="X1832" i="1"/>
  <c r="T1832" i="1"/>
  <c r="Y1832" i="1"/>
  <c r="W1832" i="1"/>
  <c r="V1832" i="1"/>
  <c r="U1832" i="1"/>
  <c r="AC927" i="1"/>
  <c r="AE927" i="1"/>
  <c r="AD927" i="1"/>
  <c r="X927" i="1"/>
  <c r="U927" i="1"/>
  <c r="T927" i="1"/>
  <c r="AB927" i="1"/>
  <c r="AA927" i="1"/>
  <c r="Z927" i="1"/>
  <c r="Y927" i="1"/>
  <c r="W927" i="1"/>
  <c r="V927" i="1"/>
  <c r="W1383" i="1"/>
  <c r="V1383" i="1"/>
  <c r="U1383" i="1"/>
  <c r="T1383" i="1"/>
  <c r="AE1383" i="1"/>
  <c r="AD1383" i="1"/>
  <c r="AC1383" i="1"/>
  <c r="AB1383" i="1"/>
  <c r="AA1383" i="1"/>
  <c r="Z1383" i="1"/>
  <c r="Y1383" i="1"/>
  <c r="X1383" i="1"/>
  <c r="AC1562" i="1"/>
  <c r="AA1562" i="1"/>
  <c r="Z1562" i="1"/>
  <c r="AE1562" i="1"/>
  <c r="AD1562" i="1"/>
  <c r="AB1562" i="1"/>
  <c r="Y1562" i="1"/>
  <c r="X1562" i="1"/>
  <c r="V1562" i="1"/>
  <c r="U1562" i="1"/>
  <c r="T1562" i="1"/>
  <c r="W1562" i="1"/>
  <c r="AC1554" i="1"/>
  <c r="AA1554" i="1"/>
  <c r="Z1554" i="1"/>
  <c r="AE1554" i="1"/>
  <c r="AB1554" i="1"/>
  <c r="Y1554" i="1"/>
  <c r="X1554" i="1"/>
  <c r="W1554" i="1"/>
  <c r="V1554" i="1"/>
  <c r="U1554" i="1"/>
  <c r="T1554" i="1"/>
  <c r="AD1554" i="1"/>
  <c r="Z1149" i="1"/>
  <c r="X1149" i="1"/>
  <c r="AE1149" i="1"/>
  <c r="AC1149" i="1"/>
  <c r="AB1149" i="1"/>
  <c r="AA1149" i="1"/>
  <c r="W1149" i="1"/>
  <c r="V1149" i="1"/>
  <c r="AD1149" i="1"/>
  <c r="Y1149" i="1"/>
  <c r="U1149" i="1"/>
  <c r="T1149" i="1"/>
  <c r="Y1160" i="1"/>
  <c r="W1160" i="1"/>
  <c r="T1160" i="1"/>
  <c r="AE1160" i="1"/>
  <c r="AD1160" i="1"/>
  <c r="AB1160" i="1"/>
  <c r="AA1160" i="1"/>
  <c r="AC1160" i="1"/>
  <c r="Z1160" i="1"/>
  <c r="X1160" i="1"/>
  <c r="V1160" i="1"/>
  <c r="U1160" i="1"/>
  <c r="U1608" i="1"/>
  <c r="T1608" i="1"/>
  <c r="W1608" i="1"/>
  <c r="V1608" i="1"/>
  <c r="AA1608" i="1"/>
  <c r="Z1608" i="1"/>
  <c r="Y1608" i="1"/>
  <c r="X1608" i="1"/>
  <c r="AE1608" i="1"/>
  <c r="AC1608" i="1"/>
  <c r="AB1608" i="1"/>
  <c r="AD1608" i="1"/>
  <c r="AC1564" i="1"/>
  <c r="AA1564" i="1"/>
  <c r="Z1564" i="1"/>
  <c r="AE1564" i="1"/>
  <c r="AD1564" i="1"/>
  <c r="U1564" i="1"/>
  <c r="T1564" i="1"/>
  <c r="AB1564" i="1"/>
  <c r="Y1564" i="1"/>
  <c r="X1564" i="1"/>
  <c r="W1564" i="1"/>
  <c r="V1564" i="1"/>
  <c r="X1756" i="1"/>
  <c r="W1756" i="1"/>
  <c r="V1756" i="1"/>
  <c r="U1756" i="1"/>
  <c r="T1756" i="1"/>
  <c r="AD1756" i="1"/>
  <c r="AC1756" i="1"/>
  <c r="AB1756" i="1"/>
  <c r="AA1756" i="1"/>
  <c r="Z1756" i="1"/>
  <c r="AE1756" i="1"/>
  <c r="Y1756" i="1"/>
  <c r="U1509" i="1"/>
  <c r="T1509" i="1"/>
  <c r="AE1509" i="1"/>
  <c r="V1509" i="1"/>
  <c r="AD1509" i="1"/>
  <c r="AC1509" i="1"/>
  <c r="AB1509" i="1"/>
  <c r="AA1509" i="1"/>
  <c r="Z1509" i="1"/>
  <c r="Y1509" i="1"/>
  <c r="W1509" i="1"/>
  <c r="X1509" i="1"/>
  <c r="U1352" i="1"/>
  <c r="T1352" i="1"/>
  <c r="AE1352" i="1"/>
  <c r="Y1352" i="1"/>
  <c r="X1352" i="1"/>
  <c r="AD1352" i="1"/>
  <c r="AC1352" i="1"/>
  <c r="AB1352" i="1"/>
  <c r="AA1352" i="1"/>
  <c r="Z1352" i="1"/>
  <c r="V1352" i="1"/>
  <c r="W1352" i="1"/>
  <c r="W1563" i="1"/>
  <c r="V1563" i="1"/>
  <c r="U1563" i="1"/>
  <c r="T1563" i="1"/>
  <c r="AE1563" i="1"/>
  <c r="AD1563" i="1"/>
  <c r="AC1563" i="1"/>
  <c r="AB1563" i="1"/>
  <c r="AA1563" i="1"/>
  <c r="Z1563" i="1"/>
  <c r="Y1563" i="1"/>
  <c r="X1563" i="1"/>
  <c r="AE1686" i="1"/>
  <c r="AB1686" i="1"/>
  <c r="U1686" i="1"/>
  <c r="T1686" i="1"/>
  <c r="X1686" i="1"/>
  <c r="W1686" i="1"/>
  <c r="V1686" i="1"/>
  <c r="AD1686" i="1"/>
  <c r="AC1686" i="1"/>
  <c r="AA1686" i="1"/>
  <c r="Z1686" i="1"/>
  <c r="Y1686" i="1"/>
  <c r="AE1836" i="1"/>
  <c r="U1836" i="1"/>
  <c r="AD1836" i="1"/>
  <c r="AC1836" i="1"/>
  <c r="AB1836" i="1"/>
  <c r="AA1836" i="1"/>
  <c r="Z1836" i="1"/>
  <c r="X1836" i="1"/>
  <c r="W1836" i="1"/>
  <c r="Y1836" i="1"/>
  <c r="V1836" i="1"/>
  <c r="T1836" i="1"/>
  <c r="T1724" i="1"/>
  <c r="AE1724" i="1"/>
  <c r="AD1724" i="1"/>
  <c r="AC1724" i="1"/>
  <c r="AB1724" i="1"/>
  <c r="AA1724" i="1"/>
  <c r="Z1724" i="1"/>
  <c r="Y1724" i="1"/>
  <c r="X1724" i="1"/>
  <c r="W1724" i="1"/>
  <c r="V1724" i="1"/>
  <c r="U1724" i="1"/>
  <c r="U1431" i="1"/>
  <c r="T1431" i="1"/>
  <c r="V1431" i="1"/>
  <c r="AE1431" i="1"/>
  <c r="AD1431" i="1"/>
  <c r="AA1431" i="1"/>
  <c r="Z1431" i="1"/>
  <c r="Y1431" i="1"/>
  <c r="AC1431" i="1"/>
  <c r="AB1431" i="1"/>
  <c r="X1431" i="1"/>
  <c r="W1431" i="1"/>
  <c r="AB876" i="1"/>
  <c r="Y876" i="1"/>
  <c r="X876" i="1"/>
  <c r="AE876" i="1"/>
  <c r="AD876" i="1"/>
  <c r="AC876" i="1"/>
  <c r="AA876" i="1"/>
  <c r="Z876" i="1"/>
  <c r="W876" i="1"/>
  <c r="V876" i="1"/>
  <c r="U876" i="1"/>
  <c r="T876" i="1"/>
  <c r="AE1475" i="1"/>
  <c r="AD1475" i="1"/>
  <c r="AC1475" i="1"/>
  <c r="AA1475" i="1"/>
  <c r="Z1475" i="1"/>
  <c r="Y1475" i="1"/>
  <c r="X1475" i="1"/>
  <c r="W1475" i="1"/>
  <c r="V1475" i="1"/>
  <c r="U1475" i="1"/>
  <c r="T1475" i="1"/>
  <c r="AB1475" i="1"/>
  <c r="W1028" i="1"/>
  <c r="Y1028" i="1"/>
  <c r="X1028" i="1"/>
  <c r="V1028" i="1"/>
  <c r="U1028" i="1"/>
  <c r="T1028" i="1"/>
  <c r="AE1028" i="1"/>
  <c r="AD1028" i="1"/>
  <c r="AB1028" i="1"/>
  <c r="AA1028" i="1"/>
  <c r="AC1028" i="1"/>
  <c r="Z1028" i="1"/>
  <c r="U1358" i="1"/>
  <c r="AE1358" i="1"/>
  <c r="AB1358" i="1"/>
  <c r="AA1358" i="1"/>
  <c r="X1358" i="1"/>
  <c r="W1358" i="1"/>
  <c r="V1358" i="1"/>
  <c r="Z1358" i="1"/>
  <c r="AD1358" i="1"/>
  <c r="AC1358" i="1"/>
  <c r="Y1358" i="1"/>
  <c r="T1358" i="1"/>
  <c r="W1488" i="1"/>
  <c r="V1488" i="1"/>
  <c r="U1488" i="1"/>
  <c r="T1488" i="1"/>
  <c r="AE1488" i="1"/>
  <c r="AD1488" i="1"/>
  <c r="AC1488" i="1"/>
  <c r="AB1488" i="1"/>
  <c r="Z1488" i="1"/>
  <c r="Y1488" i="1"/>
  <c r="X1488" i="1"/>
  <c r="AA1488" i="1"/>
  <c r="AC1127" i="1"/>
  <c r="Z1127" i="1"/>
  <c r="Y1127" i="1"/>
  <c r="X1127" i="1"/>
  <c r="W1127" i="1"/>
  <c r="V1127" i="1"/>
  <c r="U1127" i="1"/>
  <c r="T1127" i="1"/>
  <c r="AA1127" i="1"/>
  <c r="AE1127" i="1"/>
  <c r="AD1127" i="1"/>
  <c r="AB1127" i="1"/>
  <c r="T914" i="1"/>
  <c r="AA914" i="1"/>
  <c r="X914" i="1"/>
  <c r="W914" i="1"/>
  <c r="AD914" i="1"/>
  <c r="AB914" i="1"/>
  <c r="Z914" i="1"/>
  <c r="Y914" i="1"/>
  <c r="V914" i="1"/>
  <c r="AE914" i="1"/>
  <c r="AC914" i="1"/>
  <c r="U914" i="1"/>
  <c r="U1628" i="1"/>
  <c r="T1628" i="1"/>
  <c r="AD1628" i="1"/>
  <c r="AC1628" i="1"/>
  <c r="AB1628" i="1"/>
  <c r="AA1628" i="1"/>
  <c r="Z1628" i="1"/>
  <c r="Y1628" i="1"/>
  <c r="X1628" i="1"/>
  <c r="W1628" i="1"/>
  <c r="V1628" i="1"/>
  <c r="AE1628" i="1"/>
  <c r="X1285" i="1"/>
  <c r="V1285" i="1"/>
  <c r="T1285" i="1"/>
  <c r="AB1285" i="1"/>
  <c r="AE1285" i="1"/>
  <c r="AD1285" i="1"/>
  <c r="AC1285" i="1"/>
  <c r="Z1285" i="1"/>
  <c r="U1285" i="1"/>
  <c r="AA1285" i="1"/>
  <c r="Y1285" i="1"/>
  <c r="W1285" i="1"/>
  <c r="AE912" i="1"/>
  <c r="AD912" i="1"/>
  <c r="Y912" i="1"/>
  <c r="V912" i="1"/>
  <c r="U912" i="1"/>
  <c r="AC912" i="1"/>
  <c r="AB912" i="1"/>
  <c r="AA912" i="1"/>
  <c r="Z912" i="1"/>
  <c r="X912" i="1"/>
  <c r="W912" i="1"/>
  <c r="T912" i="1"/>
  <c r="U1602" i="1"/>
  <c r="T1602" i="1"/>
  <c r="AE1602" i="1"/>
  <c r="AD1602" i="1"/>
  <c r="AC1602" i="1"/>
  <c r="AB1602" i="1"/>
  <c r="AA1602" i="1"/>
  <c r="Z1602" i="1"/>
  <c r="Y1602" i="1"/>
  <c r="X1602" i="1"/>
  <c r="W1602" i="1"/>
  <c r="V1602" i="1"/>
  <c r="X1258" i="1"/>
  <c r="V1258" i="1"/>
  <c r="Y1258" i="1"/>
  <c r="U1258" i="1"/>
  <c r="T1258" i="1"/>
  <c r="AD1258" i="1"/>
  <c r="W1258" i="1"/>
  <c r="AE1258" i="1"/>
  <c r="AC1258" i="1"/>
  <c r="AB1258" i="1"/>
  <c r="AA1258" i="1"/>
  <c r="Z1258" i="1"/>
  <c r="AC1163" i="1"/>
  <c r="Y1163" i="1"/>
  <c r="X1163" i="1"/>
  <c r="AE1163" i="1"/>
  <c r="V1163" i="1"/>
  <c r="AD1163" i="1"/>
  <c r="AB1163" i="1"/>
  <c r="AA1163" i="1"/>
  <c r="W1163" i="1"/>
  <c r="U1163" i="1"/>
  <c r="T1163" i="1"/>
  <c r="Z1163" i="1"/>
  <c r="U1618" i="1"/>
  <c r="T1618" i="1"/>
  <c r="AB1618" i="1"/>
  <c r="AA1618" i="1"/>
  <c r="Z1618" i="1"/>
  <c r="Y1618" i="1"/>
  <c r="V1618" i="1"/>
  <c r="X1618" i="1"/>
  <c r="W1618" i="1"/>
  <c r="AE1618" i="1"/>
  <c r="AD1618" i="1"/>
  <c r="AC1618" i="1"/>
  <c r="T1629" i="1"/>
  <c r="AB1629" i="1"/>
  <c r="AA1629" i="1"/>
  <c r="Z1629" i="1"/>
  <c r="Y1629" i="1"/>
  <c r="X1629" i="1"/>
  <c r="V1629" i="1"/>
  <c r="AE1629" i="1"/>
  <c r="AD1629" i="1"/>
  <c r="AC1629" i="1"/>
  <c r="W1629" i="1"/>
  <c r="U1629" i="1"/>
  <c r="AC877" i="1"/>
  <c r="W877" i="1"/>
  <c r="V877" i="1"/>
  <c r="U877" i="1"/>
  <c r="T877" i="1"/>
  <c r="AA877" i="1"/>
  <c r="Z877" i="1"/>
  <c r="Y877" i="1"/>
  <c r="AE877" i="1"/>
  <c r="X877" i="1"/>
  <c r="AD877" i="1"/>
  <c r="AB877" i="1"/>
  <c r="X1752" i="1"/>
  <c r="W1752" i="1"/>
  <c r="V1752" i="1"/>
  <c r="U1752" i="1"/>
  <c r="T1752" i="1"/>
  <c r="AD1752" i="1"/>
  <c r="AC1752" i="1"/>
  <c r="AB1752" i="1"/>
  <c r="AA1752" i="1"/>
  <c r="Y1752" i="1"/>
  <c r="AE1752" i="1"/>
  <c r="Z1752" i="1"/>
  <c r="AE1865" i="1"/>
  <c r="AD1865" i="1"/>
  <c r="AC1865" i="1"/>
  <c r="AB1865" i="1"/>
  <c r="AA1865" i="1"/>
  <c r="Z1865" i="1"/>
  <c r="Y1865" i="1"/>
  <c r="X1865" i="1"/>
  <c r="W1865" i="1"/>
  <c r="V1865" i="1"/>
  <c r="U1865" i="1"/>
  <c r="T1865" i="1"/>
  <c r="X1718" i="1"/>
  <c r="W1718" i="1"/>
  <c r="V1718" i="1"/>
  <c r="U1718" i="1"/>
  <c r="T1718" i="1"/>
  <c r="AE1718" i="1"/>
  <c r="AD1718" i="1"/>
  <c r="AC1718" i="1"/>
  <c r="AB1718" i="1"/>
  <c r="AA1718" i="1"/>
  <c r="Z1718" i="1"/>
  <c r="Y1718" i="1"/>
  <c r="AD757" i="1"/>
  <c r="AC757" i="1"/>
  <c r="AB757" i="1"/>
  <c r="AA757" i="1"/>
  <c r="Y757" i="1"/>
  <c r="V757" i="1"/>
  <c r="U757" i="1"/>
  <c r="T757" i="1"/>
  <c r="AE757" i="1"/>
  <c r="Z757" i="1"/>
  <c r="X757" i="1"/>
  <c r="W757" i="1"/>
  <c r="T1581" i="1"/>
  <c r="AE1581" i="1"/>
  <c r="AD1581" i="1"/>
  <c r="AC1581" i="1"/>
  <c r="AB1581" i="1"/>
  <c r="AA1581" i="1"/>
  <c r="Z1581" i="1"/>
  <c r="Y1581" i="1"/>
  <c r="X1581" i="1"/>
  <c r="W1581" i="1"/>
  <c r="V1581" i="1"/>
  <c r="U1581" i="1"/>
  <c r="AD1722" i="1"/>
  <c r="AE1722" i="1"/>
  <c r="AC1722" i="1"/>
  <c r="AB1722" i="1"/>
  <c r="W1722" i="1"/>
  <c r="V1722" i="1"/>
  <c r="T1722" i="1"/>
  <c r="AA1722" i="1"/>
  <c r="Z1722" i="1"/>
  <c r="Y1722" i="1"/>
  <c r="X1722" i="1"/>
  <c r="U1722" i="1"/>
  <c r="AC913" i="1"/>
  <c r="T913" i="1"/>
  <c r="AA913" i="1"/>
  <c r="Z913" i="1"/>
  <c r="Y913" i="1"/>
  <c r="X913" i="1"/>
  <c r="W913" i="1"/>
  <c r="V913" i="1"/>
  <c r="U913" i="1"/>
  <c r="AE913" i="1"/>
  <c r="AD913" i="1"/>
  <c r="AB913" i="1"/>
  <c r="AE1837" i="1"/>
  <c r="AD1837" i="1"/>
  <c r="AC1837" i="1"/>
  <c r="AB1837" i="1"/>
  <c r="AA1837" i="1"/>
  <c r="Z1837" i="1"/>
  <c r="Y1837" i="1"/>
  <c r="X1837" i="1"/>
  <c r="W1837" i="1"/>
  <c r="V1837" i="1"/>
  <c r="U1837" i="1"/>
  <c r="T1837" i="1"/>
  <c r="X1283" i="1"/>
  <c r="V1283" i="1"/>
  <c r="T1283" i="1"/>
  <c r="AE1283" i="1"/>
  <c r="AD1283" i="1"/>
  <c r="AC1283" i="1"/>
  <c r="AB1283" i="1"/>
  <c r="AA1283" i="1"/>
  <c r="Z1283" i="1"/>
  <c r="Y1283" i="1"/>
  <c r="W1283" i="1"/>
  <c r="U1283" i="1"/>
  <c r="AE1711" i="1"/>
  <c r="AC1711" i="1"/>
  <c r="AB1711" i="1"/>
  <c r="AA1711" i="1"/>
  <c r="X1711" i="1"/>
  <c r="W1711" i="1"/>
  <c r="V1711" i="1"/>
  <c r="U1711" i="1"/>
  <c r="AD1711" i="1"/>
  <c r="Z1711" i="1"/>
  <c r="Y1711" i="1"/>
  <c r="T1711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T827" i="1"/>
  <c r="X827" i="1"/>
  <c r="W827" i="1"/>
  <c r="AE827" i="1"/>
  <c r="AD827" i="1"/>
  <c r="AC827" i="1"/>
  <c r="AB827" i="1"/>
  <c r="AA827" i="1"/>
  <c r="Y827" i="1"/>
  <c r="U827" i="1"/>
  <c r="Z827" i="1"/>
  <c r="V827" i="1"/>
  <c r="AC907" i="1"/>
  <c r="AE907" i="1"/>
  <c r="AD907" i="1"/>
  <c r="AB907" i="1"/>
  <c r="AA907" i="1"/>
  <c r="Y907" i="1"/>
  <c r="W907" i="1"/>
  <c r="V907" i="1"/>
  <c r="U907" i="1"/>
  <c r="T907" i="1"/>
  <c r="Z907" i="1"/>
  <c r="X907" i="1"/>
  <c r="AE1763" i="1"/>
  <c r="AD1763" i="1"/>
  <c r="AC1763" i="1"/>
  <c r="AB1763" i="1"/>
  <c r="AA1763" i="1"/>
  <c r="U1763" i="1"/>
  <c r="T1763" i="1"/>
  <c r="V1763" i="1"/>
  <c r="Z1763" i="1"/>
  <c r="Y1763" i="1"/>
  <c r="X1763" i="1"/>
  <c r="W1763" i="1"/>
  <c r="AE1555" i="1"/>
  <c r="AD1555" i="1"/>
  <c r="AC1555" i="1"/>
  <c r="AB1555" i="1"/>
  <c r="AA1555" i="1"/>
  <c r="Z1555" i="1"/>
  <c r="Y1555" i="1"/>
  <c r="W1555" i="1"/>
  <c r="V1555" i="1"/>
  <c r="U1555" i="1"/>
  <c r="T1555" i="1"/>
  <c r="X1555" i="1"/>
  <c r="AE1764" i="1"/>
  <c r="AD1764" i="1"/>
  <c r="AB1764" i="1"/>
  <c r="AA1764" i="1"/>
  <c r="AC1764" i="1"/>
  <c r="Z1764" i="1"/>
  <c r="Y1764" i="1"/>
  <c r="X1764" i="1"/>
  <c r="W1764" i="1"/>
  <c r="V1764" i="1"/>
  <c r="U1764" i="1"/>
  <c r="T1764" i="1"/>
  <c r="AC1161" i="1"/>
  <c r="Y1161" i="1"/>
  <c r="X1161" i="1"/>
  <c r="AE1161" i="1"/>
  <c r="AD1161" i="1"/>
  <c r="AB1161" i="1"/>
  <c r="AA1161" i="1"/>
  <c r="Z1161" i="1"/>
  <c r="W1161" i="1"/>
  <c r="V1161" i="1"/>
  <c r="U1161" i="1"/>
  <c r="T1161" i="1"/>
  <c r="AE1553" i="1"/>
  <c r="AC1553" i="1"/>
  <c r="AB1553" i="1"/>
  <c r="AA1553" i="1"/>
  <c r="Z1553" i="1"/>
  <c r="Y1553" i="1"/>
  <c r="X1553" i="1"/>
  <c r="AD1553" i="1"/>
  <c r="W1553" i="1"/>
  <c r="V1553" i="1"/>
  <c r="U1553" i="1"/>
  <c r="T1553" i="1"/>
  <c r="AE1363" i="1"/>
  <c r="AC1363" i="1"/>
  <c r="V1363" i="1"/>
  <c r="U1363" i="1"/>
  <c r="T1363" i="1"/>
  <c r="AB1363" i="1"/>
  <c r="AD1363" i="1"/>
  <c r="AA1363" i="1"/>
  <c r="Z1363" i="1"/>
  <c r="Y1363" i="1"/>
  <c r="X1363" i="1"/>
  <c r="W1363" i="1"/>
  <c r="AD1844" i="1"/>
  <c r="AC1844" i="1"/>
  <c r="AB1844" i="1"/>
  <c r="AA1844" i="1"/>
  <c r="Z1844" i="1"/>
  <c r="Y1844" i="1"/>
  <c r="X1844" i="1"/>
  <c r="W1844" i="1"/>
  <c r="V1844" i="1"/>
  <c r="T1844" i="1"/>
  <c r="AE1844" i="1"/>
  <c r="U1844" i="1"/>
  <c r="X1244" i="1"/>
  <c r="V1244" i="1"/>
  <c r="AD1244" i="1"/>
  <c r="U1244" i="1"/>
  <c r="T1244" i="1"/>
  <c r="AE1244" i="1"/>
  <c r="AA1244" i="1"/>
  <c r="Z1244" i="1"/>
  <c r="Y1244" i="1"/>
  <c r="W1244" i="1"/>
  <c r="AC1244" i="1"/>
  <c r="AB1244" i="1"/>
  <c r="AE1765" i="1"/>
  <c r="AD1765" i="1"/>
  <c r="AC1765" i="1"/>
  <c r="AB1765" i="1"/>
  <c r="AA1765" i="1"/>
  <c r="Z1765" i="1"/>
  <c r="Y1765" i="1"/>
  <c r="X1765" i="1"/>
  <c r="W1765" i="1"/>
  <c r="V1765" i="1"/>
  <c r="U1765" i="1"/>
  <c r="T1765" i="1"/>
  <c r="AE1723" i="1"/>
  <c r="AC1723" i="1"/>
  <c r="AB1723" i="1"/>
  <c r="AA1723" i="1"/>
  <c r="X1723" i="1"/>
  <c r="AD1723" i="1"/>
  <c r="Z1723" i="1"/>
  <c r="Y1723" i="1"/>
  <c r="W1723" i="1"/>
  <c r="U1723" i="1"/>
  <c r="T1723" i="1"/>
  <c r="V1723" i="1"/>
  <c r="AC873" i="1"/>
  <c r="V873" i="1"/>
  <c r="U873" i="1"/>
  <c r="T873" i="1"/>
  <c r="AE873" i="1"/>
  <c r="AD873" i="1"/>
  <c r="AB873" i="1"/>
  <c r="Z873" i="1"/>
  <c r="X873" i="1"/>
  <c r="W873" i="1"/>
  <c r="AA873" i="1"/>
  <c r="Y873" i="1"/>
  <c r="X1299" i="1"/>
  <c r="W1299" i="1"/>
  <c r="V1299" i="1"/>
  <c r="T1299" i="1"/>
  <c r="AE1299" i="1"/>
  <c r="AD1299" i="1"/>
  <c r="Z1299" i="1"/>
  <c r="AC1299" i="1"/>
  <c r="AB1299" i="1"/>
  <c r="AA1299" i="1"/>
  <c r="U1299" i="1"/>
  <c r="Y1299" i="1"/>
  <c r="AE1822" i="1"/>
  <c r="AD1822" i="1"/>
  <c r="AB1822" i="1"/>
  <c r="AC1822" i="1"/>
  <c r="AA1822" i="1"/>
  <c r="Z1822" i="1"/>
  <c r="Y1822" i="1"/>
  <c r="W1822" i="1"/>
  <c r="V1822" i="1"/>
  <c r="X1822" i="1"/>
  <c r="U1822" i="1"/>
  <c r="T1822" i="1"/>
  <c r="AB1710" i="1"/>
  <c r="AA1710" i="1"/>
  <c r="Z1710" i="1"/>
  <c r="X1710" i="1"/>
  <c r="AE1710" i="1"/>
  <c r="AD1710" i="1"/>
  <c r="AC1710" i="1"/>
  <c r="Y1710" i="1"/>
  <c r="W1710" i="1"/>
  <c r="V1710" i="1"/>
  <c r="U1710" i="1"/>
  <c r="T1710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AB1838" i="1"/>
  <c r="AC1838" i="1"/>
  <c r="AA1838" i="1"/>
  <c r="X1838" i="1"/>
  <c r="AE1838" i="1"/>
  <c r="AD1838" i="1"/>
  <c r="Z1838" i="1"/>
  <c r="Y1838" i="1"/>
  <c r="W1838" i="1"/>
  <c r="V1838" i="1"/>
  <c r="U1838" i="1"/>
  <c r="T1838" i="1"/>
  <c r="AE1807" i="1"/>
  <c r="AD1807" i="1"/>
  <c r="AC1807" i="1"/>
  <c r="AB1807" i="1"/>
  <c r="AA1807" i="1"/>
  <c r="Z1807" i="1"/>
  <c r="Y1807" i="1"/>
  <c r="W1807" i="1"/>
  <c r="T1807" i="1"/>
  <c r="U1807" i="1"/>
  <c r="X1807" i="1"/>
  <c r="V1807" i="1"/>
  <c r="AD1308" i="1"/>
  <c r="AC1308" i="1"/>
  <c r="AB1308" i="1"/>
  <c r="AA1308" i="1"/>
  <c r="Z1308" i="1"/>
  <c r="Y1308" i="1"/>
  <c r="V1308" i="1"/>
  <c r="W1308" i="1"/>
  <c r="AE1308" i="1"/>
  <c r="T1308" i="1"/>
  <c r="X1308" i="1"/>
  <c r="U1308" i="1"/>
  <c r="Z1635" i="1"/>
  <c r="Y1635" i="1"/>
  <c r="X1635" i="1"/>
  <c r="W1635" i="1"/>
  <c r="T1635" i="1"/>
  <c r="AB1635" i="1"/>
  <c r="AA1635" i="1"/>
  <c r="V1635" i="1"/>
  <c r="U1635" i="1"/>
  <c r="AE1635" i="1"/>
  <c r="AD1635" i="1"/>
  <c r="AC1635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T1537" i="1"/>
  <c r="AD1537" i="1"/>
  <c r="AC1537" i="1"/>
  <c r="AB1537" i="1"/>
  <c r="AA1537" i="1"/>
  <c r="Z1537" i="1"/>
  <c r="Y1537" i="1"/>
  <c r="W1537" i="1"/>
  <c r="V1537" i="1"/>
  <c r="AE1537" i="1"/>
  <c r="X1537" i="1"/>
  <c r="U1537" i="1"/>
  <c r="T1740" i="1"/>
  <c r="Z1740" i="1"/>
  <c r="AE1740" i="1"/>
  <c r="AD1740" i="1"/>
  <c r="AC1740" i="1"/>
  <c r="AB1740" i="1"/>
  <c r="AA1740" i="1"/>
  <c r="Y1740" i="1"/>
  <c r="X1740" i="1"/>
  <c r="W1740" i="1"/>
  <c r="V1740" i="1"/>
  <c r="U1740" i="1"/>
  <c r="V1392" i="1"/>
  <c r="U1392" i="1"/>
  <c r="AD1392" i="1"/>
  <c r="AB1392" i="1"/>
  <c r="AA1392" i="1"/>
  <c r="Z1392" i="1"/>
  <c r="X1392" i="1"/>
  <c r="AE1392" i="1"/>
  <c r="AC1392" i="1"/>
  <c r="Y1392" i="1"/>
  <c r="W1392" i="1"/>
  <c r="T1392" i="1"/>
  <c r="X1315" i="1"/>
  <c r="W1315" i="1"/>
  <c r="V1315" i="1"/>
  <c r="T1315" i="1"/>
  <c r="AC1315" i="1"/>
  <c r="AE1315" i="1"/>
  <c r="AD1315" i="1"/>
  <c r="AB1315" i="1"/>
  <c r="AA1315" i="1"/>
  <c r="Y1315" i="1"/>
  <c r="U1315" i="1"/>
  <c r="Z1315" i="1"/>
  <c r="X1180" i="1"/>
  <c r="V1180" i="1"/>
  <c r="AA1180" i="1"/>
  <c r="U1180" i="1"/>
  <c r="T1180" i="1"/>
  <c r="AB1180" i="1"/>
  <c r="Z1180" i="1"/>
  <c r="Y1180" i="1"/>
  <c r="W1180" i="1"/>
  <c r="AE1180" i="1"/>
  <c r="AD1180" i="1"/>
  <c r="AC1180" i="1"/>
  <c r="Z1511" i="1"/>
  <c r="Y1511" i="1"/>
  <c r="X1511" i="1"/>
  <c r="W1511" i="1"/>
  <c r="V1511" i="1"/>
  <c r="AE1511" i="1"/>
  <c r="T1511" i="1"/>
  <c r="AD1511" i="1"/>
  <c r="AC1511" i="1"/>
  <c r="AB1511" i="1"/>
  <c r="AA1511" i="1"/>
  <c r="U1511" i="1"/>
  <c r="T1828" i="1"/>
  <c r="AC1828" i="1"/>
  <c r="AB1828" i="1"/>
  <c r="AA1828" i="1"/>
  <c r="Z1828" i="1"/>
  <c r="Y1828" i="1"/>
  <c r="X1828" i="1"/>
  <c r="W1828" i="1"/>
  <c r="V1828" i="1"/>
  <c r="U1828" i="1"/>
  <c r="AE1828" i="1"/>
  <c r="AD1828" i="1"/>
  <c r="AB1732" i="1"/>
  <c r="AE1732" i="1"/>
  <c r="AD1732" i="1"/>
  <c r="AC1732" i="1"/>
  <c r="AA1732" i="1"/>
  <c r="Z1732" i="1"/>
  <c r="Y1732" i="1"/>
  <c r="X1732" i="1"/>
  <c r="W1732" i="1"/>
  <c r="V1732" i="1"/>
  <c r="U1732" i="1"/>
  <c r="T1732" i="1"/>
  <c r="AC1556" i="1"/>
  <c r="AA1556" i="1"/>
  <c r="Z1556" i="1"/>
  <c r="V1556" i="1"/>
  <c r="U1556" i="1"/>
  <c r="T1556" i="1"/>
  <c r="AB1556" i="1"/>
  <c r="Y1556" i="1"/>
  <c r="X1556" i="1"/>
  <c r="W1556" i="1"/>
  <c r="AE1556" i="1"/>
  <c r="AD1556" i="1"/>
  <c r="X1617" i="1"/>
  <c r="W1617" i="1"/>
  <c r="V1617" i="1"/>
  <c r="U1617" i="1"/>
  <c r="T1617" i="1"/>
  <c r="AD1617" i="1"/>
  <c r="AC1617" i="1"/>
  <c r="AB1617" i="1"/>
  <c r="AA1617" i="1"/>
  <c r="Z1617" i="1"/>
  <c r="Y1617" i="1"/>
  <c r="AE1617" i="1"/>
  <c r="AC1566" i="1"/>
  <c r="AA1566" i="1"/>
  <c r="Z1566" i="1"/>
  <c r="AB1566" i="1"/>
  <c r="Y1566" i="1"/>
  <c r="X1566" i="1"/>
  <c r="W1566" i="1"/>
  <c r="V1566" i="1"/>
  <c r="U1566" i="1"/>
  <c r="T1566" i="1"/>
  <c r="AE1566" i="1"/>
  <c r="AD1566" i="1"/>
  <c r="AE1833" i="1"/>
  <c r="AD1833" i="1"/>
  <c r="AC1833" i="1"/>
  <c r="AB1833" i="1"/>
  <c r="AA1833" i="1"/>
  <c r="Z1833" i="1"/>
  <c r="Y1833" i="1"/>
  <c r="W1833" i="1"/>
  <c r="V1833" i="1"/>
  <c r="X1833" i="1"/>
  <c r="U1833" i="1"/>
  <c r="T1833" i="1"/>
  <c r="Y1128" i="1"/>
  <c r="W1128" i="1"/>
  <c r="AD1128" i="1"/>
  <c r="AB1128" i="1"/>
  <c r="T1128" i="1"/>
  <c r="AE1128" i="1"/>
  <c r="AC1128" i="1"/>
  <c r="AA1128" i="1"/>
  <c r="Z1128" i="1"/>
  <c r="U1128" i="1"/>
  <c r="X1128" i="1"/>
  <c r="V1128" i="1"/>
  <c r="U1368" i="1"/>
  <c r="T1368" i="1"/>
  <c r="AB1368" i="1"/>
  <c r="AA1368" i="1"/>
  <c r="AE1368" i="1"/>
  <c r="AD1368" i="1"/>
  <c r="AC1368" i="1"/>
  <c r="Z1368" i="1"/>
  <c r="X1368" i="1"/>
  <c r="W1368" i="1"/>
  <c r="Y1368" i="1"/>
  <c r="V1368" i="1"/>
  <c r="U1582" i="1"/>
  <c r="AE1582" i="1"/>
  <c r="AC1582" i="1"/>
  <c r="AB1582" i="1"/>
  <c r="AD1582" i="1"/>
  <c r="AA1582" i="1"/>
  <c r="Z1582" i="1"/>
  <c r="Y1582" i="1"/>
  <c r="X1582" i="1"/>
  <c r="W1582" i="1"/>
  <c r="V1582" i="1"/>
  <c r="T1582" i="1"/>
  <c r="AE972" i="1"/>
  <c r="AD972" i="1"/>
  <c r="AC972" i="1"/>
  <c r="AB972" i="1"/>
  <c r="AA972" i="1"/>
  <c r="X972" i="1"/>
  <c r="W972" i="1"/>
  <c r="T972" i="1"/>
  <c r="Y972" i="1"/>
  <c r="V972" i="1"/>
  <c r="U972" i="1"/>
  <c r="Z972" i="1"/>
  <c r="Y989" i="1"/>
  <c r="W989" i="1"/>
  <c r="V989" i="1"/>
  <c r="U989" i="1"/>
  <c r="T989" i="1"/>
  <c r="AE989" i="1"/>
  <c r="AD989" i="1"/>
  <c r="AC989" i="1"/>
  <c r="Z989" i="1"/>
  <c r="X989" i="1"/>
  <c r="AB989" i="1"/>
  <c r="AA989" i="1"/>
  <c r="U1584" i="1"/>
  <c r="AD1584" i="1"/>
  <c r="AC1584" i="1"/>
  <c r="AE1584" i="1"/>
  <c r="AB1584" i="1"/>
  <c r="AA1584" i="1"/>
  <c r="Z1584" i="1"/>
  <c r="Y1584" i="1"/>
  <c r="X1584" i="1"/>
  <c r="W1584" i="1"/>
  <c r="V1584" i="1"/>
  <c r="T1584" i="1"/>
  <c r="X1589" i="1"/>
  <c r="W1589" i="1"/>
  <c r="V1589" i="1"/>
  <c r="U1589" i="1"/>
  <c r="AE1589" i="1"/>
  <c r="AD1589" i="1"/>
  <c r="AC1589" i="1"/>
  <c r="AB1589" i="1"/>
  <c r="AA1589" i="1"/>
  <c r="Z1589" i="1"/>
  <c r="Y1589" i="1"/>
  <c r="T1589" i="1"/>
  <c r="AE1499" i="1" l="1"/>
  <c r="AD1499" i="1"/>
  <c r="AC1499" i="1"/>
  <c r="AA1499" i="1"/>
  <c r="Z1499" i="1"/>
  <c r="Y1499" i="1"/>
  <c r="X1499" i="1"/>
  <c r="W1499" i="1"/>
  <c r="V1499" i="1"/>
  <c r="U1499" i="1"/>
  <c r="AB1499" i="1"/>
  <c r="T1499" i="1"/>
  <c r="AC728" i="1"/>
  <c r="AB728" i="1"/>
  <c r="AE728" i="1"/>
  <c r="AD728" i="1"/>
  <c r="Z728" i="1"/>
  <c r="X728" i="1"/>
  <c r="W728" i="1"/>
  <c r="V728" i="1"/>
  <c r="U728" i="1"/>
  <c r="AA728" i="1"/>
  <c r="Y728" i="1"/>
  <c r="T728" i="1"/>
  <c r="AE1845" i="1"/>
  <c r="AD1845" i="1"/>
  <c r="AC1845" i="1"/>
  <c r="AB1845" i="1"/>
  <c r="AA1845" i="1"/>
  <c r="Z1845" i="1"/>
  <c r="Y1845" i="1"/>
  <c r="X1845" i="1"/>
  <c r="W1845" i="1"/>
  <c r="U1845" i="1"/>
  <c r="T1845" i="1"/>
  <c r="V1845" i="1"/>
  <c r="AE1867" i="1"/>
  <c r="AD1867" i="1"/>
  <c r="AC1867" i="1"/>
  <c r="AB1867" i="1"/>
  <c r="AA1867" i="1"/>
  <c r="Z1867" i="1"/>
  <c r="Y1867" i="1"/>
  <c r="X1867" i="1"/>
  <c r="W1867" i="1"/>
  <c r="V1867" i="1"/>
  <c r="U1867" i="1"/>
  <c r="T1867" i="1"/>
  <c r="AC1536" i="1"/>
  <c r="AA1536" i="1"/>
  <c r="Z1536" i="1"/>
  <c r="V1536" i="1"/>
  <c r="U1536" i="1"/>
  <c r="T1536" i="1"/>
  <c r="AD1536" i="1"/>
  <c r="AB1536" i="1"/>
  <c r="Y1536" i="1"/>
  <c r="X1536" i="1"/>
  <c r="W1536" i="1"/>
  <c r="AE1536" i="1"/>
  <c r="AE1653" i="1"/>
  <c r="AD1653" i="1"/>
  <c r="AC1653" i="1"/>
  <c r="AB1653" i="1"/>
  <c r="Y1653" i="1"/>
  <c r="X1653" i="1"/>
  <c r="AA1653" i="1"/>
  <c r="Z1653" i="1"/>
  <c r="W1653" i="1"/>
  <c r="V1653" i="1"/>
  <c r="U1653" i="1"/>
  <c r="T1653" i="1"/>
  <c r="U1652" i="1"/>
  <c r="T1652" i="1"/>
  <c r="V1652" i="1"/>
  <c r="AE1652" i="1"/>
  <c r="AD1652" i="1"/>
  <c r="AC1652" i="1"/>
  <c r="AB1652" i="1"/>
  <c r="AA1652" i="1"/>
  <c r="Z1652" i="1"/>
  <c r="Y1652" i="1"/>
  <c r="X1652" i="1"/>
  <c r="W1652" i="1"/>
  <c r="AD1347" i="1"/>
  <c r="AC1347" i="1"/>
  <c r="AB1347" i="1"/>
  <c r="Z1347" i="1"/>
  <c r="AE1347" i="1"/>
  <c r="X1347" i="1"/>
  <c r="W1347" i="1"/>
  <c r="T1347" i="1"/>
  <c r="V1347" i="1"/>
  <c r="U1347" i="1"/>
  <c r="AA1347" i="1"/>
  <c r="Y1347" i="1"/>
  <c r="AE1757" i="1"/>
  <c r="AC1757" i="1"/>
  <c r="AB1757" i="1"/>
  <c r="AA1757" i="1"/>
  <c r="AD1757" i="1"/>
  <c r="Z1757" i="1"/>
  <c r="Y1757" i="1"/>
  <c r="X1757" i="1"/>
  <c r="W1757" i="1"/>
  <c r="V1757" i="1"/>
  <c r="U1757" i="1"/>
  <c r="T1757" i="1"/>
  <c r="AD1597" i="1"/>
  <c r="AC1597" i="1"/>
  <c r="AB1597" i="1"/>
  <c r="AA1597" i="1"/>
  <c r="X1597" i="1"/>
  <c r="V1597" i="1"/>
  <c r="U1597" i="1"/>
  <c r="AE1597" i="1"/>
  <c r="Z1597" i="1"/>
  <c r="Y1597" i="1"/>
  <c r="W1597" i="1"/>
  <c r="T1597" i="1"/>
  <c r="AE1731" i="1"/>
  <c r="AC1731" i="1"/>
  <c r="AB1731" i="1"/>
  <c r="AA1731" i="1"/>
  <c r="AD1731" i="1"/>
  <c r="Z1731" i="1"/>
  <c r="Y1731" i="1"/>
  <c r="W1731" i="1"/>
  <c r="V1731" i="1"/>
  <c r="U1731" i="1"/>
  <c r="T1731" i="1"/>
  <c r="X1731" i="1"/>
  <c r="AB1595" i="1"/>
  <c r="AA1595" i="1"/>
  <c r="Z1595" i="1"/>
  <c r="Y1595" i="1"/>
  <c r="V1595" i="1"/>
  <c r="T1595" i="1"/>
  <c r="AE1595" i="1"/>
  <c r="AD1595" i="1"/>
  <c r="AC1595" i="1"/>
  <c r="X1595" i="1"/>
  <c r="W1595" i="1"/>
  <c r="U1595" i="1"/>
  <c r="U1632" i="1"/>
  <c r="T1632" i="1"/>
  <c r="AE1632" i="1"/>
  <c r="V1632" i="1"/>
  <c r="AD1632" i="1"/>
  <c r="AC1632" i="1"/>
  <c r="AB1632" i="1"/>
  <c r="AA1632" i="1"/>
  <c r="Z1632" i="1"/>
  <c r="Y1632" i="1"/>
  <c r="X1632" i="1"/>
  <c r="W1632" i="1"/>
  <c r="U1362" i="1"/>
  <c r="AD1362" i="1"/>
  <c r="AC1362" i="1"/>
  <c r="Z1362" i="1"/>
  <c r="Y1362" i="1"/>
  <c r="X1362" i="1"/>
  <c r="AE1362" i="1"/>
  <c r="AB1362" i="1"/>
  <c r="AA1362" i="1"/>
  <c r="W1362" i="1"/>
  <c r="V1362" i="1"/>
  <c r="T1362" i="1"/>
  <c r="AC1864" i="1"/>
  <c r="AE1864" i="1"/>
  <c r="AD1864" i="1"/>
  <c r="AB1864" i="1"/>
  <c r="AA1864" i="1"/>
  <c r="Z1864" i="1"/>
  <c r="Y1864" i="1"/>
  <c r="X1864" i="1"/>
  <c r="W1864" i="1"/>
  <c r="U1864" i="1"/>
  <c r="V1864" i="1"/>
  <c r="T1864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W1500" i="1"/>
  <c r="V1500" i="1"/>
  <c r="U1500" i="1"/>
  <c r="T1500" i="1"/>
  <c r="AE1500" i="1"/>
  <c r="AD1500" i="1"/>
  <c r="AC1500" i="1"/>
  <c r="AB1500" i="1"/>
  <c r="AA1500" i="1"/>
  <c r="Z1500" i="1"/>
  <c r="Y1500" i="1"/>
  <c r="X1500" i="1"/>
  <c r="AE1692" i="1"/>
  <c r="AA1692" i="1"/>
  <c r="Z1692" i="1"/>
  <c r="Y1692" i="1"/>
  <c r="X1692" i="1"/>
  <c r="V1692" i="1"/>
  <c r="U1692" i="1"/>
  <c r="T1692" i="1"/>
  <c r="AD1692" i="1"/>
  <c r="AC1692" i="1"/>
  <c r="W1692" i="1"/>
  <c r="AB1692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AE1761" i="1"/>
  <c r="AD1761" i="1"/>
  <c r="AC1761" i="1"/>
  <c r="AB1761" i="1"/>
  <c r="AA1761" i="1"/>
  <c r="T1761" i="1"/>
  <c r="Y1761" i="1"/>
  <c r="X1761" i="1"/>
  <c r="W1761" i="1"/>
  <c r="V1761" i="1"/>
  <c r="U1761" i="1"/>
  <c r="Z1761" i="1"/>
  <c r="U1634" i="1"/>
  <c r="T1634" i="1"/>
  <c r="AC1634" i="1"/>
  <c r="AB1634" i="1"/>
  <c r="AA1634" i="1"/>
  <c r="Z1634" i="1"/>
  <c r="Y1634" i="1"/>
  <c r="W1634" i="1"/>
  <c r="AE1634" i="1"/>
  <c r="AD1634" i="1"/>
  <c r="X1634" i="1"/>
  <c r="V1634" i="1"/>
  <c r="U1646" i="1"/>
  <c r="T1646" i="1"/>
  <c r="X1646" i="1"/>
  <c r="W1646" i="1"/>
  <c r="V1646" i="1"/>
  <c r="AB1646" i="1"/>
  <c r="AA1646" i="1"/>
  <c r="Z1646" i="1"/>
  <c r="Y1646" i="1"/>
  <c r="AE1646" i="1"/>
  <c r="AD1646" i="1"/>
  <c r="AC1646" i="1"/>
  <c r="Z717" i="1"/>
  <c r="Y717" i="1"/>
  <c r="X717" i="1"/>
  <c r="V717" i="1"/>
  <c r="AE717" i="1"/>
  <c r="AC717" i="1"/>
  <c r="W717" i="1"/>
  <c r="U717" i="1"/>
  <c r="T717" i="1"/>
  <c r="AD717" i="1"/>
  <c r="AB717" i="1"/>
  <c r="AA717" i="1"/>
  <c r="AE1849" i="1"/>
  <c r="AD1849" i="1"/>
  <c r="AC1849" i="1"/>
  <c r="AB1849" i="1"/>
  <c r="AA1849" i="1"/>
  <c r="Z1849" i="1"/>
  <c r="Y1849" i="1"/>
  <c r="X1849" i="1"/>
  <c r="W1849" i="1"/>
  <c r="V1849" i="1"/>
  <c r="U1849" i="1"/>
  <c r="T1849" i="1"/>
  <c r="AE1780" i="1"/>
  <c r="AD1780" i="1"/>
  <c r="AC1780" i="1"/>
  <c r="AB1780" i="1"/>
  <c r="AA1780" i="1"/>
  <c r="Y1780" i="1"/>
  <c r="U1780" i="1"/>
  <c r="T1780" i="1"/>
  <c r="Z1780" i="1"/>
  <c r="X1780" i="1"/>
  <c r="W1780" i="1"/>
  <c r="V1780" i="1"/>
  <c r="AE1851" i="1"/>
  <c r="AD1851" i="1"/>
  <c r="AC1851" i="1"/>
  <c r="AB1851" i="1"/>
  <c r="AA1851" i="1"/>
  <c r="Z1851" i="1"/>
  <c r="Y1851" i="1"/>
  <c r="W1851" i="1"/>
  <c r="V1851" i="1"/>
  <c r="X1851" i="1"/>
  <c r="U1851" i="1"/>
  <c r="T1851" i="1"/>
  <c r="X1254" i="1"/>
  <c r="V1254" i="1"/>
  <c r="AE1254" i="1"/>
  <c r="AD1254" i="1"/>
  <c r="AC1254" i="1"/>
  <c r="AB1254" i="1"/>
  <c r="AA1254" i="1"/>
  <c r="Z1254" i="1"/>
  <c r="Y1254" i="1"/>
  <c r="W1254" i="1"/>
  <c r="U1254" i="1"/>
  <c r="T1254" i="1"/>
  <c r="AB1810" i="1"/>
  <c r="AA1810" i="1"/>
  <c r="Z1810" i="1"/>
  <c r="Y1810" i="1"/>
  <c r="X1810" i="1"/>
  <c r="W1810" i="1"/>
  <c r="V1810" i="1"/>
  <c r="U1810" i="1"/>
  <c r="T1810" i="1"/>
  <c r="AD1810" i="1"/>
  <c r="AC1810" i="1"/>
  <c r="AE1810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AE1773" i="1"/>
  <c r="AD1773" i="1"/>
  <c r="AC1773" i="1"/>
  <c r="AB1773" i="1"/>
  <c r="AA1773" i="1"/>
  <c r="X1773" i="1"/>
  <c r="W1773" i="1"/>
  <c r="V1773" i="1"/>
  <c r="U1773" i="1"/>
  <c r="Z1773" i="1"/>
  <c r="T1773" i="1"/>
  <c r="Y1773" i="1"/>
  <c r="W1476" i="1"/>
  <c r="V1476" i="1"/>
  <c r="U1476" i="1"/>
  <c r="T1476" i="1"/>
  <c r="AC1476" i="1"/>
  <c r="AB1476" i="1"/>
  <c r="Z1476" i="1"/>
  <c r="AD1476" i="1"/>
  <c r="AA1476" i="1"/>
  <c r="Y1476" i="1"/>
  <c r="X1476" i="1"/>
  <c r="AE1476" i="1"/>
  <c r="U1627" i="1"/>
  <c r="T1627" i="1"/>
  <c r="AE1627" i="1"/>
  <c r="AD1627" i="1"/>
  <c r="AC1627" i="1"/>
  <c r="Z1627" i="1"/>
  <c r="AB1627" i="1"/>
  <c r="AA1627" i="1"/>
  <c r="Y1627" i="1"/>
  <c r="X1627" i="1"/>
  <c r="W1627" i="1"/>
  <c r="V1627" i="1"/>
  <c r="Y1772" i="1"/>
  <c r="X1772" i="1"/>
  <c r="W1772" i="1"/>
  <c r="V1772" i="1"/>
  <c r="U1772" i="1"/>
  <c r="T1772" i="1"/>
  <c r="AE1772" i="1"/>
  <c r="AC1772" i="1"/>
  <c r="AB1772" i="1"/>
  <c r="Z1772" i="1"/>
  <c r="AD1772" i="1"/>
  <c r="AA1772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AE1760" i="1"/>
  <c r="AD1760" i="1"/>
  <c r="AC1760" i="1"/>
  <c r="AB1760" i="1"/>
  <c r="AA1760" i="1"/>
  <c r="X1760" i="1"/>
  <c r="V1760" i="1"/>
  <c r="Z1760" i="1"/>
  <c r="Y1760" i="1"/>
  <c r="W1760" i="1"/>
  <c r="T1760" i="1"/>
  <c r="U1760" i="1"/>
  <c r="AE1759" i="1"/>
  <c r="AC1759" i="1"/>
  <c r="AB1759" i="1"/>
  <c r="AA1759" i="1"/>
  <c r="AD1759" i="1"/>
  <c r="Y1759" i="1"/>
  <c r="X1759" i="1"/>
  <c r="W1759" i="1"/>
  <c r="V1759" i="1"/>
  <c r="U1759" i="1"/>
  <c r="T1759" i="1"/>
  <c r="Z1759" i="1"/>
  <c r="AE1801" i="1"/>
  <c r="AD1801" i="1"/>
  <c r="AC1801" i="1"/>
  <c r="AB1801" i="1"/>
  <c r="AA1801" i="1"/>
  <c r="Z1801" i="1"/>
  <c r="Y1801" i="1"/>
  <c r="X1801" i="1"/>
  <c r="W1801" i="1"/>
  <c r="V1801" i="1"/>
  <c r="U1801" i="1"/>
  <c r="T1801" i="1"/>
  <c r="AE1829" i="1"/>
  <c r="AD1829" i="1"/>
  <c r="AC1829" i="1"/>
  <c r="AB1829" i="1"/>
  <c r="AA1829" i="1"/>
  <c r="Z1829" i="1"/>
  <c r="Y1829" i="1"/>
  <c r="X1829" i="1"/>
  <c r="W1829" i="1"/>
  <c r="V1829" i="1"/>
  <c r="U1829" i="1"/>
  <c r="T1829" i="1"/>
  <c r="AE1721" i="1"/>
  <c r="AC1721" i="1"/>
  <c r="AB1721" i="1"/>
  <c r="AA1721" i="1"/>
  <c r="AD1721" i="1"/>
  <c r="Z1721" i="1"/>
  <c r="Y1721" i="1"/>
  <c r="X1721" i="1"/>
  <c r="T1721" i="1"/>
  <c r="W1721" i="1"/>
  <c r="V1721" i="1"/>
  <c r="U1721" i="1"/>
  <c r="Y1029" i="1"/>
  <c r="Z1029" i="1"/>
  <c r="AB1029" i="1"/>
  <c r="AA1029" i="1"/>
  <c r="X1029" i="1"/>
  <c r="W1029" i="1"/>
  <c r="V1029" i="1"/>
  <c r="U1029" i="1"/>
  <c r="T1029" i="1"/>
  <c r="AD1029" i="1"/>
  <c r="AC1029" i="1"/>
  <c r="AE1029" i="1"/>
  <c r="AD866" i="1"/>
  <c r="AC866" i="1"/>
  <c r="AB866" i="1"/>
  <c r="Z866" i="1"/>
  <c r="Y866" i="1"/>
  <c r="AE866" i="1"/>
  <c r="AA866" i="1"/>
  <c r="X866" i="1"/>
  <c r="W866" i="1"/>
  <c r="U866" i="1"/>
  <c r="V866" i="1"/>
  <c r="T866" i="1"/>
  <c r="U1612" i="1"/>
  <c r="T1612" i="1"/>
  <c r="X1612" i="1"/>
  <c r="W1612" i="1"/>
  <c r="V1612" i="1"/>
  <c r="AE1612" i="1"/>
  <c r="AD1612" i="1"/>
  <c r="AC1612" i="1"/>
  <c r="AA1612" i="1"/>
  <c r="Y1612" i="1"/>
  <c r="AB1612" i="1"/>
  <c r="Z1612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T1706" i="1"/>
  <c r="X1706" i="1"/>
  <c r="W1706" i="1"/>
  <c r="V1706" i="1"/>
  <c r="U1706" i="1"/>
  <c r="AC1706" i="1"/>
  <c r="AB1706" i="1"/>
  <c r="AA1706" i="1"/>
  <c r="Z1706" i="1"/>
  <c r="Y1706" i="1"/>
  <c r="AE1706" i="1"/>
  <c r="AD1706" i="1"/>
  <c r="AD1611" i="1"/>
  <c r="AC1611" i="1"/>
  <c r="AE1611" i="1"/>
  <c r="AB1611" i="1"/>
  <c r="AA1611" i="1"/>
  <c r="Y1611" i="1"/>
  <c r="X1611" i="1"/>
  <c r="W1611" i="1"/>
  <c r="V1611" i="1"/>
  <c r="U1611" i="1"/>
  <c r="T1611" i="1"/>
  <c r="Z1611" i="1"/>
  <c r="V1814" i="1"/>
  <c r="AA1814" i="1"/>
  <c r="Z1814" i="1"/>
  <c r="AC1814" i="1"/>
  <c r="AB1814" i="1"/>
  <c r="Y1814" i="1"/>
  <c r="X1814" i="1"/>
  <c r="W1814" i="1"/>
  <c r="U1814" i="1"/>
  <c r="T1814" i="1"/>
  <c r="AE1814" i="1"/>
  <c r="AD1814" i="1"/>
  <c r="U1278" i="1"/>
  <c r="AE1278" i="1"/>
  <c r="Y1278" i="1"/>
  <c r="AD1278" i="1"/>
  <c r="AC1278" i="1"/>
  <c r="AB1278" i="1"/>
  <c r="Z1278" i="1"/>
  <c r="X1278" i="1"/>
  <c r="AA1278" i="1"/>
  <c r="W1278" i="1"/>
  <c r="V1278" i="1"/>
  <c r="T1278" i="1"/>
  <c r="AB1758" i="1"/>
  <c r="AA1758" i="1"/>
  <c r="Z1758" i="1"/>
  <c r="Y1758" i="1"/>
  <c r="X1758" i="1"/>
  <c r="W1758" i="1"/>
  <c r="T1758" i="1"/>
  <c r="AE1758" i="1"/>
  <c r="AD1758" i="1"/>
  <c r="AC1758" i="1"/>
  <c r="V1758" i="1"/>
  <c r="U1758" i="1"/>
  <c r="AC1121" i="1"/>
  <c r="X1121" i="1"/>
  <c r="W1121" i="1"/>
  <c r="V1121" i="1"/>
  <c r="U1121" i="1"/>
  <c r="T1121" i="1"/>
  <c r="AE1121" i="1"/>
  <c r="AD1121" i="1"/>
  <c r="AB1121" i="1"/>
  <c r="Z1121" i="1"/>
  <c r="Y1121" i="1"/>
  <c r="AA1121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AE1702" i="1"/>
  <c r="AC1702" i="1"/>
  <c r="T1702" i="1"/>
  <c r="AD1702" i="1"/>
  <c r="AB1702" i="1"/>
  <c r="AA1702" i="1"/>
  <c r="Z1702" i="1"/>
  <c r="Y1702" i="1"/>
  <c r="X1702" i="1"/>
  <c r="W1702" i="1"/>
  <c r="V1702" i="1"/>
  <c r="U1702" i="1"/>
  <c r="AE1641" i="1"/>
  <c r="AD1641" i="1"/>
  <c r="AC1641" i="1"/>
  <c r="Z1641" i="1"/>
  <c r="Y1641" i="1"/>
  <c r="X1641" i="1"/>
  <c r="W1641" i="1"/>
  <c r="AB1641" i="1"/>
  <c r="AA1641" i="1"/>
  <c r="V1641" i="1"/>
  <c r="U1641" i="1"/>
  <c r="T1641" i="1"/>
  <c r="AC867" i="1"/>
  <c r="T867" i="1"/>
  <c r="AD867" i="1"/>
  <c r="AB867" i="1"/>
  <c r="AA867" i="1"/>
  <c r="Z867" i="1"/>
  <c r="Y867" i="1"/>
  <c r="X867" i="1"/>
  <c r="W867" i="1"/>
  <c r="V867" i="1"/>
  <c r="U867" i="1"/>
  <c r="AE867" i="1"/>
  <c r="X1633" i="1"/>
  <c r="W1633" i="1"/>
  <c r="V1633" i="1"/>
  <c r="U1633" i="1"/>
  <c r="AE1633" i="1"/>
  <c r="AD1633" i="1"/>
  <c r="AC1633" i="1"/>
  <c r="AB1633" i="1"/>
  <c r="AA1633" i="1"/>
  <c r="T1633" i="1"/>
  <c r="Z1633" i="1"/>
  <c r="Y1633" i="1"/>
  <c r="X1818" i="1"/>
  <c r="W1818" i="1"/>
  <c r="V1818" i="1"/>
  <c r="U1818" i="1"/>
  <c r="T1818" i="1"/>
  <c r="AD1818" i="1"/>
  <c r="AC1818" i="1"/>
  <c r="Y1818" i="1"/>
  <c r="AE1818" i="1"/>
  <c r="AB1818" i="1"/>
  <c r="AA1818" i="1"/>
  <c r="Z1818" i="1"/>
  <c r="AC965" i="1"/>
  <c r="AD965" i="1"/>
  <c r="AB965" i="1"/>
  <c r="AE965" i="1"/>
  <c r="AA965" i="1"/>
  <c r="Z965" i="1"/>
  <c r="Y965" i="1"/>
  <c r="W965" i="1"/>
  <c r="T965" i="1"/>
  <c r="U965" i="1"/>
  <c r="X965" i="1"/>
  <c r="V965" i="1"/>
  <c r="AD1320" i="1"/>
  <c r="AC1320" i="1"/>
  <c r="AB1320" i="1"/>
  <c r="Z1320" i="1"/>
  <c r="T1320" i="1"/>
  <c r="AE1320" i="1"/>
  <c r="AA1320" i="1"/>
  <c r="Y1320" i="1"/>
  <c r="X1320" i="1"/>
  <c r="W1320" i="1"/>
  <c r="V1320" i="1"/>
  <c r="U1320" i="1"/>
  <c r="AE1853" i="1"/>
  <c r="AD1853" i="1"/>
  <c r="AC1853" i="1"/>
  <c r="AB1853" i="1"/>
  <c r="AA1853" i="1"/>
  <c r="Z1853" i="1"/>
  <c r="Y1853" i="1"/>
  <c r="V1853" i="1"/>
  <c r="X1853" i="1"/>
  <c r="W1853" i="1"/>
  <c r="U1853" i="1"/>
  <c r="T1853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AE1645" i="1"/>
  <c r="AD1645" i="1"/>
  <c r="AC1645" i="1"/>
  <c r="Z1645" i="1"/>
  <c r="Y1645" i="1"/>
  <c r="X1645" i="1"/>
  <c r="W1645" i="1"/>
  <c r="AB1645" i="1"/>
  <c r="AA1645" i="1"/>
  <c r="V1645" i="1"/>
  <c r="U1645" i="1"/>
  <c r="T1645" i="1"/>
  <c r="X1287" i="1"/>
  <c r="V1287" i="1"/>
  <c r="T1287" i="1"/>
  <c r="AE1287" i="1"/>
  <c r="Z1287" i="1"/>
  <c r="Y1287" i="1"/>
  <c r="W1287" i="1"/>
  <c r="U1287" i="1"/>
  <c r="AA1287" i="1"/>
  <c r="AD1287" i="1"/>
  <c r="AC1287" i="1"/>
  <c r="AB1287" i="1"/>
  <c r="AB1786" i="1"/>
  <c r="AA1786" i="1"/>
  <c r="Z1786" i="1"/>
  <c r="Y1786" i="1"/>
  <c r="W1786" i="1"/>
  <c r="V1786" i="1"/>
  <c r="U1786" i="1"/>
  <c r="T1786" i="1"/>
  <c r="AE1786" i="1"/>
  <c r="AD1786" i="1"/>
  <c r="AC1786" i="1"/>
  <c r="X1786" i="1"/>
  <c r="W1346" i="1"/>
  <c r="AE1346" i="1"/>
  <c r="AD1346" i="1"/>
  <c r="AC1346" i="1"/>
  <c r="AB1346" i="1"/>
  <c r="AA1346" i="1"/>
  <c r="Z1346" i="1"/>
  <c r="Y1346" i="1"/>
  <c r="U1346" i="1"/>
  <c r="X1346" i="1"/>
  <c r="V1346" i="1"/>
  <c r="T1346" i="1"/>
  <c r="U1606" i="1"/>
  <c r="T1606" i="1"/>
  <c r="W1606" i="1"/>
  <c r="V1606" i="1"/>
  <c r="AD1606" i="1"/>
  <c r="AC1606" i="1"/>
  <c r="AB1606" i="1"/>
  <c r="AA1606" i="1"/>
  <c r="Z1606" i="1"/>
  <c r="Y1606" i="1"/>
  <c r="X1606" i="1"/>
  <c r="AE1606" i="1"/>
  <c r="AA850" i="1"/>
  <c r="Z850" i="1"/>
  <c r="Y850" i="1"/>
  <c r="W850" i="1"/>
  <c r="V850" i="1"/>
  <c r="AE850" i="1"/>
  <c r="AD850" i="1"/>
  <c r="AC850" i="1"/>
  <c r="AB850" i="1"/>
  <c r="X850" i="1"/>
  <c r="U850" i="1"/>
  <c r="T850" i="1"/>
  <c r="AE1000" i="1"/>
  <c r="AB1000" i="1"/>
  <c r="AA1000" i="1"/>
  <c r="X1000" i="1"/>
  <c r="W1000" i="1"/>
  <c r="AD1000" i="1"/>
  <c r="AC1000" i="1"/>
  <c r="Y1000" i="1"/>
  <c r="U1000" i="1"/>
  <c r="T1000" i="1"/>
  <c r="V1000" i="1"/>
  <c r="Z1000" i="1"/>
  <c r="AD1673" i="1"/>
  <c r="T1673" i="1"/>
  <c r="AE1673" i="1"/>
  <c r="Y1673" i="1"/>
  <c r="X1673" i="1"/>
  <c r="W1673" i="1"/>
  <c r="V1673" i="1"/>
  <c r="U1673" i="1"/>
  <c r="Z1673" i="1"/>
  <c r="AC1673" i="1"/>
  <c r="AB1673" i="1"/>
  <c r="AA1673" i="1"/>
  <c r="AE1253" i="1"/>
  <c r="AA1253" i="1"/>
  <c r="W1253" i="1"/>
  <c r="V1253" i="1"/>
  <c r="U1253" i="1"/>
  <c r="Z1253" i="1"/>
  <c r="AD1253" i="1"/>
  <c r="AC1253" i="1"/>
  <c r="AB1253" i="1"/>
  <c r="X1253" i="1"/>
  <c r="T1253" i="1"/>
  <c r="Y1253" i="1"/>
  <c r="U1583" i="1"/>
  <c r="T1583" i="1"/>
  <c r="AA1583" i="1"/>
  <c r="Z1583" i="1"/>
  <c r="AE1583" i="1"/>
  <c r="AD1583" i="1"/>
  <c r="AC1583" i="1"/>
  <c r="AB1583" i="1"/>
  <c r="Y1583" i="1"/>
  <c r="X1583" i="1"/>
  <c r="W1583" i="1"/>
  <c r="V1583" i="1"/>
  <c r="AE1605" i="1"/>
  <c r="AD1605" i="1"/>
  <c r="AC1605" i="1"/>
  <c r="Z1605" i="1"/>
  <c r="X1605" i="1"/>
  <c r="W1605" i="1"/>
  <c r="AB1605" i="1"/>
  <c r="Y1605" i="1"/>
  <c r="AA1605" i="1"/>
  <c r="V1605" i="1"/>
  <c r="U1605" i="1"/>
  <c r="T1605" i="1"/>
  <c r="W1680" i="1"/>
  <c r="V1680" i="1"/>
  <c r="AE1680" i="1"/>
  <c r="AD1680" i="1"/>
  <c r="AC1680" i="1"/>
  <c r="AB1680" i="1"/>
  <c r="Y1680" i="1"/>
  <c r="X1680" i="1"/>
  <c r="AA1680" i="1"/>
  <c r="Z1680" i="1"/>
  <c r="U1680" i="1"/>
  <c r="T1680" i="1"/>
  <c r="AE1695" i="1"/>
  <c r="AC1695" i="1"/>
  <c r="AB1695" i="1"/>
  <c r="V1695" i="1"/>
  <c r="U1695" i="1"/>
  <c r="T1695" i="1"/>
  <c r="W1695" i="1"/>
  <c r="AD1695" i="1"/>
  <c r="AA1695" i="1"/>
  <c r="Z1695" i="1"/>
  <c r="Y1695" i="1"/>
  <c r="X1695" i="1"/>
  <c r="AE1705" i="1"/>
  <c r="AC1705" i="1"/>
  <c r="AB1705" i="1"/>
  <c r="AA1705" i="1"/>
  <c r="AD1705" i="1"/>
  <c r="Z1705" i="1"/>
  <c r="X1705" i="1"/>
  <c r="U1705" i="1"/>
  <c r="T1705" i="1"/>
  <c r="Y1705" i="1"/>
  <c r="W1705" i="1"/>
  <c r="V1705" i="1"/>
  <c r="U1596" i="1"/>
  <c r="T1596" i="1"/>
  <c r="AD1596" i="1"/>
  <c r="AC1596" i="1"/>
  <c r="AB1596" i="1"/>
  <c r="AA1596" i="1"/>
  <c r="Z1596" i="1"/>
  <c r="AE1596" i="1"/>
  <c r="Y1596" i="1"/>
  <c r="X1596" i="1"/>
  <c r="W1596" i="1"/>
  <c r="V1596" i="1"/>
  <c r="AC1762" i="1"/>
  <c r="AA1762" i="1"/>
  <c r="AE1762" i="1"/>
  <c r="AD1762" i="1"/>
  <c r="AB1762" i="1"/>
  <c r="Y1762" i="1"/>
  <c r="X1762" i="1"/>
  <c r="W1762" i="1"/>
  <c r="V1762" i="1"/>
  <c r="U1762" i="1"/>
  <c r="T1762" i="1"/>
  <c r="Z1762" i="1"/>
  <c r="Y999" i="1"/>
  <c r="AA999" i="1"/>
  <c r="Z999" i="1"/>
  <c r="X999" i="1"/>
  <c r="W999" i="1"/>
  <c r="V999" i="1"/>
  <c r="AC999" i="1"/>
  <c r="AB999" i="1"/>
  <c r="U999" i="1"/>
  <c r="T999" i="1"/>
  <c r="AD999" i="1"/>
  <c r="AE999" i="1"/>
  <c r="AE1683" i="1"/>
  <c r="AC1683" i="1"/>
  <c r="AB1683" i="1"/>
  <c r="AD1683" i="1"/>
  <c r="AA1683" i="1"/>
  <c r="Z1683" i="1"/>
  <c r="Y1683" i="1"/>
  <c r="W1683" i="1"/>
  <c r="V1683" i="1"/>
  <c r="U1683" i="1"/>
  <c r="T1683" i="1"/>
  <c r="X1683" i="1"/>
  <c r="AE1800" i="1"/>
  <c r="AD1800" i="1"/>
  <c r="AC1800" i="1"/>
  <c r="AB1800" i="1"/>
  <c r="AA1800" i="1"/>
  <c r="Z1800" i="1"/>
  <c r="Y1800" i="1"/>
  <c r="X1800" i="1"/>
  <c r="V1800" i="1"/>
  <c r="W1800" i="1"/>
  <c r="U1800" i="1"/>
  <c r="T1800" i="1"/>
  <c r="AC1816" i="1"/>
  <c r="AA1816" i="1"/>
  <c r="Z1816" i="1"/>
  <c r="Y1816" i="1"/>
  <c r="X1816" i="1"/>
  <c r="W1816" i="1"/>
  <c r="V1816" i="1"/>
  <c r="U1816" i="1"/>
  <c r="T1816" i="1"/>
  <c r="AD1816" i="1"/>
  <c r="AB1816" i="1"/>
  <c r="AE1816" i="1"/>
  <c r="AE1229" i="1"/>
  <c r="AD1229" i="1"/>
  <c r="AC1229" i="1"/>
  <c r="AB1229" i="1"/>
  <c r="AA1229" i="1"/>
  <c r="V1229" i="1"/>
  <c r="Z1229" i="1"/>
  <c r="Y1229" i="1"/>
  <c r="X1229" i="1"/>
  <c r="W1229" i="1"/>
  <c r="U1229" i="1"/>
  <c r="T1229" i="1"/>
  <c r="AE968" i="1"/>
  <c r="AD968" i="1"/>
  <c r="AC968" i="1"/>
  <c r="AB968" i="1"/>
  <c r="AA968" i="1"/>
  <c r="Z968" i="1"/>
  <c r="X968" i="1"/>
  <c r="W968" i="1"/>
  <c r="V968" i="1"/>
  <c r="U968" i="1"/>
  <c r="Y968" i="1"/>
  <c r="T968" i="1"/>
  <c r="AE1841" i="1"/>
  <c r="AD1841" i="1"/>
  <c r="AC1841" i="1"/>
  <c r="AB1841" i="1"/>
  <c r="AA1841" i="1"/>
  <c r="Z1841" i="1"/>
  <c r="Y1841" i="1"/>
  <c r="X1841" i="1"/>
  <c r="V1841" i="1"/>
  <c r="W1841" i="1"/>
  <c r="U1841" i="1"/>
  <c r="T1841" i="1"/>
  <c r="AE1647" i="1"/>
  <c r="AB1647" i="1"/>
  <c r="AA1647" i="1"/>
  <c r="Z1647" i="1"/>
  <c r="Y1647" i="1"/>
  <c r="AD1647" i="1"/>
  <c r="AC1647" i="1"/>
  <c r="X1647" i="1"/>
  <c r="W1647" i="1"/>
  <c r="V1647" i="1"/>
  <c r="T1647" i="1"/>
  <c r="U1647" i="1"/>
  <c r="AB1840" i="1"/>
  <c r="AD1840" i="1"/>
  <c r="AC1840" i="1"/>
  <c r="AA1840" i="1"/>
  <c r="W1840" i="1"/>
  <c r="AE1840" i="1"/>
  <c r="Z1840" i="1"/>
  <c r="Y1840" i="1"/>
  <c r="X1840" i="1"/>
  <c r="V1840" i="1"/>
  <c r="U1840" i="1"/>
  <c r="T1840" i="1"/>
  <c r="U1624" i="1"/>
  <c r="T1624" i="1"/>
  <c r="AE1624" i="1"/>
  <c r="AD1624" i="1"/>
  <c r="AC1624" i="1"/>
  <c r="Z1624" i="1"/>
  <c r="X1624" i="1"/>
  <c r="W1624" i="1"/>
  <c r="AB1624" i="1"/>
  <c r="AA1624" i="1"/>
  <c r="Y1624" i="1"/>
  <c r="V1624" i="1"/>
  <c r="W1490" i="1"/>
  <c r="V1490" i="1"/>
  <c r="U1490" i="1"/>
  <c r="T1490" i="1"/>
  <c r="Y1490" i="1"/>
  <c r="X1490" i="1"/>
  <c r="AE1490" i="1"/>
  <c r="AD1490" i="1"/>
  <c r="AC1490" i="1"/>
  <c r="AB1490" i="1"/>
  <c r="AA1490" i="1"/>
  <c r="Z1490" i="1"/>
  <c r="X1242" i="1"/>
  <c r="V1242" i="1"/>
  <c r="AB1242" i="1"/>
  <c r="AE1242" i="1"/>
  <c r="AD1242" i="1"/>
  <c r="AA1242" i="1"/>
  <c r="W1242" i="1"/>
  <c r="U1242" i="1"/>
  <c r="T1242" i="1"/>
  <c r="Z1242" i="1"/>
  <c r="Y1242" i="1"/>
  <c r="AC1242" i="1"/>
  <c r="U1501" i="1"/>
  <c r="T1501" i="1"/>
  <c r="AE1501" i="1"/>
  <c r="AD1501" i="1"/>
  <c r="AC1501" i="1"/>
  <c r="AB1501" i="1"/>
  <c r="AA1501" i="1"/>
  <c r="W1501" i="1"/>
  <c r="V1501" i="1"/>
  <c r="Z1501" i="1"/>
  <c r="Y1501" i="1"/>
  <c r="X1501" i="1"/>
  <c r="AB1677" i="1"/>
  <c r="AA1677" i="1"/>
  <c r="Z1677" i="1"/>
  <c r="Y1677" i="1"/>
  <c r="X1677" i="1"/>
  <c r="W1677" i="1"/>
  <c r="V1677" i="1"/>
  <c r="T1677" i="1"/>
  <c r="AE1677" i="1"/>
  <c r="AD1677" i="1"/>
  <c r="AC1677" i="1"/>
  <c r="U1677" i="1"/>
  <c r="Y1001" i="1"/>
  <c r="AB1001" i="1"/>
  <c r="AA1001" i="1"/>
  <c r="Z1001" i="1"/>
  <c r="X1001" i="1"/>
  <c r="W1001" i="1"/>
  <c r="V1001" i="1"/>
  <c r="U1001" i="1"/>
  <c r="T1001" i="1"/>
  <c r="AE1001" i="1"/>
  <c r="AD1001" i="1"/>
  <c r="AC1001" i="1"/>
  <c r="AC1550" i="1"/>
  <c r="AA1550" i="1"/>
  <c r="Z1550" i="1"/>
  <c r="AE1550" i="1"/>
  <c r="AD1550" i="1"/>
  <c r="AB1550" i="1"/>
  <c r="Y1550" i="1"/>
  <c r="X1550" i="1"/>
  <c r="W1550" i="1"/>
  <c r="V1550" i="1"/>
  <c r="U1550" i="1"/>
  <c r="T1550" i="1"/>
  <c r="Y1625" i="1"/>
  <c r="X1625" i="1"/>
  <c r="W1625" i="1"/>
  <c r="V1625" i="1"/>
  <c r="U1625" i="1"/>
  <c r="T1625" i="1"/>
  <c r="AA1625" i="1"/>
  <c r="Z1625" i="1"/>
  <c r="AE1625" i="1"/>
  <c r="AD1625" i="1"/>
  <c r="AC1625" i="1"/>
  <c r="AB1625" i="1"/>
  <c r="AE1477" i="1" l="1"/>
  <c r="AD1477" i="1"/>
  <c r="AC1477" i="1"/>
  <c r="AB1477" i="1"/>
  <c r="W1477" i="1"/>
  <c r="AA1477" i="1"/>
  <c r="Z1477" i="1"/>
  <c r="Y1477" i="1"/>
  <c r="X1477" i="1"/>
  <c r="V1477" i="1"/>
  <c r="U1477" i="1"/>
  <c r="T1477" i="1"/>
  <c r="Z1524" i="1"/>
  <c r="AB1524" i="1"/>
  <c r="AA1524" i="1"/>
  <c r="Y1524" i="1"/>
  <c r="X1524" i="1"/>
  <c r="W1524" i="1"/>
  <c r="AC1524" i="1"/>
  <c r="V1524" i="1"/>
  <c r="U1524" i="1"/>
  <c r="T1524" i="1"/>
  <c r="AE1524" i="1"/>
  <c r="AD1524" i="1"/>
  <c r="AE1846" i="1"/>
  <c r="AD1846" i="1"/>
  <c r="AC1846" i="1"/>
  <c r="AA1846" i="1"/>
  <c r="W1846" i="1"/>
  <c r="V1846" i="1"/>
  <c r="U1846" i="1"/>
  <c r="T1846" i="1"/>
  <c r="AB1846" i="1"/>
  <c r="Z1846" i="1"/>
  <c r="Y1846" i="1"/>
  <c r="X1846" i="1"/>
  <c r="AA1830" i="1"/>
  <c r="Z1830" i="1"/>
  <c r="Y1830" i="1"/>
  <c r="X1830" i="1"/>
  <c r="W1830" i="1"/>
  <c r="V1830" i="1"/>
  <c r="U1830" i="1"/>
  <c r="T1830" i="1"/>
  <c r="AE1830" i="1"/>
  <c r="AD1830" i="1"/>
  <c r="AC1830" i="1"/>
  <c r="AB1830" i="1"/>
  <c r="AE1831" i="1"/>
  <c r="AD1831" i="1"/>
  <c r="AC1831" i="1"/>
  <c r="AB1831" i="1"/>
  <c r="AA1831" i="1"/>
  <c r="Z1831" i="1"/>
  <c r="Y1831" i="1"/>
  <c r="W1831" i="1"/>
  <c r="X1831" i="1"/>
  <c r="V1831" i="1"/>
  <c r="U1831" i="1"/>
  <c r="T1831" i="1"/>
  <c r="X1848" i="1"/>
  <c r="AE1848" i="1"/>
  <c r="AD1848" i="1"/>
  <c r="AC1848" i="1"/>
  <c r="AB1848" i="1"/>
  <c r="Z1848" i="1"/>
  <c r="Y1848" i="1"/>
  <c r="V1848" i="1"/>
  <c r="U1848" i="1"/>
  <c r="T1848" i="1"/>
  <c r="AA1848" i="1"/>
  <c r="W1848" i="1"/>
  <c r="X1230" i="1"/>
  <c r="V1230" i="1"/>
  <c r="AC1230" i="1"/>
  <c r="Y1230" i="1"/>
  <c r="W1230" i="1"/>
  <c r="Z1230" i="1"/>
  <c r="U1230" i="1"/>
  <c r="T1230" i="1"/>
  <c r="AE1230" i="1"/>
  <c r="AD1230" i="1"/>
  <c r="AB1230" i="1"/>
  <c r="AA1230" i="1"/>
  <c r="U1590" i="1"/>
  <c r="T1590" i="1"/>
  <c r="Z1590" i="1"/>
  <c r="Y1590" i="1"/>
  <c r="X1590" i="1"/>
  <c r="W1590" i="1"/>
  <c r="V1590" i="1"/>
  <c r="AE1590" i="1"/>
  <c r="AD1590" i="1"/>
  <c r="AC1590" i="1"/>
  <c r="AB1590" i="1"/>
  <c r="AA1590" i="1"/>
  <c r="W1460" i="1"/>
  <c r="V1460" i="1"/>
  <c r="U1460" i="1"/>
  <c r="T1460" i="1"/>
  <c r="AD1460" i="1"/>
  <c r="AC1460" i="1"/>
  <c r="AB1460" i="1"/>
  <c r="AA1460" i="1"/>
  <c r="AE1460" i="1"/>
  <c r="Z1460" i="1"/>
  <c r="Y1460" i="1"/>
  <c r="X1460" i="1"/>
  <c r="Z1535" i="1"/>
  <c r="Y1535" i="1"/>
  <c r="X1535" i="1"/>
  <c r="W1535" i="1"/>
  <c r="V1535" i="1"/>
  <c r="U1535" i="1"/>
  <c r="AE1535" i="1"/>
  <c r="AD1535" i="1"/>
  <c r="AC1535" i="1"/>
  <c r="AB1535" i="1"/>
  <c r="AA1535" i="1"/>
  <c r="T1535" i="1"/>
  <c r="AE1847" i="1"/>
  <c r="AD1847" i="1"/>
  <c r="AC1847" i="1"/>
  <c r="AB1847" i="1"/>
  <c r="AA1847" i="1"/>
  <c r="Z1847" i="1"/>
  <c r="Y1847" i="1"/>
  <c r="U1847" i="1"/>
  <c r="T1847" i="1"/>
  <c r="X1847" i="1"/>
  <c r="W1847" i="1"/>
  <c r="V1847" i="1"/>
  <c r="U1012" i="1"/>
  <c r="V1012" i="1"/>
  <c r="T1012" i="1"/>
  <c r="AE1012" i="1"/>
  <c r="AD1012" i="1"/>
  <c r="AC1012" i="1"/>
  <c r="AB1012" i="1"/>
  <c r="Z1012" i="1"/>
  <c r="X1012" i="1"/>
  <c r="W1012" i="1"/>
  <c r="AA1012" i="1"/>
  <c r="Y1012" i="1"/>
  <c r="AE1357" i="1"/>
  <c r="AD1357" i="1"/>
  <c r="AB1357" i="1"/>
  <c r="Z1357" i="1"/>
  <c r="AC1357" i="1"/>
  <c r="U1357" i="1"/>
  <c r="T1357" i="1"/>
  <c r="W1357" i="1"/>
  <c r="V1357" i="1"/>
  <c r="AA1357" i="1"/>
  <c r="Y1357" i="1"/>
  <c r="X1357" i="1"/>
  <c r="AC1443" i="1"/>
  <c r="AB1443" i="1"/>
  <c r="Z1443" i="1"/>
  <c r="AE1443" i="1"/>
  <c r="AD1443" i="1"/>
  <c r="AA1443" i="1"/>
  <c r="Y1443" i="1"/>
  <c r="X1443" i="1"/>
  <c r="W1443" i="1"/>
  <c r="T1443" i="1"/>
  <c r="V1443" i="1"/>
  <c r="U1443" i="1"/>
  <c r="AE1873" i="1" l="1"/>
  <c r="AD1873" i="1"/>
  <c r="AC1873" i="1"/>
  <c r="AB1873" i="1"/>
  <c r="AA1873" i="1"/>
  <c r="Z1873" i="1"/>
  <c r="Y1873" i="1"/>
  <c r="X1873" i="1"/>
  <c r="W1873" i="1"/>
  <c r="V1873" i="1"/>
  <c r="U1873" i="1"/>
  <c r="T1873" i="1"/>
  <c r="W1842" i="1"/>
  <c r="V1842" i="1"/>
  <c r="U1842" i="1"/>
  <c r="T1842" i="1"/>
  <c r="AE1842" i="1"/>
  <c r="AD1842" i="1"/>
  <c r="AC1842" i="1"/>
  <c r="AB1842" i="1"/>
  <c r="AA1842" i="1"/>
  <c r="Z1842" i="1"/>
  <c r="Y1842" i="1"/>
  <c r="X1842" i="1"/>
  <c r="AC1870" i="1"/>
  <c r="W1870" i="1"/>
  <c r="V1870" i="1"/>
  <c r="U1870" i="1"/>
  <c r="T1870" i="1"/>
  <c r="Y1870" i="1"/>
  <c r="X1870" i="1"/>
  <c r="AB1870" i="1"/>
  <c r="AE1870" i="1"/>
  <c r="AD1870" i="1"/>
  <c r="AA1870" i="1"/>
  <c r="Z1870" i="1"/>
  <c r="AE1871" i="1"/>
  <c r="AD1871" i="1"/>
  <c r="AC1871" i="1"/>
  <c r="AB1871" i="1"/>
  <c r="AA1871" i="1"/>
  <c r="Z1871" i="1"/>
  <c r="Y1871" i="1"/>
  <c r="T1871" i="1"/>
  <c r="X1871" i="1"/>
  <c r="W1871" i="1"/>
  <c r="V1871" i="1"/>
  <c r="U1871" i="1"/>
  <c r="AD1778" i="1"/>
  <c r="AC1778" i="1"/>
  <c r="AB1778" i="1"/>
  <c r="AA1778" i="1"/>
  <c r="Z1778" i="1"/>
  <c r="Y1778" i="1"/>
  <c r="X1778" i="1"/>
  <c r="W1778" i="1"/>
  <c r="V1778" i="1"/>
  <c r="T1778" i="1"/>
  <c r="AE1778" i="1"/>
  <c r="U1778" i="1"/>
  <c r="U1416" i="1"/>
  <c r="T1416" i="1"/>
  <c r="Y1416" i="1"/>
  <c r="X1416" i="1"/>
  <c r="V1416" i="1"/>
  <c r="AE1416" i="1"/>
  <c r="AB1416" i="1"/>
  <c r="AA1416" i="1"/>
  <c r="Z1416" i="1"/>
  <c r="W1416" i="1"/>
  <c r="AD1416" i="1"/>
  <c r="AC1416" i="1"/>
  <c r="AC1872" i="1"/>
  <c r="AE1872" i="1"/>
  <c r="AD1872" i="1"/>
  <c r="AB1872" i="1"/>
  <c r="AA1872" i="1"/>
  <c r="Z1872" i="1"/>
  <c r="Y1872" i="1"/>
  <c r="X1872" i="1"/>
  <c r="W1872" i="1"/>
  <c r="U1872" i="1"/>
  <c r="V1872" i="1"/>
  <c r="T1872" i="1"/>
  <c r="U1010" i="1"/>
  <c r="T1010" i="1"/>
  <c r="AE1010" i="1"/>
  <c r="AD1010" i="1"/>
  <c r="AC1010" i="1"/>
  <c r="AB1010" i="1"/>
  <c r="AA1010" i="1"/>
  <c r="Z1010" i="1"/>
  <c r="Y1010" i="1"/>
  <c r="W1010" i="1"/>
  <c r="X1010" i="1"/>
  <c r="V1010" i="1"/>
  <c r="V1382" i="1"/>
  <c r="U1382" i="1"/>
  <c r="AB1382" i="1"/>
  <c r="AA1382" i="1"/>
  <c r="Z1382" i="1"/>
  <c r="X1382" i="1"/>
  <c r="T1382" i="1"/>
  <c r="AE1382" i="1"/>
  <c r="AD1382" i="1"/>
  <c r="W1382" i="1"/>
  <c r="AC1382" i="1"/>
  <c r="Y1382" i="1"/>
  <c r="AB1447" i="1"/>
  <c r="AA1447" i="1"/>
  <c r="AD1447" i="1"/>
  <c r="AC1447" i="1"/>
  <c r="Z1447" i="1"/>
  <c r="Y1447" i="1"/>
  <c r="X1447" i="1"/>
  <c r="W1447" i="1"/>
  <c r="V1447" i="1"/>
  <c r="U1447" i="1"/>
  <c r="AE1447" i="1"/>
  <c r="T1447" i="1"/>
  <c r="AD794" i="1"/>
  <c r="U794" i="1"/>
  <c r="T794" i="1"/>
  <c r="AE794" i="1"/>
  <c r="AB794" i="1"/>
  <c r="Y794" i="1"/>
  <c r="X794" i="1"/>
  <c r="W794" i="1"/>
  <c r="V794" i="1"/>
  <c r="AC794" i="1"/>
  <c r="AA794" i="1"/>
  <c r="Z794" i="1"/>
  <c r="AD1417" i="1"/>
  <c r="AC1417" i="1"/>
  <c r="AB1417" i="1"/>
  <c r="AA1417" i="1"/>
  <c r="Z1417" i="1"/>
  <c r="Y1417" i="1"/>
  <c r="X1417" i="1"/>
  <c r="W1417" i="1"/>
  <c r="V1417" i="1"/>
  <c r="U1417" i="1"/>
  <c r="T1417" i="1"/>
  <c r="AE1417" i="1"/>
  <c r="AE1720" i="1"/>
  <c r="AD1720" i="1"/>
  <c r="AB1720" i="1"/>
  <c r="AA1720" i="1"/>
  <c r="Z1720" i="1"/>
  <c r="Y1720" i="1"/>
  <c r="X1720" i="1"/>
  <c r="U1720" i="1"/>
  <c r="AC1720" i="1"/>
  <c r="V1720" i="1"/>
  <c r="T1720" i="1"/>
  <c r="W1720" i="1"/>
  <c r="AC1868" i="1"/>
  <c r="AA1868" i="1"/>
  <c r="AE1868" i="1"/>
  <c r="AD1868" i="1"/>
  <c r="AB1868" i="1"/>
  <c r="Z1868" i="1"/>
  <c r="Y1868" i="1"/>
  <c r="X1868" i="1"/>
  <c r="W1868" i="1"/>
  <c r="V1868" i="1"/>
  <c r="U1868" i="1"/>
  <c r="T1868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X1261" i="1"/>
  <c r="V1261" i="1"/>
  <c r="AA1261" i="1"/>
  <c r="Y1261" i="1"/>
  <c r="W1261" i="1"/>
  <c r="U1261" i="1"/>
  <c r="T1261" i="1"/>
  <c r="AE1261" i="1"/>
  <c r="AD1261" i="1"/>
  <c r="AC1261" i="1"/>
  <c r="AB1261" i="1"/>
  <c r="Z1261" i="1"/>
  <c r="AE1855" i="1"/>
  <c r="AD1855" i="1"/>
  <c r="AC1855" i="1"/>
  <c r="AB1855" i="1"/>
  <c r="AA1855" i="1"/>
  <c r="Z1855" i="1"/>
  <c r="Y1855" i="1"/>
  <c r="X1855" i="1"/>
  <c r="W1855" i="1"/>
  <c r="U1855" i="1"/>
  <c r="T1855" i="1"/>
  <c r="V1855" i="1"/>
  <c r="AE1693" i="1"/>
  <c r="AC1693" i="1"/>
  <c r="AB1693" i="1"/>
  <c r="AD1693" i="1"/>
  <c r="AA1693" i="1"/>
  <c r="Z1693" i="1"/>
  <c r="Y1693" i="1"/>
  <c r="X1693" i="1"/>
  <c r="W1693" i="1"/>
  <c r="V1693" i="1"/>
  <c r="U1693" i="1"/>
  <c r="T1693" i="1"/>
  <c r="X1746" i="1"/>
  <c r="W1746" i="1"/>
  <c r="V1746" i="1"/>
  <c r="U1746" i="1"/>
  <c r="T1746" i="1"/>
  <c r="Y1746" i="1"/>
  <c r="AA1746" i="1"/>
  <c r="Z1746" i="1"/>
  <c r="AE1746" i="1"/>
  <c r="AD1746" i="1"/>
  <c r="AC1746" i="1"/>
  <c r="AB1746" i="1"/>
  <c r="AD1856" i="1"/>
  <c r="Z1856" i="1"/>
  <c r="T1856" i="1"/>
  <c r="X1856" i="1"/>
  <c r="W1856" i="1"/>
  <c r="V1856" i="1"/>
  <c r="U1856" i="1"/>
  <c r="AE1856" i="1"/>
  <c r="AC1856" i="1"/>
  <c r="AB1856" i="1"/>
  <c r="AA1856" i="1"/>
  <c r="Y1856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AE1854" i="1"/>
  <c r="AD1854" i="1"/>
  <c r="AC1854" i="1"/>
  <c r="AB1854" i="1"/>
  <c r="AA1854" i="1"/>
  <c r="Z1854" i="1"/>
  <c r="Y1854" i="1"/>
  <c r="W1854" i="1"/>
  <c r="T1854" i="1"/>
  <c r="V1854" i="1"/>
  <c r="U1854" i="1"/>
  <c r="X1854" i="1"/>
  <c r="U1435" i="1"/>
  <c r="T1435" i="1"/>
  <c r="X1435" i="1"/>
  <c r="W1435" i="1"/>
  <c r="V1435" i="1"/>
  <c r="AE1435" i="1"/>
  <c r="AD1435" i="1"/>
  <c r="AC1435" i="1"/>
  <c r="AB1435" i="1"/>
  <c r="AA1435" i="1"/>
  <c r="Z1435" i="1"/>
  <c r="Y1435" i="1"/>
  <c r="AC1858" i="1"/>
  <c r="AA1858" i="1"/>
  <c r="AE1858" i="1"/>
  <c r="AB1858" i="1"/>
  <c r="Z1858" i="1"/>
  <c r="AD1858" i="1"/>
  <c r="Y1858" i="1"/>
  <c r="X1858" i="1"/>
  <c r="W1858" i="1"/>
  <c r="U1858" i="1"/>
  <c r="V1858" i="1"/>
  <c r="T1858" i="1"/>
  <c r="AE786" i="1"/>
  <c r="AA786" i="1"/>
  <c r="AD786" i="1"/>
  <c r="AC786" i="1"/>
  <c r="AB786" i="1"/>
  <c r="Z786" i="1"/>
  <c r="Y786" i="1"/>
  <c r="W786" i="1"/>
  <c r="U786" i="1"/>
  <c r="T786" i="1"/>
  <c r="X786" i="1"/>
  <c r="V786" i="1"/>
  <c r="Y1826" i="1"/>
  <c r="AC1826" i="1"/>
  <c r="AB1826" i="1"/>
  <c r="AE1826" i="1"/>
  <c r="AD1826" i="1"/>
  <c r="AA1826" i="1"/>
  <c r="Z1826" i="1"/>
  <c r="X1826" i="1"/>
  <c r="W1826" i="1"/>
  <c r="V1826" i="1"/>
  <c r="U1826" i="1"/>
  <c r="T1826" i="1"/>
  <c r="AE1262" i="1"/>
  <c r="AD1262" i="1"/>
  <c r="AC1262" i="1"/>
  <c r="Z1262" i="1"/>
  <c r="T1262" i="1"/>
  <c r="AB1262" i="1"/>
  <c r="AA1262" i="1"/>
  <c r="Y1262" i="1"/>
  <c r="X1262" i="1"/>
  <c r="W1262" i="1"/>
  <c r="V1262" i="1"/>
  <c r="U1262" i="1"/>
  <c r="W1187" i="1"/>
  <c r="U1187" i="1"/>
  <c r="Y1187" i="1"/>
  <c r="X1187" i="1"/>
  <c r="V1187" i="1"/>
  <c r="T1187" i="1"/>
  <c r="AE1187" i="1"/>
  <c r="AD1187" i="1"/>
  <c r="AC1187" i="1"/>
  <c r="Z1187" i="1"/>
  <c r="AB1187" i="1"/>
  <c r="AA1187" i="1"/>
  <c r="W1486" i="1"/>
  <c r="V1486" i="1"/>
  <c r="U1486" i="1"/>
  <c r="T1486" i="1"/>
  <c r="Z1486" i="1"/>
  <c r="Y1486" i="1"/>
  <c r="AC1486" i="1"/>
  <c r="X1486" i="1"/>
  <c r="AE1486" i="1"/>
  <c r="AD1486" i="1"/>
  <c r="AB1486" i="1"/>
  <c r="AA1486" i="1"/>
  <c r="AD1322" i="1"/>
  <c r="AC1322" i="1"/>
  <c r="AB1322" i="1"/>
  <c r="W1322" i="1"/>
  <c r="AE1322" i="1"/>
  <c r="AA1322" i="1"/>
  <c r="Z1322" i="1"/>
  <c r="Y1322" i="1"/>
  <c r="V1322" i="1"/>
  <c r="U1322" i="1"/>
  <c r="T1322" i="1"/>
  <c r="X1322" i="1"/>
  <c r="AE1694" i="1"/>
  <c r="AD1694" i="1"/>
  <c r="AC1694" i="1"/>
  <c r="AB1694" i="1"/>
  <c r="Z1694" i="1"/>
  <c r="Y1694" i="1"/>
  <c r="X1694" i="1"/>
  <c r="W1694" i="1"/>
  <c r="V1694" i="1"/>
  <c r="AA1694" i="1"/>
  <c r="U1694" i="1"/>
  <c r="T1694" i="1"/>
  <c r="AE1869" i="1"/>
  <c r="AD1869" i="1"/>
  <c r="AC1869" i="1"/>
  <c r="AB1869" i="1"/>
  <c r="AA1869" i="1"/>
  <c r="Z1869" i="1"/>
  <c r="Y1869" i="1"/>
  <c r="X1869" i="1"/>
  <c r="V1869" i="1"/>
  <c r="W1869" i="1"/>
  <c r="U1869" i="1"/>
  <c r="T1869" i="1"/>
  <c r="AE1741" i="1"/>
  <c r="AC1741" i="1"/>
  <c r="AB1741" i="1"/>
  <c r="AA1741" i="1"/>
  <c r="Z1741" i="1"/>
  <c r="AD1741" i="1"/>
  <c r="Y1741" i="1"/>
  <c r="X1741" i="1"/>
  <c r="W1741" i="1"/>
  <c r="V1741" i="1"/>
  <c r="U1741" i="1"/>
  <c r="T1741" i="1"/>
  <c r="AE1803" i="1"/>
  <c r="AD1803" i="1"/>
  <c r="AC1803" i="1"/>
  <c r="AB1803" i="1"/>
  <c r="AA1803" i="1"/>
  <c r="Z1803" i="1"/>
  <c r="Y1803" i="1"/>
  <c r="W1803" i="1"/>
  <c r="V1803" i="1"/>
  <c r="U1803" i="1"/>
  <c r="T1803" i="1"/>
  <c r="X18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Y1070" i="1"/>
  <c r="AE1070" i="1"/>
  <c r="AD1070" i="1"/>
  <c r="AC1070" i="1"/>
  <c r="X1070" i="1"/>
  <c r="AB1070" i="1"/>
  <c r="AA1070" i="1"/>
  <c r="Z1070" i="1"/>
  <c r="W1070" i="1"/>
  <c r="V1070" i="1"/>
  <c r="U1070" i="1"/>
  <c r="T107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<sst xmlns="http://schemas.openxmlformats.org/spreadsheetml/2006/main" count="20779" uniqueCount="6500">
  <si>
    <t>Tilbudsnr.</t>
  </si>
  <si>
    <t>Evt. sagsnr., hvis sagen realiseres</t>
  </si>
  <si>
    <t>Projektnavn</t>
  </si>
  <si>
    <t>Ansvarlig person</t>
  </si>
  <si>
    <t>Ansvarligt kontor</t>
  </si>
  <si>
    <t>Bygherre</t>
  </si>
  <si>
    <t>Kunde</t>
  </si>
  <si>
    <t>Honorar</t>
  </si>
  <si>
    <t>Vægtet Honorar</t>
  </si>
  <si>
    <t>Forventet start</t>
  </si>
  <si>
    <t>Forventet slut</t>
  </si>
  <si>
    <t>Bemærkninger</t>
  </si>
  <si>
    <t>Sandsynlighed</t>
  </si>
  <si>
    <t>Størrelse</t>
  </si>
  <si>
    <t>Sidst redigeret</t>
  </si>
  <si>
    <t>Relation</t>
  </si>
  <si>
    <t>Er i resplan?</t>
  </si>
  <si>
    <t>Status</t>
  </si>
  <si>
    <t>Vægtet honorar pr. måned til forecast</t>
  </si>
  <si>
    <t>Vægtet honorar pr. måned til forecast - denne måned+1</t>
  </si>
  <si>
    <t>Vægtet honorar pr. måned til forecast - denne måned+2</t>
  </si>
  <si>
    <t>Vægtet honorar pr. måned til forecast - denne måned+3</t>
  </si>
  <si>
    <t>Vægtet honorar pr. måned til forecast - denne måned+4</t>
  </si>
  <si>
    <t>Vægtet honorar pr. måned til forecast - denne måned+5</t>
  </si>
  <si>
    <t>Vægtet honorar pr. måned til forecast - denne måned+6</t>
  </si>
  <si>
    <t>Vægtet honorar pr. måned til forecast - denne måned+7</t>
  </si>
  <si>
    <t>Vægtet honorar pr. måned til forecast - denne måned+8</t>
  </si>
  <si>
    <t>Vægtet honorar pr. måned til forecast - denne måned+9</t>
  </si>
  <si>
    <t>Vægtet honorar pr. måned til forecast - denne måned+10</t>
  </si>
  <si>
    <t>Vægtet honorar pr. måned til forecast - denne måned+11</t>
  </si>
  <si>
    <t>Vægtet honorar pr. måned til forecast - denne måned+12</t>
  </si>
  <si>
    <t>Honorar 40 dage (Ikke I Ressourceplanen)</t>
  </si>
  <si>
    <t>Honorar 40 dage (I Ressourceplanen)</t>
  </si>
  <si>
    <t>Dato for tabt/vundet/aftale indgået</t>
  </si>
  <si>
    <t>Totalentreprenør</t>
  </si>
  <si>
    <t>Arkitekt</t>
  </si>
  <si>
    <t>Øvrigt team</t>
  </si>
  <si>
    <t>Projekttype</t>
  </si>
  <si>
    <t>Anslået opstart af konkurrence</t>
  </si>
  <si>
    <t>Note</t>
  </si>
  <si>
    <t>Dato for aflevering af PQ</t>
  </si>
  <si>
    <t>Leveret til PQ</t>
  </si>
  <si>
    <t>T22001</t>
  </si>
  <si>
    <t>Glostrup Svømmehal Tilstandsvurdering</t>
  </si>
  <si>
    <t>BRP</t>
  </si>
  <si>
    <t xml:space="preserve">Er blevet til en sag </t>
  </si>
  <si>
    <t>Ja</t>
  </si>
  <si>
    <t>Vundet</t>
  </si>
  <si>
    <t>Kalundborgvej 70B &amp; 76 JEG</t>
  </si>
  <si>
    <t>Udgået</t>
  </si>
  <si>
    <t>T22002</t>
  </si>
  <si>
    <t>Sct Norbert Projekt på øvrig skole</t>
  </si>
  <si>
    <t>Er blevet til en sag</t>
  </si>
  <si>
    <t>T22003</t>
  </si>
  <si>
    <t>Dymak JLUN</t>
  </si>
  <si>
    <t>T22004</t>
  </si>
  <si>
    <t>Kirkestræde Gammelgård</t>
  </si>
  <si>
    <t>JLUN</t>
  </si>
  <si>
    <t>ikke aktuel længer JLUN</t>
  </si>
  <si>
    <t>T22005</t>
  </si>
  <si>
    <t>Læhegnet og Nørreland</t>
  </si>
  <si>
    <t>CAPI-BRP</t>
  </si>
  <si>
    <t>Ikke aktuel?</t>
  </si>
  <si>
    <t>T22006</t>
  </si>
  <si>
    <t>Nr. Lyndelse</t>
  </si>
  <si>
    <t>MAW</t>
  </si>
  <si>
    <t>T22007</t>
  </si>
  <si>
    <t>Stationsvej Ringe</t>
  </si>
  <si>
    <t>T22008</t>
  </si>
  <si>
    <t>Autismecenter Fredericia CT</t>
  </si>
  <si>
    <t>CT</t>
  </si>
  <si>
    <t>VIV</t>
  </si>
  <si>
    <t>Nej</t>
  </si>
  <si>
    <t>T22009</t>
  </si>
  <si>
    <t>Kulturcenter og musikskole i Vejle CT</t>
  </si>
  <si>
    <t>Tabt</t>
  </si>
  <si>
    <t>T22010</t>
  </si>
  <si>
    <t>Fjernvarme Højager</t>
  </si>
  <si>
    <t>T22011</t>
  </si>
  <si>
    <t>Kirkestræde JLUN</t>
  </si>
  <si>
    <t>T22012</t>
  </si>
  <si>
    <t>Mazanti ombygning JLUN</t>
  </si>
  <si>
    <t>T22013</t>
  </si>
  <si>
    <t>Stærekassen, Børneunivers JEG</t>
  </si>
  <si>
    <t>JEG</t>
  </si>
  <si>
    <t>T22014</t>
  </si>
  <si>
    <t>hostel energi</t>
  </si>
  <si>
    <t>THOM</t>
  </si>
  <si>
    <t>Nonnebakken for OD by Museum JLUN</t>
  </si>
  <si>
    <t>T22015</t>
  </si>
  <si>
    <t>Netto Vig KBS</t>
  </si>
  <si>
    <t>T22016</t>
  </si>
  <si>
    <t>SPD Hørsholm</t>
  </si>
  <si>
    <t>JMA</t>
  </si>
  <si>
    <t>VIK</t>
  </si>
  <si>
    <t>SPD</t>
  </si>
  <si>
    <t>T22017</t>
  </si>
  <si>
    <t>NREP Zleep Århus Viby EK</t>
  </si>
  <si>
    <t>T22018</t>
  </si>
  <si>
    <t>NREP Bryggen EK</t>
  </si>
  <si>
    <t>T22019</t>
  </si>
  <si>
    <t>Renovering Boliger GL. Vardevej CT</t>
  </si>
  <si>
    <t>VIE</t>
  </si>
  <si>
    <t>Q4 2022</t>
  </si>
  <si>
    <t>Kontrakt indgået</t>
  </si>
  <si>
    <t>1000 m2</t>
  </si>
  <si>
    <t>Smedeland 2LP JEG &amp; EK</t>
  </si>
  <si>
    <t>T22020</t>
  </si>
  <si>
    <t>Ombygning af kryds i Vissenbjerg</t>
  </si>
  <si>
    <t>T22021</t>
  </si>
  <si>
    <t>Boksbutik Fåborg CT</t>
  </si>
  <si>
    <t>LM Huse</t>
  </si>
  <si>
    <t>T22022</t>
  </si>
  <si>
    <t>Forlængelse af Skærgårdsvej</t>
  </si>
  <si>
    <t>T22023</t>
  </si>
  <si>
    <t>Boliger i Ødis CJAS</t>
  </si>
  <si>
    <t>BRP+TB</t>
  </si>
  <si>
    <t>T22024</t>
  </si>
  <si>
    <t>Fredensgade 46, 8000 Aarhus C Ombygning</t>
  </si>
  <si>
    <t>LLN</t>
  </si>
  <si>
    <t>VIA</t>
  </si>
  <si>
    <t>T22025</t>
  </si>
  <si>
    <t>Vejle Kommune Gadkjærgård</t>
  </si>
  <si>
    <t>T22026</t>
  </si>
  <si>
    <t>Brandrumvej 31- CSE</t>
  </si>
  <si>
    <t>CSE</t>
  </si>
  <si>
    <t>Kom ikke</t>
  </si>
  <si>
    <t>Middelfart Sundheds- og Frivillighedscenter jlun</t>
  </si>
  <si>
    <t>T22027</t>
  </si>
  <si>
    <t>ROP pumpestation</t>
  </si>
  <si>
    <t>T22028</t>
  </si>
  <si>
    <t>Karen Blixen Parken CAPI</t>
  </si>
  <si>
    <t>T22029</t>
  </si>
  <si>
    <t>Havnebad, Fisketorveet</t>
  </si>
  <si>
    <t>KSR</t>
  </si>
  <si>
    <t>T22030</t>
  </si>
  <si>
    <t>Gigantium, Aalborg JLUN</t>
  </si>
  <si>
    <t>T22031</t>
  </si>
  <si>
    <t>Tag udskiftning KS 205  Holbæk boligselskab</t>
  </si>
  <si>
    <t>T22032</t>
  </si>
  <si>
    <t>Infill Lejligheder på Langelinie 8-12 i Vejle</t>
  </si>
  <si>
    <t>Dyg Invest</t>
  </si>
  <si>
    <t>Q4, 2023</t>
  </si>
  <si>
    <t>Q3,2024</t>
  </si>
  <si>
    <t>T22033</t>
  </si>
  <si>
    <t>Demensplejehjem Erik arkitekts</t>
  </si>
  <si>
    <t>CAPI</t>
  </si>
  <si>
    <t>T22034</t>
  </si>
  <si>
    <t>Nrep Fiona JLUN</t>
  </si>
  <si>
    <t>T22035</t>
  </si>
  <si>
    <t>Børnegården RD</t>
  </si>
  <si>
    <t>T22036</t>
  </si>
  <si>
    <t>Boligselskabet Fyn Svendborgvej 8, 5853 Ørbæk Tilstandsvurdering</t>
  </si>
  <si>
    <t>T22037</t>
  </si>
  <si>
    <t>Stærkassen PQ_Mikkelsen</t>
  </si>
  <si>
    <t>capi</t>
  </si>
  <si>
    <t>T22038</t>
  </si>
  <si>
    <t>Cykelsti ved Glamsbjerg</t>
  </si>
  <si>
    <t>TBU</t>
  </si>
  <si>
    <t>T22039</t>
  </si>
  <si>
    <t>Ressourceperson FMK</t>
  </si>
  <si>
    <t>T22040</t>
  </si>
  <si>
    <t>Niels Benzens Vej 7</t>
  </si>
  <si>
    <t>T22041</t>
  </si>
  <si>
    <t>Coop 365 storegade</t>
  </si>
  <si>
    <t>T22042</t>
  </si>
  <si>
    <t>Dryport Aarslev hovedprojekt</t>
  </si>
  <si>
    <t>VIO</t>
  </si>
  <si>
    <t>Odense Havn</t>
  </si>
  <si>
    <t>T22043</t>
  </si>
  <si>
    <t>Plushusune</t>
  </si>
  <si>
    <t>T22044</t>
  </si>
  <si>
    <t>Glumsø Slagteri  bedøverhal JEG</t>
  </si>
  <si>
    <t>T22045</t>
  </si>
  <si>
    <t>EM Esbjerg Kommune 2023</t>
  </si>
  <si>
    <t>T22046</t>
  </si>
  <si>
    <t>Novicell Ombygning</t>
  </si>
  <si>
    <t>Tæt på kontrahering</t>
  </si>
  <si>
    <t>T22047</t>
  </si>
  <si>
    <t>Sommerhus i Ebeltoft</t>
  </si>
  <si>
    <t>T22048</t>
  </si>
  <si>
    <t>Sønderpark Granskning af udbudsprojekt</t>
  </si>
  <si>
    <t>T22049</t>
  </si>
  <si>
    <t>Byggemodning Haslev</t>
  </si>
  <si>
    <t>T22050</t>
  </si>
  <si>
    <t>Bryggens Bastion</t>
  </si>
  <si>
    <t>T22051</t>
  </si>
  <si>
    <t>Plushusene Hvidovre EK</t>
  </si>
  <si>
    <t>T22052</t>
  </si>
  <si>
    <t>Plushusene Toftehøj EK</t>
  </si>
  <si>
    <t>T22053</t>
  </si>
  <si>
    <t>Plushusene Farvholm EK</t>
  </si>
  <si>
    <t>T22054</t>
  </si>
  <si>
    <t>Boksbutikker 2022 CT</t>
  </si>
  <si>
    <t>T22055</t>
  </si>
  <si>
    <t>Buchwaldsvej TBU</t>
  </si>
  <si>
    <t>Østre Skole Middelfart JRS</t>
  </si>
  <si>
    <t>JRS</t>
  </si>
  <si>
    <t>T22056</t>
  </si>
  <si>
    <t>Sømandsmissionen Aasiaat</t>
  </si>
  <si>
    <t>JG</t>
  </si>
  <si>
    <t>T22057</t>
  </si>
  <si>
    <t>Civica afd 407</t>
  </si>
  <si>
    <t>HKJ</t>
  </si>
  <si>
    <t>T22058</t>
  </si>
  <si>
    <t>Cannabis</t>
  </si>
  <si>
    <t>BRW</t>
  </si>
  <si>
    <t>Orenda / Livfree / CoGrow</t>
  </si>
  <si>
    <t>Nov. 2022 Kunden har sat projektet på 'Hold'</t>
  </si>
  <si>
    <t>T22059</t>
  </si>
  <si>
    <t>EM Gaskonverteringer</t>
  </si>
  <si>
    <t>T22060</t>
  </si>
  <si>
    <t>Odense Inderhavn parallelopdrag KRH</t>
  </si>
  <si>
    <t>Entasis</t>
  </si>
  <si>
    <t>GEO</t>
  </si>
  <si>
    <t>Anlæg</t>
  </si>
  <si>
    <t>q3 2022</t>
  </si>
  <si>
    <t>T22061</t>
  </si>
  <si>
    <t>Inter Terminals</t>
  </si>
  <si>
    <t>CS</t>
  </si>
  <si>
    <t>T22062</t>
  </si>
  <si>
    <t>Om- og tilbygning af Sofiendalskolen, Aalborg</t>
  </si>
  <si>
    <t>T22063</t>
  </si>
  <si>
    <t>Gyrstinge skovkro _capi</t>
  </si>
  <si>
    <t>T22064</t>
  </si>
  <si>
    <t xml:space="preserve">Boliger ved Syvmosekilen </t>
  </si>
  <si>
    <t>T22065</t>
  </si>
  <si>
    <t>Odense Renovation -TBU</t>
  </si>
  <si>
    <t>T22066</t>
  </si>
  <si>
    <t>Aldi Tårnby</t>
  </si>
  <si>
    <t>T22067</t>
  </si>
  <si>
    <t>Simmerstedvej 206A, 6100 Haderslev Tilbygning</t>
  </si>
  <si>
    <t>Sag igangsat</t>
  </si>
  <si>
    <t>T22068</t>
  </si>
  <si>
    <t>Odense Kommune Rammeaftale Børnehuse</t>
  </si>
  <si>
    <t>Odense</t>
  </si>
  <si>
    <t>JJW GRAA Odense Kommune</t>
  </si>
  <si>
    <t>Dynamisk indkøb Odense Kommune Børnehuse</t>
  </si>
  <si>
    <t>T22069</t>
  </si>
  <si>
    <t>Vestre Stationsvej 36 JLUN</t>
  </si>
  <si>
    <t>T22070</t>
  </si>
  <si>
    <t>OMT Adelaide malerhal HKJ</t>
  </si>
  <si>
    <t>T22071</t>
  </si>
  <si>
    <t>OMT Davie budgetoptimering</t>
  </si>
  <si>
    <t>T22072</t>
  </si>
  <si>
    <t>NREP IT Grunden 1 års</t>
  </si>
  <si>
    <t>AYM</t>
  </si>
  <si>
    <t>1 års-gennemgang</t>
  </si>
  <si>
    <t>T22073</t>
  </si>
  <si>
    <t>NREP Siljangade 1 års</t>
  </si>
  <si>
    <t>T22074</t>
  </si>
  <si>
    <t>NREP Tingbjerg BHR</t>
  </si>
  <si>
    <t>Bygherrerådgivning</t>
  </si>
  <si>
    <t>T22075</t>
  </si>
  <si>
    <t>Tankefuld I Svendborg JLUN</t>
  </si>
  <si>
    <t>DBB</t>
  </si>
  <si>
    <t>Frost Larsen</t>
  </si>
  <si>
    <t>Wad</t>
  </si>
  <si>
    <t>ældreboliger</t>
  </si>
  <si>
    <t>q3 22</t>
  </si>
  <si>
    <t>T22076</t>
  </si>
  <si>
    <t>Middelfart Østre Skole</t>
  </si>
  <si>
    <t>T22078</t>
  </si>
  <si>
    <t>KFP 1 års gennemgang</t>
  </si>
  <si>
    <t>JVA</t>
  </si>
  <si>
    <t>T22079</t>
  </si>
  <si>
    <t>Brygges Bastion CASA JEG</t>
  </si>
  <si>
    <t>T22080</t>
  </si>
  <si>
    <t>2 parkeringspladser</t>
  </si>
  <si>
    <t>JAFN</t>
  </si>
  <si>
    <t>T22081</t>
  </si>
  <si>
    <t>Cykelsti Hestehavevej</t>
  </si>
  <si>
    <t>T22082</t>
  </si>
  <si>
    <t>Dansk Boligkontor Rønne plejeboliger</t>
  </si>
  <si>
    <t>T22083</t>
  </si>
  <si>
    <t>Bygherrerådgivning Herlev Rammeaftale om rådgivning</t>
  </si>
  <si>
    <t>T22084</t>
  </si>
  <si>
    <t>Løvgade 7 Slagelse  JEG</t>
  </si>
  <si>
    <t>T22085</t>
  </si>
  <si>
    <t>Kryds i Verninge</t>
  </si>
  <si>
    <t>T22086</t>
  </si>
  <si>
    <t>Klimapark baltor_Ballerup_capi</t>
  </si>
  <si>
    <t>Berg Arkitektur</t>
  </si>
  <si>
    <t>LAR og klimaprojekt</t>
  </si>
  <si>
    <t xml:space="preserve">Berg Arkitektur er leead </t>
  </si>
  <si>
    <t>3 juni PQ</t>
  </si>
  <si>
    <t>T22087</t>
  </si>
  <si>
    <t>Interacoustics Middelfart JLUN</t>
  </si>
  <si>
    <t>MICH</t>
  </si>
  <si>
    <t>T22088</t>
  </si>
  <si>
    <t>Herlev rammeaftale bygherrerådgivning</t>
  </si>
  <si>
    <t xml:space="preserve">HS Arkitekter </t>
  </si>
  <si>
    <t>Honorar 3-6 mio pr år 4 årlig rammeaftale</t>
  </si>
  <si>
    <t>21 juni PQ</t>
  </si>
  <si>
    <t>T22089</t>
  </si>
  <si>
    <t>Heimstaden 1 års gennemgang i Børkop</t>
  </si>
  <si>
    <t>T22090</t>
  </si>
  <si>
    <t>Dalum papir rækkehuse</t>
  </si>
  <si>
    <t>HKR</t>
  </si>
  <si>
    <t>T22091</t>
  </si>
  <si>
    <t>Tilstandsvurdering SlotssøBadet</t>
  </si>
  <si>
    <t>T22092</t>
  </si>
  <si>
    <t>TDD Project Dantree</t>
  </si>
  <si>
    <t>T22093</t>
  </si>
  <si>
    <t>Udvidelse af p-plads og etablering af toiletbygning ved Blåvandshuk Fyr -TBU</t>
  </si>
  <si>
    <t>T22094</t>
  </si>
  <si>
    <t>Teknisk rådgivning og bistand, Odense Havn JLUN</t>
  </si>
  <si>
    <t>Rammeaftale</t>
  </si>
  <si>
    <t>T22095</t>
  </si>
  <si>
    <t>Boliger på Grejsdalsvej i Vejle</t>
  </si>
  <si>
    <t>BRP-SD</t>
  </si>
  <si>
    <t>Droppet</t>
  </si>
  <si>
    <t>T22096</t>
  </si>
  <si>
    <t>PORT HOUSE II Fredericia havn JLUN</t>
  </si>
  <si>
    <t>T22097</t>
  </si>
  <si>
    <t>Admiral Hotel JLUN</t>
  </si>
  <si>
    <t>T22098</t>
  </si>
  <si>
    <t>OPC Ejendomme Tilbygning Ellehammersvej 6A</t>
  </si>
  <si>
    <t>T22099</t>
  </si>
  <si>
    <t>BBBO Byghrådg, Boliger</t>
  </si>
  <si>
    <t>T22100</t>
  </si>
  <si>
    <t xml:space="preserve">Cykelstier Nyborg Kommune </t>
  </si>
  <si>
    <t>T22101</t>
  </si>
  <si>
    <t>Lilletoften haveforening</t>
  </si>
  <si>
    <t>T22102</t>
  </si>
  <si>
    <t>APM Fonden for Fjord og Bælt</t>
  </si>
  <si>
    <t>APM fonden og F og B</t>
  </si>
  <si>
    <t>Fjord og Bælt Kerteminde</t>
  </si>
  <si>
    <t>Q2-2024</t>
  </si>
  <si>
    <t>Q2-2025</t>
  </si>
  <si>
    <t>hold med Praksis ark</t>
  </si>
  <si>
    <t>50 mio</t>
  </si>
  <si>
    <t>T22103</t>
  </si>
  <si>
    <t>STARK Vejle ny lagerhal</t>
  </si>
  <si>
    <t>TB</t>
  </si>
  <si>
    <t>T22104</t>
  </si>
  <si>
    <t>Chr Havns Bibliotek</t>
  </si>
  <si>
    <t>T22105</t>
  </si>
  <si>
    <t>Varde kommune, parkering ved Blåvandshuk fyr</t>
  </si>
  <si>
    <t>Varde Kommune</t>
  </si>
  <si>
    <t>Vardel kommune</t>
  </si>
  <si>
    <t>Q1-2026</t>
  </si>
  <si>
    <t>Q4-2026</t>
  </si>
  <si>
    <t>Pågår</t>
  </si>
  <si>
    <t>T22106</t>
  </si>
  <si>
    <t>Ny genbrugsplads Vissenbjerg</t>
  </si>
  <si>
    <t>T22107</t>
  </si>
  <si>
    <t>Scan-Shipping Odense</t>
  </si>
  <si>
    <t>T22108</t>
  </si>
  <si>
    <t>Hotel Julsø</t>
  </si>
  <si>
    <t xml:space="preserve">Ikke aktuel længer </t>
  </si>
  <si>
    <t>T22109</t>
  </si>
  <si>
    <t>Spandet Gl. Skole Esbjerg Kommune Brand</t>
  </si>
  <si>
    <t>SD-MLP</t>
  </si>
  <si>
    <t>T22110</t>
  </si>
  <si>
    <t>BBBO Gellerupparken Bygherrerådgivning</t>
  </si>
  <si>
    <t>T22111</t>
  </si>
  <si>
    <t>Søren Østergaard 16 Rækkehuse Brammning</t>
  </si>
  <si>
    <t>SD</t>
  </si>
  <si>
    <t>T22112</t>
  </si>
  <si>
    <t>Holbæk Sygehus Vaskeri</t>
  </si>
  <si>
    <t>JEG_BRW</t>
  </si>
  <si>
    <t>Vi valgte at trække os fra tilbuddet, da vederlagtet for deltagelse i konkurrencen sllet ikke stod mål med det der skulle leveres i konkurrencen.</t>
  </si>
  <si>
    <t>Morten C. Henriksen</t>
  </si>
  <si>
    <t>NORDIC</t>
  </si>
  <si>
    <t>Sundhed</t>
  </si>
  <si>
    <t>september</t>
  </si>
  <si>
    <t>T22113</t>
  </si>
  <si>
    <t>NN HI 25A Udskiftning af porte</t>
  </si>
  <si>
    <t>T22114</t>
  </si>
  <si>
    <t>SF Management Jernbanegade</t>
  </si>
  <si>
    <t>EK</t>
  </si>
  <si>
    <t>T22115</t>
  </si>
  <si>
    <t>Tornhuset Tommerup</t>
  </si>
  <si>
    <t>T22116</t>
  </si>
  <si>
    <t>Coop365 Silkeborg CT</t>
  </si>
  <si>
    <t>T22117</t>
  </si>
  <si>
    <t>Plejecenter Rygårdcentret _ Gentofte Kommune_CAPI</t>
  </si>
  <si>
    <t>T22118</t>
  </si>
  <si>
    <t>Båring Skole</t>
  </si>
  <si>
    <t>T22119</t>
  </si>
  <si>
    <t>Schou i Kolding</t>
  </si>
  <si>
    <t>Droppet af entrep.</t>
  </si>
  <si>
    <t>Aarsleff</t>
  </si>
  <si>
    <t>GPP</t>
  </si>
  <si>
    <t>Kontor &amp; Lagerrum</t>
  </si>
  <si>
    <t>2022-Q3</t>
  </si>
  <si>
    <t>Droppet af Aarsleff</t>
  </si>
  <si>
    <t>T22120</t>
  </si>
  <si>
    <t>Kystbeskyttelse ved Færgevej</t>
  </si>
  <si>
    <t>T22121</t>
  </si>
  <si>
    <t>TE Plejebol</t>
  </si>
  <si>
    <t>T22122</t>
  </si>
  <si>
    <t>PHK_BRW</t>
  </si>
  <si>
    <t>PHK</t>
  </si>
  <si>
    <t>RH Ark.</t>
  </si>
  <si>
    <t>T22123</t>
  </si>
  <si>
    <t>NN HI 25A Pavilloner</t>
  </si>
  <si>
    <t>T22124</t>
  </si>
  <si>
    <t>3PK Sweco</t>
  </si>
  <si>
    <t>T22125</t>
  </si>
  <si>
    <t>Hobro Kultur og Rådhus</t>
  </si>
  <si>
    <t>COBE</t>
  </si>
  <si>
    <t>Kultur og kontor</t>
  </si>
  <si>
    <t>Q3 2024</t>
  </si>
  <si>
    <t>MICH har lavet aftalen med COBE</t>
  </si>
  <si>
    <t>T22126</t>
  </si>
  <si>
    <t>Ny medieby i Odense (TV2)</t>
  </si>
  <si>
    <t>Ikke aktuel længer JLUN</t>
  </si>
  <si>
    <t>T22127</t>
  </si>
  <si>
    <t>Bygma med Fjord JLUN</t>
  </si>
  <si>
    <t>T22128</t>
  </si>
  <si>
    <t>Midtjysk Friluftsbad - Tilstandsvurdering</t>
  </si>
  <si>
    <t>Q3, 2025</t>
  </si>
  <si>
    <t>De er vendt tilbage - og der er et potentiale</t>
  </si>
  <si>
    <t>T22129</t>
  </si>
  <si>
    <t>Altaner Jørgen Eriksen</t>
  </si>
  <si>
    <t>T22130</t>
  </si>
  <si>
    <t>Grævlingevænget 1, 5466 Asperup Teknisk gennemgang</t>
  </si>
  <si>
    <t>T22131</t>
  </si>
  <si>
    <t>Vingsted Hotel og Konferencecenter</t>
  </si>
  <si>
    <t>KNE</t>
  </si>
  <si>
    <t>T22132</t>
  </si>
  <si>
    <t>Produktion-og administrations faciliteter for Ester &amp; Erik</t>
  </si>
  <si>
    <t>BRP-LLN</t>
  </si>
  <si>
    <t>T22133</t>
  </si>
  <si>
    <t>Flæsketorvet 41</t>
  </si>
  <si>
    <t>T22134</t>
  </si>
  <si>
    <t>Oluf Bagers Gade 33</t>
  </si>
  <si>
    <t>T22135</t>
  </si>
  <si>
    <t>Midtager 33</t>
  </si>
  <si>
    <t>T22136</t>
  </si>
  <si>
    <t>Coop365 Birkerød CT</t>
  </si>
  <si>
    <t>T22138</t>
  </si>
  <si>
    <t>Lykkesholm Allé 8</t>
  </si>
  <si>
    <t>DVM</t>
  </si>
  <si>
    <t>T22139</t>
  </si>
  <si>
    <t>Fjeldsted Harndrup Skole BRP_JRS</t>
  </si>
  <si>
    <t>T22140</t>
  </si>
  <si>
    <t>Cykelsti mellem Vissenbjerg og Tommerup st.</t>
  </si>
  <si>
    <t>T22141</t>
  </si>
  <si>
    <t>Daginstitution Hedensted jlun</t>
  </si>
  <si>
    <t>CJ anlæg</t>
  </si>
  <si>
    <t> </t>
  </si>
  <si>
    <t>T22142</t>
  </si>
  <si>
    <t>Tagkonstruktion med solceller CT</t>
  </si>
  <si>
    <t>T22143</t>
  </si>
  <si>
    <t>NN bygning 25A Sikring</t>
  </si>
  <si>
    <t>T22144</t>
  </si>
  <si>
    <t>CP, nyt domicil, Middelfart</t>
  </si>
  <si>
    <t>CP A/S</t>
  </si>
  <si>
    <t>Q2-2022</t>
  </si>
  <si>
    <t>Q3-2024</t>
  </si>
  <si>
    <t>T22145</t>
  </si>
  <si>
    <t>Fields structural assesment</t>
  </si>
  <si>
    <t>T22146</t>
  </si>
  <si>
    <t>AO Århus</t>
  </si>
  <si>
    <t>T22147</t>
  </si>
  <si>
    <t>NN KA Spine</t>
  </si>
  <si>
    <t>BRW-KSR</t>
  </si>
  <si>
    <t>Novo Nordisk</t>
  </si>
  <si>
    <t>Sweco</t>
  </si>
  <si>
    <t>Er i gang / vundet</t>
  </si>
  <si>
    <t>T22148</t>
  </si>
  <si>
    <t>KTE for Haldor Topsøe JLUN</t>
  </si>
  <si>
    <t>Udgår</t>
  </si>
  <si>
    <t>T22149</t>
  </si>
  <si>
    <t>Kerteminde Sejlklub</t>
  </si>
  <si>
    <t>T22150</t>
  </si>
  <si>
    <t>Klingenberg 15C 2.TV</t>
  </si>
  <si>
    <t>T22151</t>
  </si>
  <si>
    <t>Valcon tårnfabrik</t>
  </si>
  <si>
    <t>Er i resplan</t>
  </si>
  <si>
    <t>T22152</t>
  </si>
  <si>
    <t>Eurobulk og Fairtrans Afslutnng</t>
  </si>
  <si>
    <t>Afevnter BH på Eurobulk</t>
  </si>
  <si>
    <t>T22153</t>
  </si>
  <si>
    <t>Heimstaden Tirsbæk Bakker del 1</t>
  </si>
  <si>
    <t>Heimstaden</t>
  </si>
  <si>
    <t>Kontraheret</t>
  </si>
  <si>
    <t>T22154</t>
  </si>
  <si>
    <t>Spabygning v. Broløkke Herregård</t>
  </si>
  <si>
    <t>Broløkke Herregård</t>
  </si>
  <si>
    <t>Accom Byg</t>
  </si>
  <si>
    <t>Q3, 2024</t>
  </si>
  <si>
    <t>Afventer bygherre</t>
  </si>
  <si>
    <t>1.000 m2</t>
  </si>
  <si>
    <t>T22155</t>
  </si>
  <si>
    <t>Juelsminde overbygning på boliger</t>
  </si>
  <si>
    <t>Er ændret til sag</t>
  </si>
  <si>
    <t>T22156</t>
  </si>
  <si>
    <t>Vikingeskibsmuseum Roskilde JLUN</t>
  </si>
  <si>
    <t>T22157</t>
  </si>
  <si>
    <t>Etageboliger KG8 Nørresundby</t>
  </si>
  <si>
    <t>T22158</t>
  </si>
  <si>
    <t>Etageboliger DG17 Nørresundby</t>
  </si>
  <si>
    <t>T22159</t>
  </si>
  <si>
    <t>Sofie Ballinger Bretteville Plum</t>
  </si>
  <si>
    <t>JLUN ?</t>
  </si>
  <si>
    <t>Hededanmark ass til dige _ TBU</t>
  </si>
  <si>
    <t>T22160</t>
  </si>
  <si>
    <t>International kolegium</t>
  </si>
  <si>
    <t>T22161</t>
  </si>
  <si>
    <t xml:space="preserve">Solsikken bygden 1 </t>
  </si>
  <si>
    <t>T22162</t>
  </si>
  <si>
    <t>Kløvertoften 20, Mariager Tilbygning</t>
  </si>
  <si>
    <t>T22163</t>
  </si>
  <si>
    <t>Energioptimering Islandsvej 7, Vejle</t>
  </si>
  <si>
    <t>Afgøres jan 23</t>
  </si>
  <si>
    <t>T22164</t>
  </si>
  <si>
    <t>TDD Lyngbystationscenter NREP AYM</t>
  </si>
  <si>
    <t>AYN</t>
  </si>
  <si>
    <t>T22165</t>
  </si>
  <si>
    <t>TDD Veri Center Risskov NREP AYM</t>
  </si>
  <si>
    <t>T22166</t>
  </si>
  <si>
    <t>Pressalit Ry</t>
  </si>
  <si>
    <t>?</t>
  </si>
  <si>
    <t>T22167</t>
  </si>
  <si>
    <t>Stoholm Skole Viborg Konk.</t>
  </si>
  <si>
    <t>Ikke PQ</t>
  </si>
  <si>
    <t>T22168</t>
  </si>
  <si>
    <t>Aarhus komm - Toveshøj</t>
  </si>
  <si>
    <t>T22169</t>
  </si>
  <si>
    <t>er nr 177 udgår her på nr.  KRONEN i Vanløse</t>
  </si>
  <si>
    <t>BRP-KSR</t>
  </si>
  <si>
    <t>T22170</t>
  </si>
  <si>
    <t>Glostrup Svømmehal -Renovering af stål</t>
  </si>
  <si>
    <t>Glostrup Kommune</t>
  </si>
  <si>
    <t>Q1, 2023</t>
  </si>
  <si>
    <t>Q3, 2023</t>
  </si>
  <si>
    <t>Møde den 08.12.22</t>
  </si>
  <si>
    <t>T22171</t>
  </si>
  <si>
    <t>Boliger i Hasselager BBBO TE</t>
  </si>
  <si>
    <t>Forventer udbud Q2 2023</t>
  </si>
  <si>
    <t>T22172</t>
  </si>
  <si>
    <t>Skanderborg Svømmehal</t>
  </si>
  <si>
    <t>EMR A/S</t>
  </si>
  <si>
    <t>Q4, 2025</t>
  </si>
  <si>
    <t>Svar i uge 26</t>
  </si>
  <si>
    <t>TI</t>
  </si>
  <si>
    <t>Udbud kommer i 2023?</t>
  </si>
  <si>
    <t>T22173</t>
  </si>
  <si>
    <t>Fredericia Svømmehal</t>
  </si>
  <si>
    <t>Fredericia Kommune</t>
  </si>
  <si>
    <t>Q2, 2023</t>
  </si>
  <si>
    <t>T22174</t>
  </si>
  <si>
    <t>Børnehus Sejlgården i Funder ved Silkeborg ca 2500 m2</t>
  </si>
  <si>
    <t>Silkeborg Kommune</t>
  </si>
  <si>
    <t>WILS A/S</t>
  </si>
  <si>
    <t>T22175</t>
  </si>
  <si>
    <t>Børnehave Buskelundtoften i Silkeborg ca 1500 m2</t>
  </si>
  <si>
    <t>T22176</t>
  </si>
  <si>
    <t>Slamafvanding esbjerg</t>
  </si>
  <si>
    <t>CE mærkning til TH</t>
  </si>
  <si>
    <t>T22177</t>
  </si>
  <si>
    <t>Kronen</t>
  </si>
  <si>
    <t>T22178</t>
  </si>
  <si>
    <t>NN HAC Roofhouse extention</t>
  </si>
  <si>
    <t>T22179</t>
  </si>
  <si>
    <t>Sophieholmen med Sivager</t>
  </si>
  <si>
    <t>Claus sivager</t>
  </si>
  <si>
    <t>T22180</t>
  </si>
  <si>
    <t>Scantox</t>
  </si>
  <si>
    <t>RH Ark</t>
  </si>
  <si>
    <t>Tilbud afgives 2023-05-12 kun på CD / Disp. Fase</t>
  </si>
  <si>
    <t>T22181</t>
  </si>
  <si>
    <t>DSM</t>
  </si>
  <si>
    <t>T22182</t>
  </si>
  <si>
    <t>Lindø Dok 3</t>
  </si>
  <si>
    <t>TMP</t>
  </si>
  <si>
    <t>T22183</t>
  </si>
  <si>
    <t>Great Norton</t>
  </si>
  <si>
    <t>T22184</t>
  </si>
  <si>
    <t>Bygningsstyrelsen, Delaftale 3 - Rammeaftale om totalrådgivning Jylland</t>
  </si>
  <si>
    <t>Bygningsstyrelsen</t>
  </si>
  <si>
    <t>Er udgået</t>
  </si>
  <si>
    <t>Kjær Richter</t>
  </si>
  <si>
    <t>Totalrådgivning</t>
  </si>
  <si>
    <t>D. 10/11-22 skrev JLUN til Peter Sande K&amp;R at vi trak os</t>
  </si>
  <si>
    <t>T22185</t>
  </si>
  <si>
    <t>Plushusene Hvidovre</t>
  </si>
  <si>
    <t>OCT</t>
  </si>
  <si>
    <t>Plushene 9 ApS</t>
  </si>
  <si>
    <t>Plushusene/NREP</t>
  </si>
  <si>
    <t>Q1-2024</t>
  </si>
  <si>
    <t>Q3-2026</t>
  </si>
  <si>
    <t>224 boliger</t>
  </si>
  <si>
    <t>T22186</t>
  </si>
  <si>
    <t xml:space="preserve">Levantkaj </t>
  </si>
  <si>
    <t>Københavns Kommune</t>
  </si>
  <si>
    <t>Dalhl og lindhart og Skala architecture</t>
  </si>
  <si>
    <t xml:space="preserve"> Wissenberg/vITA</t>
  </si>
  <si>
    <t>Ark konkurance</t>
  </si>
  <si>
    <t>Q4 2022 - 01/2023</t>
  </si>
  <si>
    <t>Afventer PQ 8/11 (JLUN)</t>
  </si>
  <si>
    <t>11.11.2022</t>
  </si>
  <si>
    <t>T22187</t>
  </si>
  <si>
    <t>Bankdata Lisbjerg med KT erhverv</t>
  </si>
  <si>
    <t>TE med KT erhvervsbyg</t>
  </si>
  <si>
    <t>KT erhvervsbyg</t>
  </si>
  <si>
    <t>CUBO</t>
  </si>
  <si>
    <t>TE</t>
  </si>
  <si>
    <t>Afventer møde med KT erhverv</t>
  </si>
  <si>
    <t>T22188</t>
  </si>
  <si>
    <t>Sundhedshuset Rungsted</t>
  </si>
  <si>
    <t>Mengel ejendomme</t>
  </si>
  <si>
    <t>T22189</t>
  </si>
  <si>
    <t>Kjærbygaard matrikel nr. 13e, Åsum by</t>
  </si>
  <si>
    <t>Kjærbygaard</t>
  </si>
  <si>
    <t>T22199</t>
  </si>
  <si>
    <t>Nærhospitaler konkurance DK</t>
  </si>
  <si>
    <t>Regioner</t>
  </si>
  <si>
    <t>Q4-2024</t>
  </si>
  <si>
    <t>PQ og konkurance med Michael Brunbjerg TMP assist</t>
  </si>
  <si>
    <t>T22200</t>
  </si>
  <si>
    <t>Børnehus 3 børnehuse</t>
  </si>
  <si>
    <t>OD kommune</t>
  </si>
  <si>
    <t>dynamisk indkøbs aftale Grå og JJW</t>
  </si>
  <si>
    <t>T22201</t>
  </si>
  <si>
    <t>Assens forsyning</t>
  </si>
  <si>
    <t>Assens Forsyning</t>
  </si>
  <si>
    <t>samme</t>
  </si>
  <si>
    <t>Q4-2023</t>
  </si>
  <si>
    <t>T22202</t>
  </si>
  <si>
    <t>Ombygning og renovering af Mariager Skole</t>
  </si>
  <si>
    <t>Mariagerfjord Kommune</t>
  </si>
  <si>
    <t>Har afl PQ 12 dec 22</t>
  </si>
  <si>
    <t>40 mio</t>
  </si>
  <si>
    <t>Ingen samarbejdspartner valgt</t>
  </si>
  <si>
    <t>Q4/2022</t>
  </si>
  <si>
    <t>GPP er lead + forudsættes at tage byggeledelse</t>
  </si>
  <si>
    <t>12.12.2022</t>
  </si>
  <si>
    <t>T22203</t>
  </si>
  <si>
    <t>NY- og ombygning kantine BioGen Hillerød</t>
  </si>
  <si>
    <t>BioGen</t>
  </si>
  <si>
    <t>Er i resplan med projekt nr. 222701</t>
  </si>
  <si>
    <t>T22204</t>
  </si>
  <si>
    <t>Hededanmark samar aftale</t>
  </si>
  <si>
    <t>HedeDanmark</t>
  </si>
  <si>
    <t>for møde med TBU /JEG og bygherre i nov 22</t>
  </si>
  <si>
    <t>T22205</t>
  </si>
  <si>
    <t>3PK Gellerup Ny Skole</t>
  </si>
  <si>
    <t>MTH</t>
  </si>
  <si>
    <t>Afventer tvist p Dalum Papir</t>
  </si>
  <si>
    <t>T22206</t>
  </si>
  <si>
    <t>Fabriksvej 14, Nørre Aaby</t>
  </si>
  <si>
    <t xml:space="preserve">Vestfyns El-anlæg </t>
  </si>
  <si>
    <t>Trimmet Tegnestue</t>
  </si>
  <si>
    <t>Erhvervsbygning under 1000 m2</t>
  </si>
  <si>
    <t>1 mio</t>
  </si>
  <si>
    <t>T22207</t>
  </si>
  <si>
    <t>Carlsberg Byen sammelægning af lejemål</t>
  </si>
  <si>
    <t>Carlsberg Byen</t>
  </si>
  <si>
    <t>Sammenlægning af lejemål igennem stab vægge i højhus !</t>
  </si>
  <si>
    <t>T22208</t>
  </si>
  <si>
    <t>SOSU Bålplads</t>
  </si>
  <si>
    <t>Social og sundhedsskolen i Odense</t>
  </si>
  <si>
    <t>T22209</t>
  </si>
  <si>
    <t>Vasevej 119-121</t>
  </si>
  <si>
    <t>Agat</t>
  </si>
  <si>
    <t>CC Projektudvikling</t>
  </si>
  <si>
    <t>negativ, for dyrt</t>
  </si>
  <si>
    <t>T22210</t>
  </si>
  <si>
    <t>Højmarken - hovedprojekt lagerplads</t>
  </si>
  <si>
    <t>H+H</t>
  </si>
  <si>
    <t>T22211</t>
  </si>
  <si>
    <t xml:space="preserve">Ny Genbrugsplads Holkenbjergvej </t>
  </si>
  <si>
    <t xml:space="preserve">Odense Renovation </t>
  </si>
  <si>
    <t>T22212</t>
  </si>
  <si>
    <t>Cykelsti Hestehaven etape II</t>
  </si>
  <si>
    <t>USH</t>
  </si>
  <si>
    <t>Odense Kommune</t>
  </si>
  <si>
    <t>T22213</t>
  </si>
  <si>
    <t>Gørløse Regnvandshåndtering</t>
  </si>
  <si>
    <t>Estate 1927</t>
  </si>
  <si>
    <t>Geopartner</t>
  </si>
  <si>
    <t xml:space="preserve">Tildelt </t>
  </si>
  <si>
    <t>T22214</t>
  </si>
  <si>
    <t>Dragør Badehotel</t>
  </si>
  <si>
    <t>x</t>
  </si>
  <si>
    <t xml:space="preserve">Rasmus Friis </t>
  </si>
  <si>
    <t>Konkurrence</t>
  </si>
  <si>
    <t>T22215</t>
  </si>
  <si>
    <t>Everenden</t>
  </si>
  <si>
    <t>JK byg</t>
  </si>
  <si>
    <t>T22216</t>
  </si>
  <si>
    <t>Slettet jlun dobbelt nr det er T22102  der er rigtig</t>
  </si>
  <si>
    <t>jlun</t>
  </si>
  <si>
    <t>22 mio</t>
  </si>
  <si>
    <t>T22217</t>
  </si>
  <si>
    <t xml:space="preserve">Kroghsgade Skole - Ombygning </t>
  </si>
  <si>
    <t>Aarhus Kommune</t>
  </si>
  <si>
    <t>Hold med Kjær &amp; Richter</t>
  </si>
  <si>
    <t>Kjær &amp; Richter</t>
  </si>
  <si>
    <t>Q1/2023</t>
  </si>
  <si>
    <t>Kjær &amp; Richter forudsættes af være toralrådgiver + tager byggeledelsen</t>
  </si>
  <si>
    <t>03.01.2023</t>
  </si>
  <si>
    <t>T22218</t>
  </si>
  <si>
    <t>T22219</t>
  </si>
  <si>
    <t>Park på Vestre Stationsvej</t>
  </si>
  <si>
    <t>L+</t>
  </si>
  <si>
    <t xml:space="preserve">Der blev ikke brug for VITA </t>
  </si>
  <si>
    <t>1200 m2</t>
  </si>
  <si>
    <t>T22220</t>
  </si>
  <si>
    <t>Netto Hjerting</t>
  </si>
  <si>
    <t>T22221</t>
  </si>
  <si>
    <t>Savills - 1 sals projekt</t>
  </si>
  <si>
    <t>NCL</t>
  </si>
  <si>
    <t>PRO2 PROPCO</t>
  </si>
  <si>
    <t>Savills IM</t>
  </si>
  <si>
    <t>1000m2</t>
  </si>
  <si>
    <t xml:space="preserve">Ja </t>
  </si>
  <si>
    <t>T23001</t>
  </si>
  <si>
    <t>Dyrenes Sagnland</t>
  </si>
  <si>
    <t>Sagnlandet Lejre</t>
  </si>
  <si>
    <t xml:space="preserve">WOHLERT Arkitekter </t>
  </si>
  <si>
    <t>T23002</t>
  </si>
  <si>
    <t>Flexhospital</t>
  </si>
  <si>
    <t>T23003</t>
  </si>
  <si>
    <t>Børnehave Vonsild</t>
  </si>
  <si>
    <t>MWK</t>
  </si>
  <si>
    <t>Kolding Kommune</t>
  </si>
  <si>
    <t>JLF (TE)</t>
  </si>
  <si>
    <t>T23004</t>
  </si>
  <si>
    <t>Ny skole og daginstitution i Ry skanderborg</t>
  </si>
  <si>
    <t>LJS</t>
  </si>
  <si>
    <t>Skanderborg Kommune</t>
  </si>
  <si>
    <t>Ommen</t>
  </si>
  <si>
    <t>FRIIS &amp; MOLTKE architects + Nøhr &amp; Sigsgaard</t>
  </si>
  <si>
    <t>landskab LYTT</t>
  </si>
  <si>
    <t>T23005</t>
  </si>
  <si>
    <t>4. maj Kollegiet Odense</t>
  </si>
  <si>
    <t>Hold dannet med ZENI (MWK 05-01-2023)</t>
  </si>
  <si>
    <t>ZENI</t>
  </si>
  <si>
    <t>T23006</t>
  </si>
  <si>
    <t>Byggemodning i Skive kommune</t>
  </si>
  <si>
    <t>Ejendomsselskabet Salling AS</t>
  </si>
  <si>
    <t xml:space="preserve">Envidan </t>
  </si>
  <si>
    <t xml:space="preserve">Er afsluttet </t>
  </si>
  <si>
    <t>T23007</t>
  </si>
  <si>
    <t>Cykelsti Odense Sdr.Blvd.og Fåborgv.</t>
  </si>
  <si>
    <t xml:space="preserve">Odense kommune </t>
  </si>
  <si>
    <t>T23008</t>
  </si>
  <si>
    <t>IRD_Eksist. MEA prod. Temp.+fugt</t>
  </si>
  <si>
    <t>IRD Fuel Cells</t>
  </si>
  <si>
    <t>MEA Temp + Fugt</t>
  </si>
  <si>
    <t>T23009</t>
  </si>
  <si>
    <t>Region Midt - Fogedvænget 23</t>
  </si>
  <si>
    <t xml:space="preserve">Region Midt  </t>
  </si>
  <si>
    <t>Region Midt</t>
  </si>
  <si>
    <t>Ombygning</t>
  </si>
  <si>
    <t>T23010</t>
  </si>
  <si>
    <t>AO - 2 butikker i Jylland 2023</t>
  </si>
  <si>
    <t>AO Invest A/S</t>
  </si>
  <si>
    <t>ATcon</t>
  </si>
  <si>
    <t>Nye AO/EA-butikker</t>
  </si>
  <si>
    <t>Atcon</t>
  </si>
  <si>
    <t>T23011</t>
  </si>
  <si>
    <t>TDD City Vest</t>
  </si>
  <si>
    <t xml:space="preserve">A. Enggaard A/S  </t>
  </si>
  <si>
    <t>A. Enggaard A/S</t>
  </si>
  <si>
    <t>TDD og gennemgang af City Vest</t>
  </si>
  <si>
    <t>T23012</t>
  </si>
  <si>
    <t>Dorthesvej-kvarteret</t>
  </si>
  <si>
    <t>DGNB-certificering af byområde</t>
  </si>
  <si>
    <t>Q2 2025</t>
  </si>
  <si>
    <t>T23013</t>
  </si>
  <si>
    <t>JJW</t>
  </si>
  <si>
    <t>JJW/Graaa</t>
  </si>
  <si>
    <t>T23014</t>
  </si>
  <si>
    <t>Lakajgården</t>
  </si>
  <si>
    <t>Forsvarsministeriet Ejendomsstyrelsen</t>
  </si>
  <si>
    <t>Julius Nielsen &amp; Søn A/S</t>
  </si>
  <si>
    <t>Midlertidig træningsfacilitet</t>
  </si>
  <si>
    <t>10000 m2</t>
  </si>
  <si>
    <t>T23015</t>
  </si>
  <si>
    <t>PU Stige</t>
  </si>
  <si>
    <t>-</t>
  </si>
  <si>
    <t xml:space="preserve">PU </t>
  </si>
  <si>
    <t>T23016</t>
  </si>
  <si>
    <t>Udearealer til 2 børnehuse</t>
  </si>
  <si>
    <t>31 mio kr</t>
  </si>
  <si>
    <t>T23017</t>
  </si>
  <si>
    <t>Stilling skole skanderborg daginstitution</t>
  </si>
  <si>
    <t>Hold med RUM ark - PQ</t>
  </si>
  <si>
    <t>Rum</t>
  </si>
  <si>
    <t>T23018</t>
  </si>
  <si>
    <t>Invitation til udbud - Totalentrepriseudbud - Danny Bøllingtoft</t>
  </si>
  <si>
    <t>Middelfart Kommune</t>
  </si>
  <si>
    <t>Vi sætter et totalentreprisehold</t>
  </si>
  <si>
    <t>T23019</t>
  </si>
  <si>
    <t>AO Esbjerg - Udvidelse af butik</t>
  </si>
  <si>
    <t>Atcon A/S</t>
  </si>
  <si>
    <t>Sagen bliver ikke til noget</t>
  </si>
  <si>
    <t>T23020</t>
  </si>
  <si>
    <t>Lagerhal Fynsvej Middelfart</t>
  </si>
  <si>
    <t>Egil Rasmussen A/S</t>
  </si>
  <si>
    <t>T23021</t>
  </si>
  <si>
    <t>Skæve boliger</t>
  </si>
  <si>
    <t>Jørgen Lund Frederiksen</t>
  </si>
  <si>
    <t>T23022</t>
  </si>
  <si>
    <t>Trapholt_Solceller</t>
  </si>
  <si>
    <t>Trapholt Kolding</t>
  </si>
  <si>
    <t>Tegnestuen Mejeriet</t>
  </si>
  <si>
    <t>Afventer BH</t>
  </si>
  <si>
    <t>T23023</t>
  </si>
  <si>
    <t>Oprettet forkert</t>
  </si>
  <si>
    <t>T23024</t>
  </si>
  <si>
    <t>Rudersdal Kommune</t>
  </si>
  <si>
    <t>Rammeaftale på mindre opgaver</t>
  </si>
  <si>
    <t>T23025</t>
  </si>
  <si>
    <t>Bladt Feasibility study</t>
  </si>
  <si>
    <t>DIS</t>
  </si>
  <si>
    <t>T23026</t>
  </si>
  <si>
    <t xml:space="preserve">Regnvand Greve landsby </t>
  </si>
  <si>
    <t>tbu</t>
  </si>
  <si>
    <t xml:space="preserve">Malene Billeskov </t>
  </si>
  <si>
    <t>T23027</t>
  </si>
  <si>
    <t>Nordfyns Svejser</t>
  </si>
  <si>
    <t>Karina Pedersen</t>
  </si>
  <si>
    <t>T23028</t>
  </si>
  <si>
    <t>Cortex Park II</t>
  </si>
  <si>
    <t>Freja Ejendomme A/S</t>
  </si>
  <si>
    <t>T23029</t>
  </si>
  <si>
    <t>Q2_2023</t>
  </si>
  <si>
    <t>Pause - manglende investorer</t>
  </si>
  <si>
    <t>T23030</t>
  </si>
  <si>
    <t>Cykelsti nordfyns kommune</t>
  </si>
  <si>
    <t>Nordfyns kommune</t>
  </si>
  <si>
    <t>T23031</t>
  </si>
  <si>
    <t>Vejprojekt i Rebild</t>
  </si>
  <si>
    <t>Søren Yde</t>
  </si>
  <si>
    <t>Afsluttet</t>
  </si>
  <si>
    <t>T23032</t>
  </si>
  <si>
    <t>Indtrængende vand i kælder</t>
  </si>
  <si>
    <t xml:space="preserve">Middelfart sparekasse </t>
  </si>
  <si>
    <t>Middelfart sparekasse</t>
  </si>
  <si>
    <t>T23033</t>
  </si>
  <si>
    <t>Kræftens Bekæmpelse Byg 04</t>
  </si>
  <si>
    <t xml:space="preserve">Kræftens Bekæmpelse </t>
  </si>
  <si>
    <t>HCM Arkitekter</t>
  </si>
  <si>
    <t>10.000 m²</t>
  </si>
  <si>
    <t>T23034</t>
  </si>
  <si>
    <t>NREP Farum Bytorv</t>
  </si>
  <si>
    <t>NREP</t>
  </si>
  <si>
    <t>Disp til prissætning</t>
  </si>
  <si>
    <t>T23035</t>
  </si>
  <si>
    <t>Netto Hjerting - LCA og bæredygtighedsrådgivning</t>
  </si>
  <si>
    <t>50 kW</t>
  </si>
  <si>
    <t>T23036</t>
  </si>
  <si>
    <t>Fujifilm - Milky way Transformer std</t>
  </si>
  <si>
    <t xml:space="preserve">Fujifilm </t>
  </si>
  <si>
    <t>Fujifilm</t>
  </si>
  <si>
    <t>JLUN lead på kunden</t>
  </si>
  <si>
    <t>T23037</t>
  </si>
  <si>
    <t>Mindretals Center i Tarp</t>
  </si>
  <si>
    <t>Hold med ZENI</t>
  </si>
  <si>
    <t>T23038</t>
  </si>
  <si>
    <t>HV marked 1</t>
  </si>
  <si>
    <t>HV</t>
  </si>
  <si>
    <t>k</t>
  </si>
  <si>
    <t>hh</t>
  </si>
  <si>
    <t>T23039</t>
  </si>
  <si>
    <t>AO Odense SØ - Udvidelse butik</t>
  </si>
  <si>
    <t>Q1/2024</t>
  </si>
  <si>
    <t>Fuld pakke = alle fag</t>
  </si>
  <si>
    <t>T23040</t>
  </si>
  <si>
    <t xml:space="preserve">Nye veje i Odense </t>
  </si>
  <si>
    <t>T23041</t>
  </si>
  <si>
    <t>Børnehuset i Naturbyen</t>
  </si>
  <si>
    <t>PQ - Hold med GPP</t>
  </si>
  <si>
    <t>30 mio</t>
  </si>
  <si>
    <t>TR el UR ikke pt valgt</t>
  </si>
  <si>
    <t>T23042</t>
  </si>
  <si>
    <t>østre kapel København til kulturhus</t>
  </si>
  <si>
    <t>BN</t>
  </si>
  <si>
    <t>KBH kommune</t>
  </si>
  <si>
    <t>Hold med Mikkelse ark</t>
  </si>
  <si>
    <t>25 mio</t>
  </si>
  <si>
    <t>Mikkelse ark kbh</t>
  </si>
  <si>
    <t>T23043</t>
  </si>
  <si>
    <t>Ny politistation - Holstebro - BHR</t>
  </si>
  <si>
    <t>SJ Haderslev ApS</t>
  </si>
  <si>
    <t>T23044</t>
  </si>
  <si>
    <t>Byggemodning i Ørbæk</t>
  </si>
  <si>
    <t>Nyborg Kommune</t>
  </si>
  <si>
    <t>T23045</t>
  </si>
  <si>
    <t>Ressourceperson Sønderborg Kommune</t>
  </si>
  <si>
    <t>Sønderborg Kommune</t>
  </si>
  <si>
    <t>T23046</t>
  </si>
  <si>
    <t>Plejecenter Vandtårnsvej</t>
  </si>
  <si>
    <t>Holbæk kommune</t>
  </si>
  <si>
    <t>JLUN / JMA</t>
  </si>
  <si>
    <t>T23047</t>
  </si>
  <si>
    <t>T23048</t>
  </si>
  <si>
    <t>Nationalmuseum ombygning</t>
  </si>
  <si>
    <t>PHA</t>
  </si>
  <si>
    <t>Nationalmuseet</t>
  </si>
  <si>
    <t>Q4-2028</t>
  </si>
  <si>
    <t xml:space="preserve">Tidsplan: Ukendt. 
Afventer udbud 2027
Hold med Reiulf Ramstad og ERIK. Overvejer HLA + ARUP - </t>
  </si>
  <si>
    <t>T23049</t>
  </si>
  <si>
    <t>Gymnastiksalen på Vestre Skole i Grindsted</t>
  </si>
  <si>
    <t>Billund Kommune</t>
  </si>
  <si>
    <t>Billund Kommune/ZENI arkitekter</t>
  </si>
  <si>
    <t>PQ _ Ved ikke om vi eller ZENI skal stå forrest</t>
  </si>
  <si>
    <t>ZENI arkitekter</t>
  </si>
  <si>
    <t>Skole</t>
  </si>
  <si>
    <t>Q4</t>
  </si>
  <si>
    <t>Er ikke aftalt hvem som er TR og hvem som er UR</t>
  </si>
  <si>
    <t>T23050</t>
  </si>
  <si>
    <t>Klippigården</t>
  </si>
  <si>
    <t>Åbenrå Kommune</t>
  </si>
  <si>
    <t>18 mio</t>
  </si>
  <si>
    <t>T23051</t>
  </si>
  <si>
    <t>Vestergade 24 - Om og tilbygning</t>
  </si>
  <si>
    <t>Privat</t>
  </si>
  <si>
    <t>ATcon A/S</t>
  </si>
  <si>
    <t>T23052</t>
  </si>
  <si>
    <t>Fabrik i Baltikum</t>
  </si>
  <si>
    <t>Fortrolig</t>
  </si>
  <si>
    <t>80000 m2</t>
  </si>
  <si>
    <t>ikke aktuel</t>
  </si>
  <si>
    <t>T23053</t>
  </si>
  <si>
    <t>Hal &amp; Administration</t>
  </si>
  <si>
    <t>Scanglas</t>
  </si>
  <si>
    <t>Jensen &amp; Jensen</t>
  </si>
  <si>
    <t>3000 m2</t>
  </si>
  <si>
    <t>T23054</t>
  </si>
  <si>
    <t>Pharmacosmos</t>
  </si>
  <si>
    <t>RH arkitekter</t>
  </si>
  <si>
    <t>T23055</t>
  </si>
  <si>
    <t>HT Norge</t>
  </si>
  <si>
    <t>Haldor Topsøe</t>
  </si>
  <si>
    <t>T23056</t>
  </si>
  <si>
    <t>Klingenberg 15D</t>
  </si>
  <si>
    <t>Bøtkers Tegnestue</t>
  </si>
  <si>
    <t>Projektering</t>
  </si>
  <si>
    <t>500 m2</t>
  </si>
  <si>
    <t>T23057</t>
  </si>
  <si>
    <t>Højen 1, Specialtilbud</t>
  </si>
  <si>
    <t>Horsens Kommune</t>
  </si>
  <si>
    <t>Vallentin Haugland ark</t>
  </si>
  <si>
    <t>PQ</t>
  </si>
  <si>
    <t>Vallentin Haugland</t>
  </si>
  <si>
    <t>Børnehave og skole</t>
  </si>
  <si>
    <t>Q3</t>
  </si>
  <si>
    <t>T23058</t>
  </si>
  <si>
    <t>NH Capital - Monitorering</t>
  </si>
  <si>
    <t>NHC Friplejeboliger ApS</t>
  </si>
  <si>
    <t>Monitorering</t>
  </si>
  <si>
    <t>26500 m²</t>
  </si>
  <si>
    <t>T23059</t>
  </si>
  <si>
    <t>Plushusene Ølstykke</t>
  </si>
  <si>
    <t>T23060</t>
  </si>
  <si>
    <t>Kølegruppen i Silkeborg</t>
  </si>
  <si>
    <t>Kølegruppen</t>
  </si>
  <si>
    <t>xx-09-2023</t>
  </si>
  <si>
    <t>T23061</t>
  </si>
  <si>
    <t>Skovagerskolen</t>
  </si>
  <si>
    <t xml:space="preserve">Hover </t>
  </si>
  <si>
    <t xml:space="preserve">rasmusrasmus </t>
  </si>
  <si>
    <t>Om- og tilbygning</t>
  </si>
  <si>
    <t>T23062</t>
  </si>
  <si>
    <t>Pulje til cykelprojekter VD</t>
  </si>
  <si>
    <t>VD</t>
  </si>
  <si>
    <t>tilbud ikke afgivet</t>
  </si>
  <si>
    <t>T23063</t>
  </si>
  <si>
    <t>Bygherrerådgivning sundhedscenter</t>
  </si>
  <si>
    <t>Hillerød Kommune</t>
  </si>
  <si>
    <t>Sammen med JJW</t>
  </si>
  <si>
    <t>T23064</t>
  </si>
  <si>
    <t>Boligområde Vejen øst</t>
  </si>
  <si>
    <t>??</t>
  </si>
  <si>
    <t>ADSBØLL</t>
  </si>
  <si>
    <t>PQ - Sammen med Dennis Lorenzen</t>
  </si>
  <si>
    <t>T23065</t>
  </si>
  <si>
    <t>UN17 Village - Bygn. A og E</t>
  </si>
  <si>
    <t>Bygherregennemgang</t>
  </si>
  <si>
    <t>T23066</t>
  </si>
  <si>
    <t>Heimstaden Nonnebakken etape 1 og 2</t>
  </si>
  <si>
    <t>JRJ</t>
  </si>
  <si>
    <t xml:space="preserve">Heimstaden </t>
  </si>
  <si>
    <t>T23067</t>
  </si>
  <si>
    <t>Oprettet dobbelt</t>
  </si>
  <si>
    <t>Ikke aktuel, dobbeltoprettet</t>
  </si>
  <si>
    <t>T23068</t>
  </si>
  <si>
    <t>Heimstaden Nonnebakken</t>
  </si>
  <si>
    <t>T23069</t>
  </si>
  <si>
    <t>T23070</t>
  </si>
  <si>
    <t>Padelcenter Herning</t>
  </si>
  <si>
    <t>KK</t>
  </si>
  <si>
    <t>Bo Lyngsø</t>
  </si>
  <si>
    <t>Arkitekt Jørgen Pedersen</t>
  </si>
  <si>
    <t>T23071</t>
  </si>
  <si>
    <t>Dansk retursystem Taulov</t>
  </si>
  <si>
    <t>DK retur system</t>
  </si>
  <si>
    <t>Hold med CUBO</t>
  </si>
  <si>
    <t>20000 m2</t>
  </si>
  <si>
    <t>T23072</t>
  </si>
  <si>
    <t>Højen Horsens specialtilbud</t>
  </si>
  <si>
    <t>Horsens kommune</t>
  </si>
  <si>
    <t>Andet hold</t>
  </si>
  <si>
    <t>T23073</t>
  </si>
  <si>
    <t>Tarm Svømmehal</t>
  </si>
  <si>
    <t>Ringkøbing-Skjern Kommune</t>
  </si>
  <si>
    <t>Q3 2025</t>
  </si>
  <si>
    <t>Q4, 2027</t>
  </si>
  <si>
    <t>Hold med GPP og TI - først via PQ</t>
  </si>
  <si>
    <t>GPP arkitekter</t>
  </si>
  <si>
    <t>Kultur</t>
  </si>
  <si>
    <t>T23074</t>
  </si>
  <si>
    <t>Gaiavej 5 - Nyt toilet v. gl. maskinhus</t>
  </si>
  <si>
    <t>Vejle Kommune</t>
  </si>
  <si>
    <t>Vejle Kommunale Ejendomme</t>
  </si>
  <si>
    <t>Statiske beregninger</t>
  </si>
  <si>
    <t xml:space="preserve"> </t>
  </si>
  <si>
    <t>T23075</t>
  </si>
  <si>
    <t>Bassinbuen - Nyt domicil - Funktionsudbud ventilation</t>
  </si>
  <si>
    <t>Funktionsudbud ventilation - AdHoc assistance</t>
  </si>
  <si>
    <t>T23076</t>
  </si>
  <si>
    <t>FUJIFILM - Warehouse office</t>
  </si>
  <si>
    <t>FUJIFILM</t>
  </si>
  <si>
    <t>T23077</t>
  </si>
  <si>
    <t>Bispebjerg Torv og Frederiksborgvej</t>
  </si>
  <si>
    <t>Københavns kommune</t>
  </si>
  <si>
    <t>T23078</t>
  </si>
  <si>
    <t>T23079</t>
  </si>
  <si>
    <t>NovoNordisk 24A</t>
  </si>
  <si>
    <t>NOVONordisk</t>
  </si>
  <si>
    <t>Med VLA</t>
  </si>
  <si>
    <t>T23080</t>
  </si>
  <si>
    <t>Metro Cityringens Sydhavnsafgrening</t>
  </si>
  <si>
    <t>SWJ</t>
  </si>
  <si>
    <t>Metroselskabet I/S</t>
  </si>
  <si>
    <t>Trafikstyrelsen</t>
  </si>
  <si>
    <t>Ibrugtagning Brand &amp; Konstruktioner</t>
  </si>
  <si>
    <t>T23081</t>
  </si>
  <si>
    <t>mwk</t>
  </si>
  <si>
    <t>Jakob Schultz Nielsen</t>
  </si>
  <si>
    <t>rasmusrasmus arkitekter</t>
  </si>
  <si>
    <t>Fejl</t>
  </si>
  <si>
    <t>T23082</t>
  </si>
  <si>
    <t>Nørre alle 43, Strib</t>
  </si>
  <si>
    <t>Muligvis delt rådgivning</t>
  </si>
  <si>
    <t>T23083</t>
  </si>
  <si>
    <t>AO - Tækkermandsvej 3, Holbæk</t>
  </si>
  <si>
    <t>Udvidelse af belægning/regnvandshåndtering</t>
  </si>
  <si>
    <t>T23084</t>
  </si>
  <si>
    <t>Daginstitution Rosborg</t>
  </si>
  <si>
    <t>Gjørtz Andersen</t>
  </si>
  <si>
    <t>T23085</t>
  </si>
  <si>
    <t>Nyt Bo- og dagtilbud til handicappede, Granmosevej i Kjellerup</t>
  </si>
  <si>
    <t>Ikke PQ'et</t>
  </si>
  <si>
    <t>T23086</t>
  </si>
  <si>
    <t>Villa - Nørre Allé 43</t>
  </si>
  <si>
    <t>Selfinvest</t>
  </si>
  <si>
    <t>Dobbelt oprettet</t>
  </si>
  <si>
    <t>600 m2</t>
  </si>
  <si>
    <t>T23087</t>
  </si>
  <si>
    <t>Novo Nordisk kantine</t>
  </si>
  <si>
    <t xml:space="preserve">Novo Nordisk </t>
  </si>
  <si>
    <t>Q1-2025</t>
  </si>
  <si>
    <t>Q1-2027</t>
  </si>
  <si>
    <t>800 m2</t>
  </si>
  <si>
    <t>T23088</t>
  </si>
  <si>
    <t>Altaner - AB Svanevej 35 - Glentevej 20, København</t>
  </si>
  <si>
    <t>AB Svanevej 35 - Glentevej 20</t>
  </si>
  <si>
    <t>JE Rådgivning</t>
  </si>
  <si>
    <t>Q3-2023</t>
  </si>
  <si>
    <t>T23089</t>
  </si>
  <si>
    <t>Nyt kontordomicil - Silkeborg</t>
  </si>
  <si>
    <t>Gruppe af private investorer</t>
  </si>
  <si>
    <t>L&amp;P peger på VITA</t>
  </si>
  <si>
    <t>7000 m2</t>
  </si>
  <si>
    <t>T23090</t>
  </si>
  <si>
    <t xml:space="preserve">AO - Holbæk - BRAND - Lovliggørelsessag </t>
  </si>
  <si>
    <t>Lovliggørelse af overdækning</t>
  </si>
  <si>
    <t>T23091</t>
  </si>
  <si>
    <t>Dalsgaard Pav. - Bestseller</t>
  </si>
  <si>
    <t>Bestseller</t>
  </si>
  <si>
    <t>Dalsgaard Pavilloner A/S</t>
  </si>
  <si>
    <t>Brand og statik</t>
  </si>
  <si>
    <t>T23092</t>
  </si>
  <si>
    <t>AO Hillerød</t>
  </si>
  <si>
    <t>Q1-2014</t>
  </si>
  <si>
    <t>T23093</t>
  </si>
  <si>
    <t>NHC - Plejecenter Vallensbæk</t>
  </si>
  <si>
    <t>Northern Horizon</t>
  </si>
  <si>
    <t>q1-2025</t>
  </si>
  <si>
    <t>T23094</t>
  </si>
  <si>
    <t>Fujifil Biogen office bygning 46</t>
  </si>
  <si>
    <t>Fujifil Biogen</t>
  </si>
  <si>
    <t>team med VLA</t>
  </si>
  <si>
    <t>T23095</t>
  </si>
  <si>
    <t>Tagensvej - understøbning</t>
  </si>
  <si>
    <t>Uno-X</t>
  </si>
  <si>
    <t>Afventer DMR</t>
  </si>
  <si>
    <t>T23096</t>
  </si>
  <si>
    <t>NOVO_25L – entreprise WP5.2</t>
  </si>
  <si>
    <t>NOVO Hillerød</t>
  </si>
  <si>
    <t>Nordstern</t>
  </si>
  <si>
    <t>Giver ikke tilbud</t>
  </si>
  <si>
    <t>T23097</t>
  </si>
  <si>
    <t>Skimminghøj bådhal - Ry</t>
  </si>
  <si>
    <t>Erik Nord Arkitekter</t>
  </si>
  <si>
    <t>Nyt bådhus og slæbested</t>
  </si>
  <si>
    <t>T23098</t>
  </si>
  <si>
    <t>Unicef nyt kontor kbh</t>
  </si>
  <si>
    <t xml:space="preserve">Unicef </t>
  </si>
  <si>
    <t>BIG</t>
  </si>
  <si>
    <t>Udbud hold med big valby</t>
  </si>
  <si>
    <t>T23099</t>
  </si>
  <si>
    <t>Racket Club Solrød Strand</t>
  </si>
  <si>
    <t>Frececo ApS</t>
  </si>
  <si>
    <t>PB&amp;E</t>
  </si>
  <si>
    <t>Brand, HVAC, El, Kon og DGNB</t>
  </si>
  <si>
    <t>4.500 m2</t>
  </si>
  <si>
    <t>T23100</t>
  </si>
  <si>
    <t>Decarbonization node Esbjerg</t>
  </si>
  <si>
    <t>Esbjerg Havn</t>
  </si>
  <si>
    <t>T23101</t>
  </si>
  <si>
    <t>DAB - Ved Kirken</t>
  </si>
  <si>
    <t xml:space="preserve">DAB </t>
  </si>
  <si>
    <t>DAB</t>
  </si>
  <si>
    <t>Renovering 104 boliger - Granskning</t>
  </si>
  <si>
    <t>T23102</t>
  </si>
  <si>
    <t>Ørestad P-Hus med COBE</t>
  </si>
  <si>
    <t>By &amp; Havn</t>
  </si>
  <si>
    <t>Ukendt</t>
  </si>
  <si>
    <t>T23103</t>
  </si>
  <si>
    <t>Sdr havnegade TRYG</t>
  </si>
  <si>
    <t>TRYG</t>
  </si>
  <si>
    <t xml:space="preserve">padehattedæk </t>
  </si>
  <si>
    <t>T23104</t>
  </si>
  <si>
    <t xml:space="preserve">TDD - RUBIK Properties </t>
  </si>
  <si>
    <t xml:space="preserve">RUBIK Properties </t>
  </si>
  <si>
    <t>TDD på 10 ejendomme</t>
  </si>
  <si>
    <t>35.000 m2</t>
  </si>
  <si>
    <t>T23105</t>
  </si>
  <si>
    <t>Ilva Sabro - DS1140</t>
  </si>
  <si>
    <t>LarsLarsenGroup</t>
  </si>
  <si>
    <t>JOogPerVaaben</t>
  </si>
  <si>
    <t>T23106</t>
  </si>
  <si>
    <t>Hjælp til DS1140</t>
  </si>
  <si>
    <t>T23107</t>
  </si>
  <si>
    <t>Næstved Bil Centrum - Ny dækhal</t>
  </si>
  <si>
    <t>Næstved Bil Centrum A/S</t>
  </si>
  <si>
    <t>Statik</t>
  </si>
  <si>
    <t>161 m2 - Kold hal</t>
  </si>
  <si>
    <t>T23108</t>
  </si>
  <si>
    <t>Middelfart Sygehus omdannelse til nærhospital</t>
  </si>
  <si>
    <t>Middelfart Kommune / Region Syddanmark</t>
  </si>
  <si>
    <t>Region Syddanmark</t>
  </si>
  <si>
    <t>PQ - Hold med egil Rasmussen og gpp arkitekter</t>
  </si>
  <si>
    <t>Egil rasmussen A/S</t>
  </si>
  <si>
    <t>gpp arkitekter</t>
  </si>
  <si>
    <t>Sygehus/sundhedshus</t>
  </si>
  <si>
    <t>T23109</t>
  </si>
  <si>
    <t>Dansk Trappe Forening</t>
  </si>
  <si>
    <t>T23110</t>
  </si>
  <si>
    <t xml:space="preserve">Palsgaard, Hal G </t>
  </si>
  <si>
    <t>Palsgaard</t>
  </si>
  <si>
    <t>KT Erhvervsbyg</t>
  </si>
  <si>
    <t>xx-06-2023</t>
  </si>
  <si>
    <t>T23111</t>
  </si>
  <si>
    <t>Middelfart Marina Bygninger - MMB</t>
  </si>
  <si>
    <t>RUM arkitekter</t>
  </si>
  <si>
    <t>Den skal i PQ først</t>
  </si>
  <si>
    <t>T23112</t>
  </si>
  <si>
    <t>Dagnæsskolen - Serie C - Udvidelse af skole</t>
  </si>
  <si>
    <t>Egil Rasmussen</t>
  </si>
  <si>
    <t>T23113</t>
  </si>
  <si>
    <t>Bladt Valse- og Growing Hal</t>
  </si>
  <si>
    <t>Bladt Industries</t>
  </si>
  <si>
    <t>Q2-2023</t>
  </si>
  <si>
    <t>Bliver ikke til noget</t>
  </si>
  <si>
    <t>T23114</t>
  </si>
  <si>
    <t>Frederiksbergvej - 21 boliger i Løsning</t>
  </si>
  <si>
    <t>ALFABO</t>
  </si>
  <si>
    <t>Jørgen Lund Frederiksen A/S</t>
  </si>
  <si>
    <t>Måske videre med ny kunde</t>
  </si>
  <si>
    <t>T23115</t>
  </si>
  <si>
    <t>Dalbo Agro - Brand</t>
  </si>
  <si>
    <t>Dalbo Agro</t>
  </si>
  <si>
    <t>T23116</t>
  </si>
  <si>
    <t>Bassinbuen - 3 haller</t>
  </si>
  <si>
    <t>Konstruktionsprojekt - Udførelse</t>
  </si>
  <si>
    <t>1200 m2 kolde haller</t>
  </si>
  <si>
    <t>T23117</t>
  </si>
  <si>
    <t xml:space="preserve">Rundkørsel </t>
  </si>
  <si>
    <t>Middelfart kommune</t>
  </si>
  <si>
    <t>Q4-2025</t>
  </si>
  <si>
    <t>Afventer ny vejchef</t>
  </si>
  <si>
    <t>T23118</t>
  </si>
  <si>
    <t>Renovering af Faaborg Torv</t>
  </si>
  <si>
    <t xml:space="preserve">Faaborg Midtfyn kommune </t>
  </si>
  <si>
    <t>T23119</t>
  </si>
  <si>
    <t>KAB, Sct. Olaiparken - Granskning</t>
  </si>
  <si>
    <t>KAB</t>
  </si>
  <si>
    <t>Graa Arkitekter</t>
  </si>
  <si>
    <t>Granskning af udførelsesprojekt - Aug 2023</t>
  </si>
  <si>
    <t>T23120</t>
  </si>
  <si>
    <t>Daginstitution Solsikken</t>
  </si>
  <si>
    <t>GPP Arkitekter</t>
  </si>
  <si>
    <t>Daginstitution</t>
  </si>
  <si>
    <t>Har talt med Jens Søgaard fra Middelfart Kommune</t>
  </si>
  <si>
    <t>T23121</t>
  </si>
  <si>
    <t>Områdeudvikling i Hornslet</t>
  </si>
  <si>
    <t>Saralyst Ejendomsudvikling</t>
  </si>
  <si>
    <t>Anlæg/byggemodning og måske DGNB assistance</t>
  </si>
  <si>
    <t>T23122</t>
  </si>
  <si>
    <t>Hcp Boliger Roskilde</t>
  </si>
  <si>
    <t>Projektering eller BHR</t>
  </si>
  <si>
    <t>ERIK arkitekter</t>
  </si>
  <si>
    <t>T23123</t>
  </si>
  <si>
    <t>Hasselager boliger</t>
  </si>
  <si>
    <t>Brabrand boligforening</t>
  </si>
  <si>
    <t>LPH byg</t>
  </si>
  <si>
    <t>Ikke fået PQ</t>
  </si>
  <si>
    <t>T23124</t>
  </si>
  <si>
    <t>Sygesikring DK - Bæredygtighedsprofil i ejendomme</t>
  </si>
  <si>
    <t>Sygesikring Danmark</t>
  </si>
  <si>
    <t>I opstarten opdeles sagen i mange mindre leverancer</t>
  </si>
  <si>
    <t>T23125</t>
  </si>
  <si>
    <t>Bofællesskab Grundet Vejle</t>
  </si>
  <si>
    <t>Niels Schou</t>
  </si>
  <si>
    <t>Afventer aftale, aug. '23</t>
  </si>
  <si>
    <t>T23126</t>
  </si>
  <si>
    <t>SOSU Fredericia</t>
  </si>
  <si>
    <t>T23127</t>
  </si>
  <si>
    <t>Nye altaner - Hestedamsgade 10</t>
  </si>
  <si>
    <t>Horsens Boligudlejning ApS</t>
  </si>
  <si>
    <t>Stenderup Smede- og Maskinværksted</t>
  </si>
  <si>
    <t>T23128</t>
  </si>
  <si>
    <t>Din Forsyning Spildevandsslam</t>
  </si>
  <si>
    <t>Din Forsyning</t>
  </si>
  <si>
    <t>PU og Teknisk Rådgivning</t>
  </si>
  <si>
    <t>Vundet - efterfølgendet stoppet pga. økonomi</t>
  </si>
  <si>
    <t>T23129</t>
  </si>
  <si>
    <t>Nyt signalanlæg Lavsenvænget i Odense</t>
  </si>
  <si>
    <t xml:space="preserve">Odense Kommune </t>
  </si>
  <si>
    <t>T23130</t>
  </si>
  <si>
    <t xml:space="preserve">Parkeringsplads ved Dagligbrugsen Stenstrup </t>
  </si>
  <si>
    <t>Dagligbrugsen</t>
  </si>
  <si>
    <t xml:space="preserve">Teknisk Rådgivning </t>
  </si>
  <si>
    <t>T23131</t>
  </si>
  <si>
    <t xml:space="preserve">Nuuks Plads Anlæg </t>
  </si>
  <si>
    <t>2L</t>
  </si>
  <si>
    <t>T23132</t>
  </si>
  <si>
    <t>Ved Amagerbanen 31</t>
  </si>
  <si>
    <t>T23133</t>
  </si>
  <si>
    <t>Transformerstation  DD og udførelse</t>
  </si>
  <si>
    <t>T23134</t>
  </si>
  <si>
    <t>TRYG Lundager 47, Vissenbjerg</t>
  </si>
  <si>
    <t>T23135</t>
  </si>
  <si>
    <t>Ressourceperson Svendborg kommune</t>
  </si>
  <si>
    <t xml:space="preserve">Svendborg Kommune </t>
  </si>
  <si>
    <t>Q1-2023</t>
  </si>
  <si>
    <t>T23136</t>
  </si>
  <si>
    <t>2LP div</t>
  </si>
  <si>
    <t>2LP</t>
  </si>
  <si>
    <t>T23137</t>
  </si>
  <si>
    <t>Hedehusene skole</t>
  </si>
  <si>
    <t>Hedehusene kommune</t>
  </si>
  <si>
    <t>Teknisk Rådgivning TR</t>
  </si>
  <si>
    <t>tabt</t>
  </si>
  <si>
    <t>T23138</t>
  </si>
  <si>
    <t>Optimering af fysiske kapacitet</t>
  </si>
  <si>
    <t>Sygehus Lillebælt</t>
  </si>
  <si>
    <t>Rådgivnng</t>
  </si>
  <si>
    <t>T23139</t>
  </si>
  <si>
    <t>Indflytningen af rygcenteret</t>
  </si>
  <si>
    <t>T23141</t>
  </si>
  <si>
    <t>Kongehøjens Børnehus</t>
  </si>
  <si>
    <t>Aabenraa kommune</t>
  </si>
  <si>
    <t>CJ Anlæg / Erhverv / Bolig</t>
  </si>
  <si>
    <t>Konkuurence frem til april 24</t>
  </si>
  <si>
    <t>T23142</t>
  </si>
  <si>
    <t xml:space="preserve">Trafikdæmpende tiltag Øksendrup </t>
  </si>
  <si>
    <t>Nyborg  kommune</t>
  </si>
  <si>
    <t>T23143</t>
  </si>
  <si>
    <t>Vejudvidelser Tønder</t>
  </si>
  <si>
    <t>Tønder Kommune</t>
  </si>
  <si>
    <t>Rådgivning</t>
  </si>
  <si>
    <t>T23144</t>
  </si>
  <si>
    <t>Envases - Ny produktionshal</t>
  </si>
  <si>
    <t>Envases Europe</t>
  </si>
  <si>
    <t>Q3-2025</t>
  </si>
  <si>
    <t>T23145</t>
  </si>
  <si>
    <t>Bolbro Svømmehal - Tag</t>
  </si>
  <si>
    <t>T23146</t>
  </si>
  <si>
    <t>Låsbygade Kolding, 4 boliger</t>
  </si>
  <si>
    <t>BOVIA</t>
  </si>
  <si>
    <t>T23147</t>
  </si>
  <si>
    <t>Brandstation Kolding</t>
  </si>
  <si>
    <t>PQ - Hold med ER(TE) og TT-ark</t>
  </si>
  <si>
    <t>T23148</t>
  </si>
  <si>
    <t>Fejloprettelse JG/LLN/JAFN</t>
  </si>
  <si>
    <t>T23149</t>
  </si>
  <si>
    <t>Lauersens Realskole</t>
  </si>
  <si>
    <t>Friis &amp; Moltke</t>
  </si>
  <si>
    <t>Udbudsmateriale kommer i september 2023</t>
  </si>
  <si>
    <t>T23150</t>
  </si>
  <si>
    <t>Boliger i Gl. Give Sygehus</t>
  </si>
  <si>
    <t>Fælles Holding 2001 ApS</t>
  </si>
  <si>
    <t>Anders Heede Arkitekter</t>
  </si>
  <si>
    <t>T23151</t>
  </si>
  <si>
    <t>Ny skole i Ry</t>
  </si>
  <si>
    <t>Skanderbog Kommune</t>
  </si>
  <si>
    <t>Hansson &amp; Knudsen A/S</t>
  </si>
  <si>
    <t>Q2-2026</t>
  </si>
  <si>
    <t>Timer når tilbud dannes</t>
  </si>
  <si>
    <t>T23152</t>
  </si>
  <si>
    <t>Aarhus arrest - Nyt kirkerum</t>
  </si>
  <si>
    <t>Kriminalforsorgen</t>
  </si>
  <si>
    <t>Erik Nord Arkitketer</t>
  </si>
  <si>
    <t>Indretning af kirkerum</t>
  </si>
  <si>
    <t>T23153</t>
  </si>
  <si>
    <t>Altan Lindevej 3</t>
  </si>
  <si>
    <t xml:space="preserve">Pharao Udlejning </t>
  </si>
  <si>
    <t>Undersøgelse af altan</t>
  </si>
  <si>
    <t>T23154</t>
  </si>
  <si>
    <t>Erhvervspark Harlev Nord</t>
  </si>
  <si>
    <t>Q3-2027</t>
  </si>
  <si>
    <t>Tilbud sendt den 15-08-23</t>
  </si>
  <si>
    <t>T23155</t>
  </si>
  <si>
    <t>Busbane Sdr Boulevard</t>
  </si>
  <si>
    <t>T23156</t>
  </si>
  <si>
    <t>Hovedbanegården KBH</t>
  </si>
  <si>
    <t>DSB</t>
  </si>
  <si>
    <t>PLH arkitekter</t>
  </si>
  <si>
    <t>T23157</t>
  </si>
  <si>
    <t>Solbrinken - botilbud</t>
  </si>
  <si>
    <t>Århus Kommune</t>
  </si>
  <si>
    <t>RR arkitekter</t>
  </si>
  <si>
    <t>Tilbud pågår</t>
  </si>
  <si>
    <t>T23158</t>
  </si>
  <si>
    <t>Meldgaard Recycling</t>
  </si>
  <si>
    <t>Alterna Erhverv</t>
  </si>
  <si>
    <t>Tilbud i uge 27</t>
  </si>
  <si>
    <t>T23159</t>
  </si>
  <si>
    <t>L.P. Becks Vej, Risskov</t>
  </si>
  <si>
    <t>Anders Peter Chrisstoffersen</t>
  </si>
  <si>
    <t>Rasmus Rasmua Arkitekter</t>
  </si>
  <si>
    <t>T23160</t>
  </si>
  <si>
    <t xml:space="preserve">Arbejdsbeskrivelse II Nyborg </t>
  </si>
  <si>
    <t>ROS</t>
  </si>
  <si>
    <t>T23161</t>
  </si>
  <si>
    <t>NN24A Hillerød Sikring</t>
  </si>
  <si>
    <t>T23162</t>
  </si>
  <si>
    <t>Kulpladsen</t>
  </si>
  <si>
    <t>By og Havn</t>
  </si>
  <si>
    <t>VLA</t>
  </si>
  <si>
    <t>VLA/STED/JAJA</t>
  </si>
  <si>
    <t>Byudvikling</t>
  </si>
  <si>
    <t>T23163</t>
  </si>
  <si>
    <t xml:space="preserve">Geohavnepark </t>
  </si>
  <si>
    <t>Svendborg Kommune</t>
  </si>
  <si>
    <t xml:space="preserve">Byrum </t>
  </si>
  <si>
    <t>Q2 2024</t>
  </si>
  <si>
    <t>Konkurrence, kontaktperson er Sidsel Hellestrøm fra COBE</t>
  </si>
  <si>
    <t>T23164</t>
  </si>
  <si>
    <t>Rammeaftale Klimatilpsning og Anlæg</t>
  </si>
  <si>
    <t>CFM</t>
  </si>
  <si>
    <t xml:space="preserve">Klimatilpasning </t>
  </si>
  <si>
    <t>T23165</t>
  </si>
  <si>
    <t>Brande Bymidte</t>
  </si>
  <si>
    <t>Brande-Ikast kommune</t>
  </si>
  <si>
    <t>Byrumsfornyelse</t>
  </si>
  <si>
    <t>Q1 2024</t>
  </si>
  <si>
    <t>T23166</t>
  </si>
  <si>
    <t xml:space="preserve">Kulturpark i Horsens </t>
  </si>
  <si>
    <t xml:space="preserve">Byrum / kultur </t>
  </si>
  <si>
    <t>T23167</t>
  </si>
  <si>
    <t>Kystbeskyttelse Seden</t>
  </si>
  <si>
    <t>Måtte opgive at give pris pga manglende UR</t>
  </si>
  <si>
    <t>Amphi.dk (Natur og Miljø) VVM</t>
  </si>
  <si>
    <t xml:space="preserve">Kystbeskyttelse </t>
  </si>
  <si>
    <t>EU udbud i efteråret 2023</t>
  </si>
  <si>
    <t>T23168</t>
  </si>
  <si>
    <t>Stevns Plejecenter - Solhaven</t>
  </si>
  <si>
    <t>Boligselskabet Stevns</t>
  </si>
  <si>
    <t>Hansson &amp; Knudsen</t>
  </si>
  <si>
    <t>PQ med ERIK Arkitekter</t>
  </si>
  <si>
    <t>Hansson og Knudssen</t>
  </si>
  <si>
    <t>Plejecenter</t>
  </si>
  <si>
    <t>T23169</t>
  </si>
  <si>
    <t>NN HI24A - Ventilation</t>
  </si>
  <si>
    <t>Upgrade ventilation i Bygn. 24A</t>
  </si>
  <si>
    <t>T23170</t>
  </si>
  <si>
    <t>Nicon 4000 m2</t>
  </si>
  <si>
    <t>Infranote</t>
  </si>
  <si>
    <t>T23171</t>
  </si>
  <si>
    <t xml:space="preserve">Forlængelse af Europavej </t>
  </si>
  <si>
    <t>Lolland Kommune</t>
  </si>
  <si>
    <t>Lolland kommune</t>
  </si>
  <si>
    <t>T23172</t>
  </si>
  <si>
    <t>Cargo Billund - Ny hal</t>
  </si>
  <si>
    <t>Cargo Billund</t>
  </si>
  <si>
    <t>Raunstrup A/S</t>
  </si>
  <si>
    <t>Statik og brand</t>
  </si>
  <si>
    <t xml:space="preserve">Lolland Forsyning </t>
  </si>
  <si>
    <t>T23173</t>
  </si>
  <si>
    <t>Kontor og Padel - Humlebæk</t>
  </si>
  <si>
    <t>BBO VII A/S</t>
  </si>
  <si>
    <t>Bygherrerådgivning og tilsyn</t>
  </si>
  <si>
    <t>T23174</t>
  </si>
  <si>
    <t>Padelcenter - Solrød</t>
  </si>
  <si>
    <t>Projektering + TE</t>
  </si>
  <si>
    <t>T23175</t>
  </si>
  <si>
    <t>ESPL 19 - fugtskade i hall</t>
  </si>
  <si>
    <t>APM holding</t>
  </si>
  <si>
    <t>T23176</t>
  </si>
  <si>
    <t>Fabrik Esbjerg Havn 2024 (Tysken, sagsnummer: 243000)</t>
  </si>
  <si>
    <t>BHR</t>
  </si>
  <si>
    <t>T23177</t>
  </si>
  <si>
    <t>Cortex Park Etape 3 og 4 opfølgning</t>
  </si>
  <si>
    <t>Freja Ejendomme</t>
  </si>
  <si>
    <t>T23178</t>
  </si>
  <si>
    <t>Cortex Park Etape2 opfølgning</t>
  </si>
  <si>
    <t>T23179</t>
  </si>
  <si>
    <t>Transformation af Sølyst slot</t>
  </si>
  <si>
    <t>TAMU</t>
  </si>
  <si>
    <t>Erik Nord Ark.</t>
  </si>
  <si>
    <t>Indledende TDD i.fbm. køb</t>
  </si>
  <si>
    <t>T23180</t>
  </si>
  <si>
    <t>CITY Vest projektering</t>
  </si>
  <si>
    <t>A. Enggaard</t>
  </si>
  <si>
    <t>T23181</t>
  </si>
  <si>
    <t>CITY Vest Bæredygtighed</t>
  </si>
  <si>
    <t>Q3-2028</t>
  </si>
  <si>
    <t>DGNB inkl. ing. Ydelser</t>
  </si>
  <si>
    <t>T23182</t>
  </si>
  <si>
    <t>Plejeboliger Toftehaven I og II - Ballerup</t>
  </si>
  <si>
    <t>Boligselskabet Baldersbo afd 29 og 30</t>
  </si>
  <si>
    <t>Hanssson &amp; Knudsen A/S</t>
  </si>
  <si>
    <t xml:space="preserve">Toftehaven II har tidligere været </t>
  </si>
  <si>
    <t xml:space="preserve">Hansson &amp; Knudsen </t>
  </si>
  <si>
    <t>Erik arkitekter</t>
  </si>
  <si>
    <t>T23183</t>
  </si>
  <si>
    <t>Søndermarksskolen-Udvidelse 2 til 3 spor</t>
  </si>
  <si>
    <t>Nybyg 550 og ombyg 550 m²</t>
  </si>
  <si>
    <t>T23184</t>
  </si>
  <si>
    <t>HUSET kulturhus kbh</t>
  </si>
  <si>
    <t>KBH Kommune</t>
  </si>
  <si>
    <t>renovering af kulturhus</t>
  </si>
  <si>
    <t>T23185</t>
  </si>
  <si>
    <t>SOSU Blangstedgårdsvej 8</t>
  </si>
  <si>
    <t>MLP</t>
  </si>
  <si>
    <t xml:space="preserve">SOSU  </t>
  </si>
  <si>
    <t>SOSU</t>
  </si>
  <si>
    <t>Mulighed for ændret anvendelse af nr. 8</t>
  </si>
  <si>
    <t>T23186</t>
  </si>
  <si>
    <t>ULC Svendborg</t>
  </si>
  <si>
    <t>Hold med Enemærke og Petersen</t>
  </si>
  <si>
    <t>T23187</t>
  </si>
  <si>
    <t>APMH Lyngby</t>
  </si>
  <si>
    <t xml:space="preserve">APMH </t>
  </si>
  <si>
    <t>APMH</t>
  </si>
  <si>
    <t>TDD</t>
  </si>
  <si>
    <t>T23188</t>
  </si>
  <si>
    <t>Odense Teater</t>
  </si>
  <si>
    <t>Konkurance ingen hold</t>
  </si>
  <si>
    <t>Mikkelsen</t>
  </si>
  <si>
    <t>T23189</t>
  </si>
  <si>
    <t>OMT diverse</t>
  </si>
  <si>
    <t>T23190</t>
  </si>
  <si>
    <t>Ressourceaftale Rambøll på anlægsopgave</t>
  </si>
  <si>
    <t>JAO</t>
  </si>
  <si>
    <t>Rambøll</t>
  </si>
  <si>
    <t>T23191</t>
  </si>
  <si>
    <t xml:space="preserve">Transformer - 60-10 rammeaftale </t>
  </si>
  <si>
    <t>Energinet?</t>
  </si>
  <si>
    <t>TC Anlæg / Bravida</t>
  </si>
  <si>
    <t>Rammeaftale med TC Anlæg og Bravida. Vi skal lave statik og brand</t>
  </si>
  <si>
    <t>T23192</t>
  </si>
  <si>
    <t xml:space="preserve">Pumpebrønd og trykledning </t>
  </si>
  <si>
    <t>Hedensted Kommune</t>
  </si>
  <si>
    <t xml:space="preserve">Via CJ </t>
  </si>
  <si>
    <t>T23193</t>
  </si>
  <si>
    <t>Hou skole - Opførelse af Børnehus</t>
  </si>
  <si>
    <t>Odder Kommune</t>
  </si>
  <si>
    <t>Egil Rasmussen a/s</t>
  </si>
  <si>
    <t>TE-Egil Rassmussen og Ark V&amp;H</t>
  </si>
  <si>
    <t>T23194</t>
  </si>
  <si>
    <t>NN HI 25A - KON i WH</t>
  </si>
  <si>
    <t>Novo Nordisk A/S</t>
  </si>
  <si>
    <t>Var.</t>
  </si>
  <si>
    <t>T23195</t>
  </si>
  <si>
    <t>KAB Ejendomme</t>
  </si>
  <si>
    <t>Hold med 5e</t>
  </si>
  <si>
    <t>evt Rasmus Friss</t>
  </si>
  <si>
    <t>Henning Larsen Tegnestue</t>
  </si>
  <si>
    <t>WIEHAG?</t>
  </si>
  <si>
    <t>PQ jan-feb 2024</t>
  </si>
  <si>
    <t>T23196</t>
  </si>
  <si>
    <t>ny personalebygning i Odense Zoo</t>
  </si>
  <si>
    <t>Odense Zoo</t>
  </si>
  <si>
    <t>T23197</t>
  </si>
  <si>
    <t xml:space="preserve">Kloakering af Søndergård Haver </t>
  </si>
  <si>
    <t>VITA kunne ikke levere referencer i VITA regi</t>
  </si>
  <si>
    <t>T23198</t>
  </si>
  <si>
    <t>Hotherskolen</t>
  </si>
  <si>
    <t>Stævns kommune</t>
  </si>
  <si>
    <t>Fugtskade på paptag</t>
  </si>
  <si>
    <t>T23199</t>
  </si>
  <si>
    <t>tilbud teknik rådgivning</t>
  </si>
  <si>
    <t>T23200</t>
  </si>
  <si>
    <t xml:space="preserve">Hotherskolen, Bygning J </t>
  </si>
  <si>
    <t>Stevns Kommune</t>
  </si>
  <si>
    <t>Genganger</t>
  </si>
  <si>
    <t>T23201</t>
  </si>
  <si>
    <t>Grønne Screeninger, Domea.dk</t>
  </si>
  <si>
    <t>Domea.dk</t>
  </si>
  <si>
    <t>T23202</t>
  </si>
  <si>
    <t>Rækkehuse, Fanø</t>
  </si>
  <si>
    <t>Micki Bjerregaard</t>
  </si>
  <si>
    <t>T23203</t>
  </si>
  <si>
    <t>Fundamenter til trykkemaskiner</t>
  </si>
  <si>
    <t>Faller Packaging</t>
  </si>
  <si>
    <t>Leif Petersen, Faller Packaging</t>
  </si>
  <si>
    <t>T23204</t>
  </si>
  <si>
    <t>Bassin og oplandsændring</t>
  </si>
  <si>
    <t>Lindø</t>
  </si>
  <si>
    <t>T23205</t>
  </si>
  <si>
    <t>Regnvandshåndtering Clamping v Silkeborg</t>
  </si>
  <si>
    <t xml:space="preserve">Din Plan </t>
  </si>
  <si>
    <t>T23206</t>
  </si>
  <si>
    <t>Kalundborg Kulturhus</t>
  </si>
  <si>
    <t>q4-2024</t>
  </si>
  <si>
    <t>med NORRØN (ark)</t>
  </si>
  <si>
    <t>NORØN</t>
  </si>
  <si>
    <t>Aflyst</t>
  </si>
  <si>
    <t>T23207</t>
  </si>
  <si>
    <t>Tilbygning til børnehus Fuglsang Odense</t>
  </si>
  <si>
    <t>med JJW og Graaa</t>
  </si>
  <si>
    <t>T23208</t>
  </si>
  <si>
    <t>Eventyrskoven</t>
  </si>
  <si>
    <t>Esbjerg Kommune</t>
  </si>
  <si>
    <t>T23209</t>
  </si>
  <si>
    <t>KB Byggeteknik - diverse</t>
  </si>
  <si>
    <t>Forskellige</t>
  </si>
  <si>
    <t>KP Byggeteknik aps</t>
  </si>
  <si>
    <t>T23210</t>
  </si>
  <si>
    <t xml:space="preserve">Kloak Flemløse afsluttende arbejder </t>
  </si>
  <si>
    <t xml:space="preserve">Assens Forsyning </t>
  </si>
  <si>
    <t>T23211</t>
  </si>
  <si>
    <t>Bakkebyen - vejprojekt</t>
  </si>
  <si>
    <t>T23212</t>
  </si>
  <si>
    <t>Dorotheas Have - Demensplejehjem</t>
  </si>
  <si>
    <t>TE - Egil Rasmussen a/s</t>
  </si>
  <si>
    <t>Mejeriet</t>
  </si>
  <si>
    <t>T23213</t>
  </si>
  <si>
    <t>Fremtidens dagtilbud Fredensborg BH rådgivning</t>
  </si>
  <si>
    <t>Fredensborg kommune</t>
  </si>
  <si>
    <t>hold med JJW</t>
  </si>
  <si>
    <t>2 institutioner</t>
  </si>
  <si>
    <t>JA</t>
  </si>
  <si>
    <t>T23214</t>
  </si>
  <si>
    <t>Kærbygård PU til od kommune eller NN</t>
  </si>
  <si>
    <t>PU</t>
  </si>
  <si>
    <t>100 Ha</t>
  </si>
  <si>
    <t>T23215</t>
  </si>
  <si>
    <t>2 Daginstitutioner EK</t>
  </si>
  <si>
    <t>T23216</t>
  </si>
  <si>
    <t>Juuls Passage Aarhus</t>
  </si>
  <si>
    <t>Sinding &amp; Co</t>
  </si>
  <si>
    <t>T23217</t>
  </si>
  <si>
    <t>Østergrave 4 Randers</t>
  </si>
  <si>
    <t>CORES</t>
  </si>
  <si>
    <t>T23218</t>
  </si>
  <si>
    <t xml:space="preserve">Dryport Årslev TR </t>
  </si>
  <si>
    <t xml:space="preserve">C.F. Møller på LARK. Jens Rex </t>
  </si>
  <si>
    <t>Envidan på Regnvand. Trafikplan på trafik</t>
  </si>
  <si>
    <t>Planlægning og byggemodning</t>
  </si>
  <si>
    <t>T23219</t>
  </si>
  <si>
    <t>Sintrupvej 23 - Lovliggørelse</t>
  </si>
  <si>
    <t>DEAS</t>
  </si>
  <si>
    <t>Lovliggørelsessag - Erhverv</t>
  </si>
  <si>
    <t>T23220</t>
  </si>
  <si>
    <t>Leragergård  23 Glostrup</t>
  </si>
  <si>
    <t>Glostrup kommune</t>
  </si>
  <si>
    <t>M Brunbjerg</t>
  </si>
  <si>
    <t>T23221</t>
  </si>
  <si>
    <t xml:space="preserve">Aarup kloakeringsprojekt  </t>
  </si>
  <si>
    <t xml:space="preserve">Assens Spildevand </t>
  </si>
  <si>
    <t>T23222</t>
  </si>
  <si>
    <t>Drejens Have 11 blokke, 44 boliger, + Fælleshus</t>
  </si>
  <si>
    <t xml:space="preserve">Pierre Ejendomme </t>
  </si>
  <si>
    <t>JLF</t>
  </si>
  <si>
    <t>T23223</t>
  </si>
  <si>
    <t>Stark Esbjerg</t>
  </si>
  <si>
    <t>Nembyg</t>
  </si>
  <si>
    <t>T23224</t>
  </si>
  <si>
    <t>Forlægning af vej Silkeborg</t>
  </si>
  <si>
    <t>T23225</t>
  </si>
  <si>
    <t>Odense.Bredalsvej</t>
  </si>
  <si>
    <t>FAB-Odense</t>
  </si>
  <si>
    <t>Proj til projektforslag</t>
  </si>
  <si>
    <t>T23226</t>
  </si>
  <si>
    <t>Højby. Sandkæret</t>
  </si>
  <si>
    <t>Proj. Til projektforslag</t>
  </si>
  <si>
    <t>T23227</t>
  </si>
  <si>
    <t>Blichers Hus</t>
  </si>
  <si>
    <t>KBS</t>
  </si>
  <si>
    <t xml:space="preserve">N &amp; N </t>
  </si>
  <si>
    <t>T23228</t>
  </si>
  <si>
    <t>Klosterparken - Granskning</t>
  </si>
  <si>
    <t>KaB</t>
  </si>
  <si>
    <t>Granskningsopgave</t>
  </si>
  <si>
    <t>T23229</t>
  </si>
  <si>
    <t xml:space="preserve">Gubsø Retreat </t>
  </si>
  <si>
    <t>Din Plan Aps</t>
  </si>
  <si>
    <t xml:space="preserve">Regnvandshåndtering </t>
  </si>
  <si>
    <t>T23230</t>
  </si>
  <si>
    <t>Veilgårdsvej 4 - Lovliggørelse</t>
  </si>
  <si>
    <t>Torben Vad</t>
  </si>
  <si>
    <t>Lovliggørelse i.fht. BBR og anvendelse</t>
  </si>
  <si>
    <t>T23231</t>
  </si>
  <si>
    <t>Ny Højtoft 2.0</t>
  </si>
  <si>
    <t>Njordrum</t>
  </si>
  <si>
    <t>T23232</t>
  </si>
  <si>
    <t>Indeklima i rådhussalen</t>
  </si>
  <si>
    <t>RD</t>
  </si>
  <si>
    <t>T23233</t>
  </si>
  <si>
    <t>Vestervangsskolen</t>
  </si>
  <si>
    <t>Lolk</t>
  </si>
  <si>
    <t>T23234</t>
  </si>
  <si>
    <t xml:space="preserve">Opgradering af Dyreskuepladsen </t>
  </si>
  <si>
    <t>T23235</t>
  </si>
  <si>
    <t>Klinkvej 4</t>
  </si>
  <si>
    <t>T23236</t>
  </si>
  <si>
    <t>Lovliggørelse Kongensgade 20</t>
  </si>
  <si>
    <t>Ole Seerup Holding</t>
  </si>
  <si>
    <t>Jeppe Seerup Holding</t>
  </si>
  <si>
    <t>T23237</t>
  </si>
  <si>
    <t>Grønnevang Skole BH rådgivning</t>
  </si>
  <si>
    <t>T23238</t>
  </si>
  <si>
    <t>Kloak Europavej Maribo</t>
  </si>
  <si>
    <t>Lolland Forsyning</t>
  </si>
  <si>
    <t>T23239</t>
  </si>
  <si>
    <t>Totalrådgivning - Kolt - Nyt dagcenter</t>
  </si>
  <si>
    <t>Aarhus Kommune, Sundhed og Omsorg</t>
  </si>
  <si>
    <t>TR-opgave sammen med JJW - Kom ikke gennem PQ</t>
  </si>
  <si>
    <t>T23240</t>
  </si>
  <si>
    <t xml:space="preserve">Tech House </t>
  </si>
  <si>
    <t>BS Invest</t>
  </si>
  <si>
    <t>T23241</t>
  </si>
  <si>
    <t>Produktion og kontor Middelfart</t>
  </si>
  <si>
    <t>TE - ark KCR</t>
  </si>
  <si>
    <t>T23242</t>
  </si>
  <si>
    <t>IFF rammeaftale</t>
  </si>
  <si>
    <t>IFF</t>
  </si>
  <si>
    <t>DIS / Johny Mikkelsen</t>
  </si>
  <si>
    <t>Under DIS</t>
  </si>
  <si>
    <t>T23243</t>
  </si>
  <si>
    <t>Bankernes EDB Central</t>
  </si>
  <si>
    <t>Energy Solutions</t>
  </si>
  <si>
    <t>T23244</t>
  </si>
  <si>
    <t>BO32 Ny Landbrugsskole</t>
  </si>
  <si>
    <t>Herningsholm Erhvervsskole og gymnasier</t>
  </si>
  <si>
    <t>LPH Byg</t>
  </si>
  <si>
    <t>T23245</t>
  </si>
  <si>
    <t>FORS tilstandsvurdering</t>
  </si>
  <si>
    <t xml:space="preserve">FORS  </t>
  </si>
  <si>
    <t>FORS</t>
  </si>
  <si>
    <t>T23246</t>
  </si>
  <si>
    <t>Erhvervscenter Bjæverskov</t>
  </si>
  <si>
    <t>Stendergroup</t>
  </si>
  <si>
    <t>T23247</t>
  </si>
  <si>
    <t>Udvidelse Elmegården</t>
  </si>
  <si>
    <t>Favrskov Kommune</t>
  </si>
  <si>
    <t>Njordrum Care</t>
  </si>
  <si>
    <t>T23248</t>
  </si>
  <si>
    <t>AAB-Vejle - AFD 01</t>
  </si>
  <si>
    <t>AAB Vejle</t>
  </si>
  <si>
    <t>T23249</t>
  </si>
  <si>
    <t>KMC Damp</t>
  </si>
  <si>
    <t>KMC</t>
  </si>
  <si>
    <t>NCC West</t>
  </si>
  <si>
    <t>Direkte henvendelse fra NCC</t>
  </si>
  <si>
    <t>T23250</t>
  </si>
  <si>
    <t>Platanvej lokalplan</t>
  </si>
  <si>
    <t>Cordsen Ejendomme</t>
  </si>
  <si>
    <t>Forma ApS</t>
  </si>
  <si>
    <t>T23251</t>
  </si>
  <si>
    <t>Nyborg.sygehus</t>
  </si>
  <si>
    <t>Region Syd</t>
  </si>
  <si>
    <t>Erik Arkitekter - FRAVALGT</t>
  </si>
  <si>
    <t>T23252</t>
  </si>
  <si>
    <t>Tangkær - Bo tilbud</t>
  </si>
  <si>
    <t>Rum Arkitekter</t>
  </si>
  <si>
    <t>PQ er indsendt</t>
  </si>
  <si>
    <t>Rum arkitekter</t>
  </si>
  <si>
    <t>T23253</t>
  </si>
  <si>
    <t xml:space="preserve">Genbrugsplads Tommerup </t>
  </si>
  <si>
    <t xml:space="preserve">Assens forsyning </t>
  </si>
  <si>
    <t>T23254</t>
  </si>
  <si>
    <t>HF &amp; VUC Kolding</t>
  </si>
  <si>
    <t>T23255</t>
  </si>
  <si>
    <t>TMPs dummy</t>
  </si>
  <si>
    <t>DUMMY</t>
  </si>
  <si>
    <t>T23256</t>
  </si>
  <si>
    <t>T23257</t>
  </si>
  <si>
    <t>Skitseprojektering Ring 3 Vest</t>
  </si>
  <si>
    <t>Odense kommune</t>
  </si>
  <si>
    <t xml:space="preserve">Er erstattet af skitseprojekt 750.000 på eksisterende sag </t>
  </si>
  <si>
    <t>T23258</t>
  </si>
  <si>
    <t>Novo Nordisk Odense</t>
  </si>
  <si>
    <t>Q2-2028</t>
  </si>
  <si>
    <t>Honorar lavt pga usikkerhed</t>
  </si>
  <si>
    <t>Hoffmann</t>
  </si>
  <si>
    <t>Hold med DIS</t>
  </si>
  <si>
    <t>14/11 PAA springer fra jf. mail på sagen. Efter sparring med VLA og Benedite vælges Hoffmann som ny partner. (JLUN14/11)</t>
  </si>
  <si>
    <t>T23259</t>
  </si>
  <si>
    <t>Rigspolitiet -Jegstrupvej</t>
  </si>
  <si>
    <t>Proniq Ejendomme II (Bygningsstyrelsen-lejer)</t>
  </si>
  <si>
    <t>TE Raunstrup</t>
  </si>
  <si>
    <t>V&amp;H</t>
  </si>
  <si>
    <t>T23260</t>
  </si>
  <si>
    <t>Tune Plejecenter</t>
  </si>
  <si>
    <t>Vandkunsten</t>
  </si>
  <si>
    <t>Q1 - 2024</t>
  </si>
  <si>
    <t>T23261</t>
  </si>
  <si>
    <t>Kaptajn Bertelsensvej 23 - Ombygning</t>
  </si>
  <si>
    <t>Chris Kølbek Tryk</t>
  </si>
  <si>
    <t>T23262</t>
  </si>
  <si>
    <t>Glasvej 10</t>
  </si>
  <si>
    <t>Statik, HVAC</t>
  </si>
  <si>
    <t>T23263</t>
  </si>
  <si>
    <t>NN HI 29B - Tørkølere på tag</t>
  </si>
  <si>
    <t>KSR / KW</t>
  </si>
  <si>
    <t>Statik. 
Udvidet med ventilation</t>
  </si>
  <si>
    <t>T23264</t>
  </si>
  <si>
    <t>Daginstitution Rødovre</t>
  </si>
  <si>
    <t>Rødovre Kommune</t>
  </si>
  <si>
    <t>PQ'et med CCO</t>
  </si>
  <si>
    <t>CCO</t>
  </si>
  <si>
    <t>PQ'et</t>
  </si>
  <si>
    <t>T23265</t>
  </si>
  <si>
    <t>NSGREFIE</t>
  </si>
  <si>
    <t>T23266</t>
  </si>
  <si>
    <t>Risskov Skole udvidelse</t>
  </si>
  <si>
    <t>V&amp;H + CCO</t>
  </si>
  <si>
    <t>T23267</t>
  </si>
  <si>
    <t xml:space="preserve">Scantox BD-DD etc </t>
  </si>
  <si>
    <t>RH Arkitekt</t>
  </si>
  <si>
    <t>Sagen ligger stille</t>
  </si>
  <si>
    <t>T23268</t>
  </si>
  <si>
    <t>Mind - psykiatrimuseum</t>
  </si>
  <si>
    <t>Hold med CCO</t>
  </si>
  <si>
    <t>T23269</t>
  </si>
  <si>
    <t>Midtgård</t>
  </si>
  <si>
    <t>T23270</t>
  </si>
  <si>
    <t>Ølgod kulturhus</t>
  </si>
  <si>
    <t>Cubo</t>
  </si>
  <si>
    <t>T23271</t>
  </si>
  <si>
    <t xml:space="preserve">Flodlejet i Randers </t>
  </si>
  <si>
    <t xml:space="preserve">Randers Kommune </t>
  </si>
  <si>
    <t>Teamet op med COBE</t>
  </si>
  <si>
    <t>Byrum / klimasikring</t>
  </si>
  <si>
    <t xml:space="preserve">COBE trak sig </t>
  </si>
  <si>
    <t>T23272</t>
  </si>
  <si>
    <t>Forum Horsens</t>
  </si>
  <si>
    <t>JLM</t>
  </si>
  <si>
    <t>T23273</t>
  </si>
  <si>
    <t>Robot udvikling Odense</t>
  </si>
  <si>
    <t>Odense Robotics</t>
  </si>
  <si>
    <t>BH anulleret VITA på nyt hold T T23372</t>
  </si>
  <si>
    <t>T23274</t>
  </si>
  <si>
    <t>Syddansk Erhvervsskole Munkebjergvej Odense BH rådgivning</t>
  </si>
  <si>
    <t>SVOP</t>
  </si>
  <si>
    <t>Syddansk Erhvervsskole</t>
  </si>
  <si>
    <t>Hold med CCO (JLUN)</t>
  </si>
  <si>
    <t>annuleret jf. mail til CCO 6/2 gemt på T23372</t>
  </si>
  <si>
    <t>T23275</t>
  </si>
  <si>
    <t>3F TE udbud</t>
  </si>
  <si>
    <t xml:space="preserve">3F </t>
  </si>
  <si>
    <t>3F</t>
  </si>
  <si>
    <t>Hold med VLA og Jacon</t>
  </si>
  <si>
    <t>Jacon</t>
  </si>
  <si>
    <t>T23276</t>
  </si>
  <si>
    <t>Nationale Lystfiskercenter Assens</t>
  </si>
  <si>
    <t>Fond</t>
  </si>
  <si>
    <t>Hold med Friss og Mohlke</t>
  </si>
  <si>
    <t>mangler pt landskabs ark</t>
  </si>
  <si>
    <t>Anmodning 12/2</t>
  </si>
  <si>
    <t>T23277</t>
  </si>
  <si>
    <t>Fujifilm ressource udlån Højspændingsanlæg</t>
  </si>
  <si>
    <t>T23281</t>
  </si>
  <si>
    <t>Nordhuset II</t>
  </si>
  <si>
    <t>Bagger-Sørensen Invest</t>
  </si>
  <si>
    <t>T23282</t>
  </si>
  <si>
    <t>Ry Marina</t>
  </si>
  <si>
    <t>T23283</t>
  </si>
  <si>
    <t>Nyt atletikstadion og Sportens Hus</t>
  </si>
  <si>
    <t>Zublin</t>
  </si>
  <si>
    <t>Kultur og Idræt</t>
  </si>
  <si>
    <t>T23284</t>
  </si>
  <si>
    <t>Ombygning af JYSK - MYND</t>
  </si>
  <si>
    <t>JYSK</t>
  </si>
  <si>
    <t>Myndighedsprojekt på KON og Brand</t>
  </si>
  <si>
    <t>T23285</t>
  </si>
  <si>
    <t>Tilbygning AO Køge - MYND</t>
  </si>
  <si>
    <t>AO</t>
  </si>
  <si>
    <t>T23286</t>
  </si>
  <si>
    <t>FGU Aarhus Ny Skole</t>
  </si>
  <si>
    <t>JG/MP</t>
  </si>
  <si>
    <t>S/I FGU Aarhus</t>
  </si>
  <si>
    <t>Valentin Haugland TE Egil Rasmussen</t>
  </si>
  <si>
    <t>ARKVH</t>
  </si>
  <si>
    <t>Egil Rasmussen aftale d. 12.11.2024 (MP)</t>
  </si>
  <si>
    <t>T23287</t>
  </si>
  <si>
    <t>UN17 - Project Monitoring</t>
  </si>
  <si>
    <t>T23288</t>
  </si>
  <si>
    <t>Dokøen  dokrenovering</t>
  </si>
  <si>
    <t>APM fonde</t>
  </si>
  <si>
    <t>TDD for renoveirngsrojekt</t>
  </si>
  <si>
    <t>T23289</t>
  </si>
  <si>
    <t>jlun test PQ</t>
  </si>
  <si>
    <t>T23290</t>
  </si>
  <si>
    <t>T23291</t>
  </si>
  <si>
    <t>LMWGFIE</t>
  </si>
  <si>
    <t>Ikke i Res-plan efter aftale med MICH/THOM</t>
  </si>
  <si>
    <t>T23292</t>
  </si>
  <si>
    <t>Produktion og kontor POE</t>
  </si>
  <si>
    <t>T23293</t>
  </si>
  <si>
    <t>Ombygning af JYSK - Hovedprojekt</t>
  </si>
  <si>
    <t>KON og Brand</t>
  </si>
  <si>
    <t>T23294</t>
  </si>
  <si>
    <t>Tilbygning AO Køge - Hovedprojekt</t>
  </si>
  <si>
    <t>T23295</t>
  </si>
  <si>
    <t>Dobbeltrettet cykelsti Haderslevvej</t>
  </si>
  <si>
    <t>Aabenraa Kommune</t>
  </si>
  <si>
    <t>T23296</t>
  </si>
  <si>
    <t>UCL Svendborg</t>
  </si>
  <si>
    <t>Te</t>
  </si>
  <si>
    <t>Enemærk og Petersen som TE</t>
  </si>
  <si>
    <t>T23297</t>
  </si>
  <si>
    <t>Maycon - Grøndals Have</t>
  </si>
  <si>
    <t>Maycon</t>
  </si>
  <si>
    <t>T23298</t>
  </si>
  <si>
    <t xml:space="preserve">KLP Toiletter + x-felt </t>
  </si>
  <si>
    <t>KLP WKG12</t>
  </si>
  <si>
    <t>KLP Weidekampsgade 12-16 A/S</t>
  </si>
  <si>
    <t>T23299</t>
  </si>
  <si>
    <t>KLP WKG - Ny lejer 1-3 sal</t>
  </si>
  <si>
    <t>afventer lejerindretning</t>
  </si>
  <si>
    <t>T23300</t>
  </si>
  <si>
    <t>Savills - energi optimering af ejendomme</t>
  </si>
  <si>
    <t>PRO2 PROPCO DENMARK K/S</t>
  </si>
  <si>
    <t>afventer bh's tilbagemelding</t>
  </si>
  <si>
    <t>T23301</t>
  </si>
  <si>
    <t>Renoveirng Blåkildegård</t>
  </si>
  <si>
    <t>Jönsson</t>
  </si>
  <si>
    <t>VITA springer ud 8/2 se mail arkiv jlun</t>
  </si>
  <si>
    <t>Erik</t>
  </si>
  <si>
    <t>Jönsson som TE</t>
  </si>
  <si>
    <t>vita springer ud 8/2-24</t>
  </si>
  <si>
    <t>T23302</t>
  </si>
  <si>
    <t>Velfærdens Fundament Skoler Dynamisk indkøbssystem</t>
  </si>
  <si>
    <t>Q4-2027</t>
  </si>
  <si>
    <t>Løbende projekter 2026</t>
  </si>
  <si>
    <t>RUM som TR</t>
  </si>
  <si>
    <t>RUM</t>
  </si>
  <si>
    <t>Skoler</t>
  </si>
  <si>
    <t>udbydes enkelvis i et dynamisk indkøbssystem, dvs miniudbud</t>
  </si>
  <si>
    <t>T23303</t>
  </si>
  <si>
    <t>Skt Hans Skole PQ</t>
  </si>
  <si>
    <t>Udfasning af midlertidige pavilloner</t>
  </si>
  <si>
    <t>Option 2 velfærdens fundament</t>
  </si>
  <si>
    <t>T23304</t>
  </si>
  <si>
    <t>Udvidelse af tandklinikker</t>
  </si>
  <si>
    <t>Vi har lavet ansøgning til ministeriet med JJW</t>
  </si>
  <si>
    <t>7 skoler deles om 11 nye kliniker</t>
  </si>
  <si>
    <t>tandklinik</t>
  </si>
  <si>
    <t>PQ oktober</t>
  </si>
  <si>
    <t>T23305</t>
  </si>
  <si>
    <t>Nedrivning Vollsmose</t>
  </si>
  <si>
    <t>4 bygninger i Vollsmose</t>
  </si>
  <si>
    <t>reduceret men vundet</t>
  </si>
  <si>
    <t>T23306</t>
  </si>
  <si>
    <t>Dobbeltrettet cykelsti Årupvej</t>
  </si>
  <si>
    <t>LP</t>
  </si>
  <si>
    <t>T23307</t>
  </si>
  <si>
    <t>Køge B2Ø</t>
  </si>
  <si>
    <t>KW</t>
  </si>
  <si>
    <t>Dress &amp; Sommer</t>
  </si>
  <si>
    <t>Tilbud udvidet med KON som er igangsat.</t>
  </si>
  <si>
    <t>T23308</t>
  </si>
  <si>
    <t>Sundhedscenter Ulvemosen</t>
  </si>
  <si>
    <t>Mengel Ejendomme</t>
  </si>
  <si>
    <t>T23309</t>
  </si>
  <si>
    <t>Ledningsregistrering Hollufpile boligforening</t>
  </si>
  <si>
    <t>Boligforeningen</t>
  </si>
  <si>
    <t>T23310</t>
  </si>
  <si>
    <t>DTU Generisk kontorhus, inovatation, centerbygning</t>
  </si>
  <si>
    <t xml:space="preserve">DTU </t>
  </si>
  <si>
    <t>Bud på 1 - 2 af flere lab. opgaver</t>
  </si>
  <si>
    <t>T23311</t>
  </si>
  <si>
    <t>Mothsvej 56A - ombygning</t>
  </si>
  <si>
    <t>Shahir Rona</t>
  </si>
  <si>
    <t>KON + lidt energi</t>
  </si>
  <si>
    <t>150m2</t>
  </si>
  <si>
    <t>T23312</t>
  </si>
  <si>
    <t>Kjærbygaard PU fra land til erhv</t>
  </si>
  <si>
    <t>Fam Kibæk</t>
  </si>
  <si>
    <t xml:space="preserve">JLUn opsøgende </t>
  </si>
  <si>
    <t>T23313</t>
  </si>
  <si>
    <t>Dr Arends Vej 1, 7330 Brande - Ombygning</t>
  </si>
  <si>
    <t>Dok Arends S/I</t>
  </si>
  <si>
    <t>T23314</t>
  </si>
  <si>
    <t>NN 24A Pre-Assembly v.2</t>
  </si>
  <si>
    <t>Tilbud og materiale ligger under projekt nr. 232240, da der pt. er oplysninger fra det udførte CD, der benyttes ved dette tilbud.</t>
  </si>
  <si>
    <t>T23315</t>
  </si>
  <si>
    <t>InCommodities</t>
  </si>
  <si>
    <t>T23316</t>
  </si>
  <si>
    <t>NREP - UMEUS Frederiksberg</t>
  </si>
  <si>
    <t>Bygherregennemgange ifm. afleveringsproces</t>
  </si>
  <si>
    <t>677 boliger</t>
  </si>
  <si>
    <t>T23317</t>
  </si>
  <si>
    <t>Bellinge Fælled etape 4</t>
  </si>
  <si>
    <t xml:space="preserve">Udviklingsplan </t>
  </si>
  <si>
    <t>34 ha</t>
  </si>
  <si>
    <t>T23318</t>
  </si>
  <si>
    <t>Toftegårds Plads Valby</t>
  </si>
  <si>
    <t xml:space="preserve">Etablering af ny plads </t>
  </si>
  <si>
    <t>13000 m2</t>
  </si>
  <si>
    <t>Weidekampsgade - standard ventilation ATR 0002</t>
  </si>
  <si>
    <t>KLP</t>
  </si>
  <si>
    <t>standard ventilation</t>
  </si>
  <si>
    <t>T23320</t>
  </si>
  <si>
    <t>NN HI 24A - Hjertet 1. sal - DD og Udførelse</t>
  </si>
  <si>
    <t>Ombygning af kontorer og mødelokaler inkl. opgradering af ventilation.
Vi har aftale på at lave BD (projektforslag), så dette er 'next step'.</t>
  </si>
  <si>
    <t>Hold med Hnasson og Knudssen</t>
  </si>
  <si>
    <t>T23321</t>
  </si>
  <si>
    <t>Nyborg strand hotel</t>
  </si>
  <si>
    <t>Hansson og knudssen</t>
  </si>
  <si>
    <t>HKJ fik BH rådgivning</t>
  </si>
  <si>
    <t>T23322</t>
  </si>
  <si>
    <t>Alm brand Østerled 18,Hals</t>
  </si>
  <si>
    <t>Alm Brand</t>
  </si>
  <si>
    <t>Konflikt mægler</t>
  </si>
  <si>
    <t>T23323</t>
  </si>
  <si>
    <t>Plejecenter - Enghaven Vejen</t>
  </si>
  <si>
    <t>Vejen Kommune</t>
  </si>
  <si>
    <t>TR med Tekt også gemt i PQ-ark</t>
  </si>
  <si>
    <t>T23324</t>
  </si>
  <si>
    <t>Rubinsteinvej 20</t>
  </si>
  <si>
    <t>Zeljko Djukic</t>
  </si>
  <si>
    <t>Zelljko Djukic</t>
  </si>
  <si>
    <t>Privat - sammenlægning af lejemål - brand/kon</t>
  </si>
  <si>
    <t>T23325</t>
  </si>
  <si>
    <t>Vand problemer Himmel og Hav</t>
  </si>
  <si>
    <t>Ballerup Kommune</t>
  </si>
  <si>
    <t>Jonas Larsen</t>
  </si>
  <si>
    <t>T23326</t>
  </si>
  <si>
    <t>Batteripark, Toftlund</t>
  </si>
  <si>
    <t>Emil Ørgaard Bach</t>
  </si>
  <si>
    <t>T23327</t>
  </si>
  <si>
    <t>hkj test</t>
  </si>
  <si>
    <t>jlun test</t>
  </si>
  <si>
    <t>T23328</t>
  </si>
  <si>
    <t>Agerskov Efterskole</t>
  </si>
  <si>
    <t>Lund &amp; Lykkegaard</t>
  </si>
  <si>
    <t xml:space="preserve">KK og BRP </t>
  </si>
  <si>
    <t>T23329</t>
  </si>
  <si>
    <t>T23330</t>
  </si>
  <si>
    <t>KLP - WKG nr. 6 - Vand i kælder</t>
  </si>
  <si>
    <t>KLP WKG6</t>
  </si>
  <si>
    <t>KLP Ejendomme</t>
  </si>
  <si>
    <t>Endelig afklaring omkring projekt indhold</t>
  </si>
  <si>
    <t>T23331</t>
  </si>
  <si>
    <t>Foss Hillerød, 5E</t>
  </si>
  <si>
    <t>Foss</t>
  </si>
  <si>
    <t>5E Byg</t>
  </si>
  <si>
    <t>T23332</t>
  </si>
  <si>
    <t xml:space="preserve">Byggemodning Skt Klemens  </t>
  </si>
  <si>
    <t>Tabt til COWI, pæn 2. plads</t>
  </si>
  <si>
    <t>430000 m2</t>
  </si>
  <si>
    <t>T23333</t>
  </si>
  <si>
    <t>Tilst Skole - Ombygning, modernisering og indretning af skole og klubtilbud</t>
  </si>
  <si>
    <t>Valentin Haugland</t>
  </si>
  <si>
    <t>CCO Arkitekter</t>
  </si>
  <si>
    <t>T23334</t>
  </si>
  <si>
    <t>Vestergaard</t>
  </si>
  <si>
    <t>BRO</t>
  </si>
  <si>
    <t>Kon - Brand - Energi - indeklima</t>
  </si>
  <si>
    <t>T23335</t>
  </si>
  <si>
    <t>Ølgod Kulturhus</t>
  </si>
  <si>
    <t>Vinder udpeges 6/6</t>
  </si>
  <si>
    <t>T23336</t>
  </si>
  <si>
    <t>Hejnsvig Skole</t>
  </si>
  <si>
    <t>rum arkitekter</t>
  </si>
  <si>
    <t>T23337</t>
  </si>
  <si>
    <t>2 krydsombygninger Nordfyn</t>
  </si>
  <si>
    <t>Nordfyns Kommune</t>
  </si>
  <si>
    <t>T23338</t>
  </si>
  <si>
    <t>Skovparken, Kolding</t>
  </si>
  <si>
    <t>Trafikplan</t>
  </si>
  <si>
    <t>fastpris</t>
  </si>
  <si>
    <t>T23339</t>
  </si>
  <si>
    <t>Bygherrerådgivning - Palladiumkomplekset, nybyggeri af fægtehal mv.</t>
  </si>
  <si>
    <t>Gentofte Kommune</t>
  </si>
  <si>
    <t>ERIK har trukket sig</t>
  </si>
  <si>
    <t>ERIK</t>
  </si>
  <si>
    <t>T23340</t>
  </si>
  <si>
    <t>Rammeaftaler for forsvaret</t>
  </si>
  <si>
    <t>Forsvaret</t>
  </si>
  <si>
    <t>Se mail fra VLA 24/11 i arkiv</t>
  </si>
  <si>
    <t>Kjær og Richter, STED, Øllgård</t>
  </si>
  <si>
    <t>T23341</t>
  </si>
  <si>
    <t>Roskilde Domkirke</t>
  </si>
  <si>
    <t>Tidsplan: PQ søgt medio oktober 2025. 
Hold med ERIK og Reiulf Ramstad - afv. Svar</t>
  </si>
  <si>
    <t xml:space="preserve">Reiulf Ramstad </t>
  </si>
  <si>
    <t>T23342</t>
  </si>
  <si>
    <t>NZ BA Tanktainer</t>
  </si>
  <si>
    <t>Novozymes</t>
  </si>
  <si>
    <t>Trafik, KON og Brand i samarbejde med RH ARK</t>
  </si>
  <si>
    <t>T23344</t>
  </si>
  <si>
    <t>Mini CO2 etagehus beton</t>
  </si>
  <si>
    <t>Realdania</t>
  </si>
  <si>
    <t>Bæredygtighed i fokus</t>
  </si>
  <si>
    <t>BIG er KON og Projekteringsleder</t>
  </si>
  <si>
    <t>T23345</t>
  </si>
  <si>
    <t>Fa09 altanrep</t>
  </si>
  <si>
    <t>RON</t>
  </si>
  <si>
    <t>Fa09</t>
  </si>
  <si>
    <t>Konstruktioner</t>
  </si>
  <si>
    <t>T23346</t>
  </si>
  <si>
    <t>TASFO TDD</t>
  </si>
  <si>
    <t>TASFO</t>
  </si>
  <si>
    <t xml:space="preserve">TDD på bygning i Odense </t>
  </si>
  <si>
    <t>T23347</t>
  </si>
  <si>
    <t>Kapacitetsberegninger afløb</t>
  </si>
  <si>
    <t>Nyborg Forsyning og Service A/S</t>
  </si>
  <si>
    <t>T23348</t>
  </si>
  <si>
    <t>Trafikhavnen Middelfart (Master)</t>
  </si>
  <si>
    <t>Ikke kendt</t>
  </si>
  <si>
    <t>Q1-2029</t>
  </si>
  <si>
    <t>T23349</t>
  </si>
  <si>
    <t>SØBO Specialskole</t>
  </si>
  <si>
    <t>Byggeri København</t>
  </si>
  <si>
    <t>T23350</t>
  </si>
  <si>
    <t>Hyldevænget 1</t>
  </si>
  <si>
    <t>JK Byg</t>
  </si>
  <si>
    <t>T23351</t>
  </si>
  <si>
    <t>Fælledby Skole</t>
  </si>
  <si>
    <t>Kbh Kommune</t>
  </si>
  <si>
    <t>VLA og K&amp;R og STED</t>
  </si>
  <si>
    <t>T23352</t>
  </si>
  <si>
    <t>Odense Isstadion</t>
  </si>
  <si>
    <t>Odense idrætspark</t>
  </si>
  <si>
    <t>Hold med Graaa</t>
  </si>
  <si>
    <t>T23353</t>
  </si>
  <si>
    <t>DIN Forsyning Rammeaftale</t>
  </si>
  <si>
    <t>DIN Forsyning</t>
  </si>
  <si>
    <t>PQet 4/11</t>
  </si>
  <si>
    <t>21.12.2023</t>
  </si>
  <si>
    <t>T23354</t>
  </si>
  <si>
    <t>Baldersgade</t>
  </si>
  <si>
    <t>City Byg</t>
  </si>
  <si>
    <t>H+</t>
  </si>
  <si>
    <t>T23355</t>
  </si>
  <si>
    <t>Generationernes kvarter - Hillerød</t>
  </si>
  <si>
    <t>VITA - konstruktioner</t>
  </si>
  <si>
    <t>T23356</t>
  </si>
  <si>
    <t>Syntese - Nyt tag kontor - reception</t>
  </si>
  <si>
    <t>Syntese</t>
  </si>
  <si>
    <t>T23357</t>
  </si>
  <si>
    <t>Hærvejen Rødekro</t>
  </si>
  <si>
    <t>T23358</t>
  </si>
  <si>
    <t>Hotel Torvehallerne</t>
  </si>
  <si>
    <t>Best Western Hotels</t>
  </si>
  <si>
    <t>T23359</t>
  </si>
  <si>
    <t>Byggemodning Favrskov</t>
  </si>
  <si>
    <t>T23360</t>
  </si>
  <si>
    <t>MørkøvHuse Byggemodning</t>
  </si>
  <si>
    <t>PB &amp; Entreprise</t>
  </si>
  <si>
    <t>9500m2</t>
  </si>
  <si>
    <t>T23361</t>
  </si>
  <si>
    <t>Stensbjergvej 12</t>
  </si>
  <si>
    <t>JO</t>
  </si>
  <si>
    <t>Phillip Jelstrup</t>
  </si>
  <si>
    <t>JBS</t>
  </si>
  <si>
    <t>250m2</t>
  </si>
  <si>
    <t>T23362</t>
  </si>
  <si>
    <t>Ny plads mellem Hal Øst og Assembly Hall</t>
  </si>
  <si>
    <t xml:space="preserve">Odense Havn </t>
  </si>
  <si>
    <t>T23363</t>
  </si>
  <si>
    <t>Transformerstationer rammeaftale</t>
  </si>
  <si>
    <t>NexEL</t>
  </si>
  <si>
    <t>Bravida/Frisesdal</t>
  </si>
  <si>
    <t>Q4-2030</t>
  </si>
  <si>
    <t>Ny budrunde, svar til aug.</t>
  </si>
  <si>
    <t>T23364</t>
  </si>
  <si>
    <t>Svanemølleværket trans til DK tekniske museum</t>
  </si>
  <si>
    <t xml:space="preserve">afventer holddannelse </t>
  </si>
  <si>
    <t>T23365</t>
  </si>
  <si>
    <t>Lindø hal X4</t>
  </si>
  <si>
    <t>evt reduceret ing projekt pga KT´s egen afd. Spørg JLUN</t>
  </si>
  <si>
    <t>T23366</t>
  </si>
  <si>
    <t>Gribskov Rådhus BH rådgiver</t>
  </si>
  <si>
    <t>Gribskov Kommune</t>
  </si>
  <si>
    <t>Gribskov kommune</t>
  </si>
  <si>
    <t>Q1-2028</t>
  </si>
  <si>
    <t>Tidsplan: Ukendt. 
Schedio og PLH</t>
  </si>
  <si>
    <t>PLH</t>
  </si>
  <si>
    <t>T23367</t>
  </si>
  <si>
    <t>Bostad</t>
  </si>
  <si>
    <t>P+P</t>
  </si>
  <si>
    <t>Rammebeløb for lavt se mails</t>
  </si>
  <si>
    <t>T23368</t>
  </si>
  <si>
    <t>Ndr. Ringvej - AAB Afd. 1, Kolding</t>
  </si>
  <si>
    <t>AAB</t>
  </si>
  <si>
    <t>Scala</t>
  </si>
  <si>
    <t>T23369</t>
  </si>
  <si>
    <t>BSF - Campus Living, Kolding</t>
  </si>
  <si>
    <t>Byggeskadefonden</t>
  </si>
  <si>
    <t>RAVN arkitektur</t>
  </si>
  <si>
    <t>T23370</t>
  </si>
  <si>
    <t>BSF - Øster Gasvej, Horsens</t>
  </si>
  <si>
    <t>T23371</t>
  </si>
  <si>
    <t>Tingbjerg Multihal</t>
  </si>
  <si>
    <t xml:space="preserve">Tidsplan: Ukendt. 
Hold med CCOAPM Fonden støtter med 400 mio. </t>
  </si>
  <si>
    <t>jaja / LYTH</t>
  </si>
  <si>
    <t>T23372</t>
  </si>
  <si>
    <t>SDE Syddansk Erhvervsskole Munkebjergvej 130</t>
  </si>
  <si>
    <t>Od kommune</t>
  </si>
  <si>
    <t>forløbig hold med Rum og H&amp;K</t>
  </si>
  <si>
    <t>6000 m²</t>
  </si>
  <si>
    <t>TE hold med Hog K (JLUN)</t>
  </si>
  <si>
    <t>T23373</t>
  </si>
  <si>
    <t>Kontor i Nørresundby</t>
  </si>
  <si>
    <t>BB Contractor</t>
  </si>
  <si>
    <t>Ginnerup Arkitekter</t>
  </si>
  <si>
    <t>T23374</t>
  </si>
  <si>
    <t>Platanbuen børnehus Ballerup</t>
  </si>
  <si>
    <t>PQ hold til TE dannelse pågår</t>
  </si>
  <si>
    <t>Scala arkitekter</t>
  </si>
  <si>
    <t>Evt Jakon (dialog pågår)</t>
  </si>
  <si>
    <t>T23375</t>
  </si>
  <si>
    <t>Alfa Laval produktion og lager</t>
  </si>
  <si>
    <t xml:space="preserve">Alfa Laval  </t>
  </si>
  <si>
    <t>Først indledende fase, senere projektering</t>
  </si>
  <si>
    <t>T24001</t>
  </si>
  <si>
    <t>Assistance vejafvandingsprojekter</t>
  </si>
  <si>
    <t>T24002</t>
  </si>
  <si>
    <t>Rammeaftale for Bovia</t>
  </si>
  <si>
    <t>NOVA 5</t>
  </si>
  <si>
    <t>T24003</t>
  </si>
  <si>
    <t>T24004</t>
  </si>
  <si>
    <t xml:space="preserve">Nordhavn Naturpark </t>
  </si>
  <si>
    <t>SLA</t>
  </si>
  <si>
    <t>Park</t>
  </si>
  <si>
    <t>Konkurrence pågår frem til ult feb 2025</t>
  </si>
  <si>
    <t>T24005</t>
  </si>
  <si>
    <t>Disella, konsekvensvurdering</t>
  </si>
  <si>
    <t>T24006</t>
  </si>
  <si>
    <t>Bladt byggetilladelser Ålborg</t>
  </si>
  <si>
    <t>Bladt</t>
  </si>
  <si>
    <t>T24007</t>
  </si>
  <si>
    <t>Ikær Børnehus</t>
  </si>
  <si>
    <t>T24008</t>
  </si>
  <si>
    <t>Regnvandshåndteringsplan Vejstrup Bofællesskab</t>
  </si>
  <si>
    <t>FAB</t>
  </si>
  <si>
    <t>T24009</t>
  </si>
  <si>
    <t>Specialskole og idrætsfacilitet i Ørestad Syd annulleret</t>
  </si>
  <si>
    <t>PQ pr 5 jan 24</t>
  </si>
  <si>
    <t>VLA o KogR</t>
  </si>
  <si>
    <t>T24010</t>
  </si>
  <si>
    <t>Jakobs test</t>
  </si>
  <si>
    <t>T24011</t>
  </si>
  <si>
    <t>Resursperson FMK</t>
  </si>
  <si>
    <t>Faaborg Midtfyn Kommune</t>
  </si>
  <si>
    <t>Indbydt</t>
  </si>
  <si>
    <t>T24012</t>
  </si>
  <si>
    <t>Højby skole</t>
  </si>
  <si>
    <t>Indbudt</t>
  </si>
  <si>
    <t>T24013</t>
  </si>
  <si>
    <t>Daginstitution Virring</t>
  </si>
  <si>
    <t>T24014</t>
  </si>
  <si>
    <t>Bassin Tietgens Alle</t>
  </si>
  <si>
    <t>VandCenter Syd</t>
  </si>
  <si>
    <t>Tildeles direkte</t>
  </si>
  <si>
    <t>T24015</t>
  </si>
  <si>
    <t>Bülowsvej 6, Sønderborg</t>
  </si>
  <si>
    <t>Boligforeningen Søbo</t>
  </si>
  <si>
    <t>TE_Chr. Johansen</t>
  </si>
  <si>
    <t>Rammebeløb 24 mio, TE (Ark: ZENI)</t>
  </si>
  <si>
    <t>T24016</t>
  </si>
  <si>
    <t>FAB 3 afdelinger</t>
  </si>
  <si>
    <t xml:space="preserve">FAB </t>
  </si>
  <si>
    <t>TR med JJW og Dominia</t>
  </si>
  <si>
    <t>Dominia</t>
  </si>
  <si>
    <t>T24017</t>
  </si>
  <si>
    <t>Scadic The Mayor</t>
  </si>
  <si>
    <t>Scandic Hotels</t>
  </si>
  <si>
    <t>T24018</t>
  </si>
  <si>
    <t>Ungdomsboliger Stengårdsvej</t>
  </si>
  <si>
    <t xml:space="preserve">Ungdomsbo </t>
  </si>
  <si>
    <t>Ungdomsbo</t>
  </si>
  <si>
    <t>T24019</t>
  </si>
  <si>
    <t>Museum Mosede Fort</t>
  </si>
  <si>
    <t>Greve Museum</t>
  </si>
  <si>
    <t>Ansøgt 1. juni og afventer svar 20. juni</t>
  </si>
  <si>
    <t>Kjær og richter</t>
  </si>
  <si>
    <t>vla</t>
  </si>
  <si>
    <t>T24020</t>
  </si>
  <si>
    <t>Glasvej, Bo-Vita</t>
  </si>
  <si>
    <t>BO-VITA</t>
  </si>
  <si>
    <t>Kullegaard</t>
  </si>
  <si>
    <t>T24021</t>
  </si>
  <si>
    <t>Bygherrerådgivning Ballerup Kommune</t>
  </si>
  <si>
    <t>Bygherrerådgiver for kommunen i forbindelse med ombygning og tilbygning</t>
  </si>
  <si>
    <t>T24022</t>
  </si>
  <si>
    <t>Tomsagervej 1, Åbyhøj</t>
  </si>
  <si>
    <t>BilligVVS</t>
  </si>
  <si>
    <t>ATCon</t>
  </si>
  <si>
    <t>Ombygning af eksist. EA butik og lager</t>
  </si>
  <si>
    <t>T24023</t>
  </si>
  <si>
    <t>plasmaferesecenter i Kolding under OUH sundhedshus</t>
  </si>
  <si>
    <t>OUH</t>
  </si>
  <si>
    <t>TE med NJ grp</t>
  </si>
  <si>
    <t>Erik ( sprang fra 8 april)</t>
  </si>
  <si>
    <t>NJ grp i TE</t>
  </si>
  <si>
    <t>Spørge JLUN</t>
  </si>
  <si>
    <t>T24024</t>
  </si>
  <si>
    <t>OMT orlogsværft</t>
  </si>
  <si>
    <t>OMT</t>
  </si>
  <si>
    <t>Konceptdesign</t>
  </si>
  <si>
    <t>CCO ?</t>
  </si>
  <si>
    <t>T24025</t>
  </si>
  <si>
    <t>Fields structural audit</t>
  </si>
  <si>
    <t>Fields</t>
  </si>
  <si>
    <t>Vurdering af konstruktioner</t>
  </si>
  <si>
    <t>T24026</t>
  </si>
  <si>
    <t>Ribe Landevej 90 - Om og tilbygning</t>
  </si>
  <si>
    <t>Jens Christian Eske Eskesen</t>
  </si>
  <si>
    <t>Konstruktionsprojekt + Evt. ekstern ARK-hjælp</t>
  </si>
  <si>
    <t>T24027</t>
  </si>
  <si>
    <t>Bovia rammeaftale</t>
  </si>
  <si>
    <t>Rammeaftale udbud</t>
  </si>
  <si>
    <t>T24028</t>
  </si>
  <si>
    <t>EK - Katamaranen</t>
  </si>
  <si>
    <t>T24029</t>
  </si>
  <si>
    <t>T24030</t>
  </si>
  <si>
    <t>Brøndby Strand læringshus med skole og daginstitution</t>
  </si>
  <si>
    <t>Brøndby Kommune</t>
  </si>
  <si>
    <t>Afventer udbud 2027
PHA rykke Marie / CCO</t>
  </si>
  <si>
    <t>Forhåndsaftale</t>
  </si>
  <si>
    <t>T24031</t>
  </si>
  <si>
    <t>Omfartsvej Øst om Hedensted</t>
  </si>
  <si>
    <t>PQ meddelelse 9. feb. 2024</t>
  </si>
  <si>
    <t>T24032</t>
  </si>
  <si>
    <t>Plejecenter Molestien</t>
  </si>
  <si>
    <t>Bo-Vita</t>
  </si>
  <si>
    <t>Afstået fra at PQ grundet økonomi i projektet</t>
  </si>
  <si>
    <t>TE mangler</t>
  </si>
  <si>
    <t>T24033</t>
  </si>
  <si>
    <t>Ollerup Plejecenter - Tilbygning</t>
  </si>
  <si>
    <t>Svendborg kommune</t>
  </si>
  <si>
    <t>T24034</t>
  </si>
  <si>
    <t>Pq</t>
  </si>
  <si>
    <t>T24035</t>
  </si>
  <si>
    <t>Svingbane Aarup</t>
  </si>
  <si>
    <t>Fischer Ejendomme AS</t>
  </si>
  <si>
    <t>T24036</t>
  </si>
  <si>
    <t>Alpegården</t>
  </si>
  <si>
    <t>JH Smede</t>
  </si>
  <si>
    <t>Trapper og altaner</t>
  </si>
  <si>
    <t>T24037</t>
  </si>
  <si>
    <t>Helheden Boliger</t>
  </si>
  <si>
    <t>Sole Ejendomme</t>
  </si>
  <si>
    <t>RUM Arkitekter</t>
  </si>
  <si>
    <t>Tæt lav boliger</t>
  </si>
  <si>
    <t>Er blevet til en opgave</t>
  </si>
  <si>
    <t>T24038</t>
  </si>
  <si>
    <t>Ny toiletbygning -  Julsø</t>
  </si>
  <si>
    <t>En del af Gudenåsti-projektet</t>
  </si>
  <si>
    <t>T24039</t>
  </si>
  <si>
    <t>Fields Structural Audit</t>
  </si>
  <si>
    <t>Steen og Strøm</t>
  </si>
  <si>
    <t>Fejloprettet</t>
  </si>
  <si>
    <t>T24040</t>
  </si>
  <si>
    <t>SLA Office</t>
  </si>
  <si>
    <t>T24041</t>
  </si>
  <si>
    <t>NEXT praksis ademi campus nørrebro</t>
  </si>
  <si>
    <t>NEXT uddannelse Kbh</t>
  </si>
  <si>
    <t>Next</t>
  </si>
  <si>
    <t>PQ fase pr 26/1. APMM fond</t>
  </si>
  <si>
    <t>RRA Norge</t>
  </si>
  <si>
    <t>genoptaget mail 23/4 jlun</t>
  </si>
  <si>
    <t>T24042</t>
  </si>
  <si>
    <t>NN KA IM2 AE Tilbygnin</t>
  </si>
  <si>
    <t>RH Arkitekter</t>
  </si>
  <si>
    <t>I første omgang regner vi et honorat til RH ARK, da man ikke er tilfredse med det som den nuværende ingeniørrådgiver leverer (COWI)</t>
  </si>
  <si>
    <t>T24043</t>
  </si>
  <si>
    <t>Nyborg Strand, bygherrerådgivning</t>
  </si>
  <si>
    <t>Hotel Nyborg Strand</t>
  </si>
  <si>
    <t>T24044</t>
  </si>
  <si>
    <t>KLP WKG 12, brandstrategi</t>
  </si>
  <si>
    <t>T24049</t>
  </si>
  <si>
    <t>AB Liljeparken</t>
  </si>
  <si>
    <t>AB Liljeparken v. Lotte Odborg</t>
  </si>
  <si>
    <t>skal til møde i marts</t>
  </si>
  <si>
    <t>T24050</t>
  </si>
  <si>
    <t>Hvidovre roklub, nyt klubhus</t>
  </si>
  <si>
    <t>Hvidovre Kommune</t>
  </si>
  <si>
    <t>T24051</t>
  </si>
  <si>
    <t>Mælkebøtten</t>
  </si>
  <si>
    <t>T24052</t>
  </si>
  <si>
    <t>KLP rammeaftale</t>
  </si>
  <si>
    <t>T24053</t>
  </si>
  <si>
    <t>T24054</t>
  </si>
  <si>
    <t>T24055</t>
  </si>
  <si>
    <t>Vollsmose Sanering for OK</t>
  </si>
  <si>
    <t>Underlagt til rammeaftale</t>
  </si>
  <si>
    <t>T24056</t>
  </si>
  <si>
    <t>Mellemtoftevej Bestyrelse</t>
  </si>
  <si>
    <t>T24057</t>
  </si>
  <si>
    <t>Vestergade 30 Aabenraa - Verband Deutscher Büchereien Nordschleswig</t>
  </si>
  <si>
    <t>Verband Deutscher Büchereien Nordschleswig</t>
  </si>
  <si>
    <t>T24058</t>
  </si>
  <si>
    <t>ncl</t>
  </si>
  <si>
    <t>Ason A/S</t>
  </si>
  <si>
    <t>Cert. Stat - tilsyn kon og HVAC</t>
  </si>
  <si>
    <t>T24059</t>
  </si>
  <si>
    <t xml:space="preserve">Skitseprojekt vej Højme </t>
  </si>
  <si>
    <t>Tabt til WSP</t>
  </si>
  <si>
    <t>T24060</t>
  </si>
  <si>
    <t>Ellehammersvej 1 - Opdeling af lejemål og lovliggørelse</t>
  </si>
  <si>
    <t>OPC Ejendomme ApS</t>
  </si>
  <si>
    <t>PL + Brandrådg- + Cert.</t>
  </si>
  <si>
    <t>T24061</t>
  </si>
  <si>
    <t>Boldbane Svendborg</t>
  </si>
  <si>
    <t>T24062</t>
  </si>
  <si>
    <t>Theklavej</t>
  </si>
  <si>
    <t>Crescendo</t>
  </si>
  <si>
    <t>T24063</t>
  </si>
  <si>
    <t>Nykredit - Svanemølleholm</t>
  </si>
  <si>
    <t>Nykredit</t>
  </si>
  <si>
    <t>T24064</t>
  </si>
  <si>
    <t>AFD. Rødehøj andelsboligforening</t>
  </si>
  <si>
    <t>Andelsboligforeing Rødehøj</t>
  </si>
  <si>
    <t>Rødehøj</t>
  </si>
  <si>
    <t>T24065</t>
  </si>
  <si>
    <t xml:space="preserve"> P-hus Pulsen</t>
  </si>
  <si>
    <t>Roskilde kommune</t>
  </si>
  <si>
    <t>Pihl lm</t>
  </si>
  <si>
    <t xml:space="preserve">Te </t>
  </si>
  <si>
    <t>IKKE PQ</t>
  </si>
  <si>
    <t>T24066</t>
  </si>
  <si>
    <t>Plejecenterprojekt for PensionDanmark</t>
  </si>
  <si>
    <t>Pension DK</t>
  </si>
  <si>
    <t xml:space="preserve">ERIK ark </t>
  </si>
  <si>
    <t>TR med dialog - se mail fra ERIK 8/2 (JLUN)</t>
  </si>
  <si>
    <t>mangler TR ved overdragelse</t>
  </si>
  <si>
    <t>T24067</t>
  </si>
  <si>
    <t>2 mindre stiprojekter SVBG</t>
  </si>
  <si>
    <t>T24068</t>
  </si>
  <si>
    <t>Rovsinggade altaner</t>
  </si>
  <si>
    <t>Dansk Boligbyg</t>
  </si>
  <si>
    <t>T24069</t>
  </si>
  <si>
    <t>Dana Lim - stålkontruktioner</t>
  </si>
  <si>
    <t xml:space="preserve">Dana Lim   </t>
  </si>
  <si>
    <t>T24070</t>
  </si>
  <si>
    <t>TDD Scoop</t>
  </si>
  <si>
    <t>MK</t>
  </si>
  <si>
    <t>TDD på 6 centre</t>
  </si>
  <si>
    <t>T24071</t>
  </si>
  <si>
    <t>Frederiksborg Byskole</t>
  </si>
  <si>
    <t>jma</t>
  </si>
  <si>
    <t>Krav i udbud var urealistiske</t>
  </si>
  <si>
    <t>skal have en hovedentreprenør med</t>
  </si>
  <si>
    <t>T24072</t>
  </si>
  <si>
    <t>Rørholmsgade</t>
  </si>
  <si>
    <t>MST</t>
  </si>
  <si>
    <t>Nydahl VVS</t>
  </si>
  <si>
    <t>T24073</t>
  </si>
  <si>
    <t>Hillerødsholmskolen ombygning</t>
  </si>
  <si>
    <t>PQ, anlægssum 127 mio</t>
  </si>
  <si>
    <t>J&amp;N</t>
  </si>
  <si>
    <t>T24074</t>
  </si>
  <si>
    <t>MS Kanalvej bygn. 5 energimærke</t>
  </si>
  <si>
    <t>ViProCon ApS</t>
  </si>
  <si>
    <t xml:space="preserve">	ViProCon ApS</t>
  </si>
  <si>
    <t>T24075</t>
  </si>
  <si>
    <t>Nykredit - Holbæk brand</t>
  </si>
  <si>
    <t>T24076</t>
  </si>
  <si>
    <t>Fynsværket CCS</t>
  </si>
  <si>
    <t>Fynsværket</t>
  </si>
  <si>
    <t>Semco maritime</t>
  </si>
  <si>
    <t>CF Møller</t>
  </si>
  <si>
    <t>T24077</t>
  </si>
  <si>
    <t>AKA renovering</t>
  </si>
  <si>
    <t>Akademikernes A-Kasse</t>
  </si>
  <si>
    <t>Indledende brand og konstruktioner</t>
  </si>
  <si>
    <t>T24078</t>
  </si>
  <si>
    <t>DAB Esbjerg</t>
  </si>
  <si>
    <t>Talt med KLN 13/11 - prøver igen februar 2025                           2025-08-07 har fået 2 opgaver :-)</t>
  </si>
  <si>
    <t>T24079</t>
  </si>
  <si>
    <t>Plejecenter på Fanø</t>
  </si>
  <si>
    <t>Fanø Boligselskab</t>
  </si>
  <si>
    <t>Domea</t>
  </si>
  <si>
    <t>Q2-2027</t>
  </si>
  <si>
    <t>nybyg tidlig hold (JLUN)</t>
  </si>
  <si>
    <t>5500 m²</t>
  </si>
  <si>
    <t>T24080</t>
  </si>
  <si>
    <t>Autisme Center NT2</t>
  </si>
  <si>
    <t>Pt op til 6 lignende projekter i pipeline</t>
  </si>
  <si>
    <t>T24081</t>
  </si>
  <si>
    <t>Vejle Kulturhus og Musikskole ved DGI huset</t>
  </si>
  <si>
    <t>TE - Guldfeldt</t>
  </si>
  <si>
    <t>Budget 94,4 mill - Er også oprettet som TR med CEBRA. Vi ved ikke endnu hvordan den kommer ud.</t>
  </si>
  <si>
    <t>Guldfeldt</t>
  </si>
  <si>
    <t>T24082</t>
  </si>
  <si>
    <t>Eriksborg Skole</t>
  </si>
  <si>
    <t>Nordstern/RUM</t>
  </si>
  <si>
    <t>Budget 50 mill - opførelse af skole</t>
  </si>
  <si>
    <t>T24083</t>
  </si>
  <si>
    <t>Boliger på Bülowsvej Sønderborg</t>
  </si>
  <si>
    <t>TE Chr. Johansen</t>
  </si>
  <si>
    <t>Budget 24 mio</t>
  </si>
  <si>
    <t>T24084</t>
  </si>
  <si>
    <t>Skovlunde Skole - udvidelse</t>
  </si>
  <si>
    <t>Rønnow Arkitekter</t>
  </si>
  <si>
    <t>T24085</t>
  </si>
  <si>
    <t>BHR for Odense Kommune Anlæg</t>
  </si>
  <si>
    <t>T24086</t>
  </si>
  <si>
    <t>Skitseprojekt for nye vejadgang til Dyreskuepladsen</t>
  </si>
  <si>
    <t>T24087</t>
  </si>
  <si>
    <t>Aabenraa Arena - Ny svømmehal</t>
  </si>
  <si>
    <t>TI?</t>
  </si>
  <si>
    <t>T24088</t>
  </si>
  <si>
    <t>Friluftspavillonen i Kolding</t>
  </si>
  <si>
    <t>LABLAND</t>
  </si>
  <si>
    <t>Ny friluftspavillon for Kolding Kommune</t>
  </si>
  <si>
    <t>T24089</t>
  </si>
  <si>
    <t>NN Farmatech Køge - Rørbro</t>
  </si>
  <si>
    <t>Langbjerg</t>
  </si>
  <si>
    <t>KON (stål)</t>
  </si>
  <si>
    <t>T24090</t>
  </si>
  <si>
    <t>Gladsaxe byplan tresporet skole børnehus indrætsfacilitet</t>
  </si>
  <si>
    <t>Gladsaxe kommune</t>
  </si>
  <si>
    <t>jaja</t>
  </si>
  <si>
    <t>T24091</t>
  </si>
  <si>
    <t xml:space="preserve">Flytning af busstop på Otterupvej </t>
  </si>
  <si>
    <t>T24092</t>
  </si>
  <si>
    <t>INHOUSE projektering VD</t>
  </si>
  <si>
    <t>Vejdirektoratet</t>
  </si>
  <si>
    <t>T24093</t>
  </si>
  <si>
    <t>DOMU børnehaver Horsens</t>
  </si>
  <si>
    <t>T24094</t>
  </si>
  <si>
    <t>Vestbad Rødovre - tilstandsundersøgelse</t>
  </si>
  <si>
    <t>Afventer TI</t>
  </si>
  <si>
    <t>T24095</t>
  </si>
  <si>
    <t>AO butikker BH rådgivning ifbm ombygninger</t>
  </si>
  <si>
    <t>T24096</t>
  </si>
  <si>
    <t>Prags Boulevard  Holmbladsgade</t>
  </si>
  <si>
    <t>BO vita</t>
  </si>
  <si>
    <t>Bo vita</t>
  </si>
  <si>
    <t>Kullegård</t>
  </si>
  <si>
    <t>T24097</t>
  </si>
  <si>
    <t>Børnehuset Knolden Odense</t>
  </si>
  <si>
    <t>T24098</t>
  </si>
  <si>
    <t>Generationernes Hus - Cx bistand</t>
  </si>
  <si>
    <t>Hjælp på timebasis</t>
  </si>
  <si>
    <t>T24099</t>
  </si>
  <si>
    <t>TDD Bavnehøjvej 5</t>
  </si>
  <si>
    <t>Villemoes Holding</t>
  </si>
  <si>
    <t>T24100</t>
  </si>
  <si>
    <t>SANOVO ny hal og kontor</t>
  </si>
  <si>
    <t>SANOVO</t>
  </si>
  <si>
    <t>Ivan Nielsense Tegnestue</t>
  </si>
  <si>
    <t>Afvente rintromøde med kunde og BH</t>
  </si>
  <si>
    <t>Ivan Nielsen</t>
  </si>
  <si>
    <t>T24101</t>
  </si>
  <si>
    <t>Velkomstcenter i Viborg</t>
  </si>
  <si>
    <t>PQ fase pr 12032024</t>
  </si>
  <si>
    <t>Friis og Moltke</t>
  </si>
  <si>
    <t>Hår opnået PQ</t>
  </si>
  <si>
    <t>T24102</t>
  </si>
  <si>
    <t>hospice på Sankt Lukas Stiftelsen</t>
  </si>
  <si>
    <t>APM fonden</t>
  </si>
  <si>
    <t>Projekt konkurrence aftalt 5/9-24 jlun</t>
  </si>
  <si>
    <t xml:space="preserve">Friss og Molte </t>
  </si>
  <si>
    <t>T24103</t>
  </si>
  <si>
    <t>Hornsyld Idrætsbørnehus</t>
  </si>
  <si>
    <t>Erik Nord arkitekter</t>
  </si>
  <si>
    <t>T24104</t>
  </si>
  <si>
    <t>Byggemodning Vejen</t>
  </si>
  <si>
    <t>Vejen kommune</t>
  </si>
  <si>
    <t>T24105</t>
  </si>
  <si>
    <t>Platanvej - projektering</t>
  </si>
  <si>
    <t>Forma arkitekter</t>
  </si>
  <si>
    <t>Disp. + PF + Mynd. (alle fag bortset fra brand)</t>
  </si>
  <si>
    <t>T24106</t>
  </si>
  <si>
    <t>NZ BA Tanktainer DD+tilsyn</t>
  </si>
  <si>
    <t>Novonesis</t>
  </si>
  <si>
    <t>Tidsplan: ??. 
DD (opfølgning på KON) + brand BK1</t>
  </si>
  <si>
    <t>T24107</t>
  </si>
  <si>
    <t>TR - Vejle Kulturhus og Musikskole ved DGI huset</t>
  </si>
  <si>
    <t>Er også oprettet som TE med Guldfelt</t>
  </si>
  <si>
    <t>CEBRA</t>
  </si>
  <si>
    <t>T24108</t>
  </si>
  <si>
    <t>Sydlig Ringvej</t>
  </si>
  <si>
    <t>timeafregnet uden loft</t>
  </si>
  <si>
    <t>T24109</t>
  </si>
  <si>
    <t>LAR Østergade Hesselager</t>
  </si>
  <si>
    <t>CGS</t>
  </si>
  <si>
    <t>Svendborg Spildevand</t>
  </si>
  <si>
    <t>T24110</t>
  </si>
  <si>
    <t>Bambuni - Nyt Robotlager - Brand</t>
  </si>
  <si>
    <t>Bambuni Denmark ApS</t>
  </si>
  <si>
    <t>Bambuni - Asger Krag</t>
  </si>
  <si>
    <t>Brandsag</t>
  </si>
  <si>
    <t>T24111</t>
  </si>
  <si>
    <t>NN BA 1N - ProdSupportByg</t>
  </si>
  <si>
    <t>Totalentrepriseudbud på baggrund af projektforslag (BD). Indeholdende kontor, prod.køk., kantine, omklæd. mv..
2024-05-06: Hoffmann har trukket sig fra udbudet. Men vi har været heldige at 5e har spurgt, se tilbud T24168.</t>
  </si>
  <si>
    <t>T24112</t>
  </si>
  <si>
    <t>ARCA Crossfit Indskudt dæk</t>
  </si>
  <si>
    <t>Olav de Linde</t>
  </si>
  <si>
    <t>Lovliggørelse af indskudt  - bergninger</t>
  </si>
  <si>
    <t>T24113</t>
  </si>
  <si>
    <t>T24114</t>
  </si>
  <si>
    <t>KLP KFP NN etage 4 mødecenter</t>
  </si>
  <si>
    <t>KLP HUB1</t>
  </si>
  <si>
    <t>T24115</t>
  </si>
  <si>
    <t>Seden Skole ombygning</t>
  </si>
  <si>
    <t>rum arkitekter (TR)</t>
  </si>
  <si>
    <t>T24116</t>
  </si>
  <si>
    <t>Solrød Renseanlæg</t>
  </si>
  <si>
    <t>KLAR Forsyning</t>
  </si>
  <si>
    <t>Renseanlæg til 100.000.000 Tilbud er Kun El</t>
  </si>
  <si>
    <t>T24117</t>
  </si>
  <si>
    <t xml:space="preserve">City Camp Assens </t>
  </si>
  <si>
    <t>E+N Århus</t>
  </si>
  <si>
    <t>T24118</t>
  </si>
  <si>
    <t>Ejstrupholm Skole</t>
  </si>
  <si>
    <t>Ikast Brande Kommune</t>
  </si>
  <si>
    <t>Skala Arkitekter</t>
  </si>
  <si>
    <t>udbud 46 - projektering fra uge 9 2025 - totalbudget 42 mio. kr.</t>
  </si>
  <si>
    <t>Skalarkitekter</t>
  </si>
  <si>
    <t>T24119</t>
  </si>
  <si>
    <t>Byggemodning Vejen Kommune</t>
  </si>
  <si>
    <t>TS</t>
  </si>
  <si>
    <t>T24120</t>
  </si>
  <si>
    <t>Singapore Køkken</t>
  </si>
  <si>
    <t>CERVO GRUPPEN</t>
  </si>
  <si>
    <t>CERVO GRUPPEN - Tommy Madsen</t>
  </si>
  <si>
    <t>Screening/indledende analyse</t>
  </si>
  <si>
    <t>T24121</t>
  </si>
  <si>
    <t>Boliger i Rinkenæs</t>
  </si>
  <si>
    <t>Rescale</t>
  </si>
  <si>
    <t>40 boliger samt byggemodning og vej</t>
  </si>
  <si>
    <t>T24122</t>
  </si>
  <si>
    <t>Savills - Købmagergade 60</t>
  </si>
  <si>
    <t>Savills Invest</t>
  </si>
  <si>
    <t>savills Invest</t>
  </si>
  <si>
    <t>ombygning af 1 sal - kontor</t>
  </si>
  <si>
    <t>T24123</t>
  </si>
  <si>
    <t>Beldringevej - Nyt bassin og stik</t>
  </si>
  <si>
    <t>Honorar er skønnet - tilbud gives på timerater</t>
  </si>
  <si>
    <t>T24124</t>
  </si>
  <si>
    <t>Boligbyggeri i træ</t>
  </si>
  <si>
    <t>Emcon</t>
  </si>
  <si>
    <t>Sagen er meget lidt belyst</t>
  </si>
  <si>
    <t>T24125</t>
  </si>
  <si>
    <t>16 boliger i Frederikssund</t>
  </si>
  <si>
    <t>Rasmus Rasmus arkitekter</t>
  </si>
  <si>
    <t>Estimat sendt den 08.04.2024</t>
  </si>
  <si>
    <t>T24126</t>
  </si>
  <si>
    <t>Kanaliseringsanlæg ved Espe</t>
  </si>
  <si>
    <t>Jørgen Clausen</t>
  </si>
  <si>
    <t>Estimat sendes den 29.04.2024</t>
  </si>
  <si>
    <t>T24127</t>
  </si>
  <si>
    <t>Plejehjem i Skovparken</t>
  </si>
  <si>
    <t>Boligselskabet Kolding - Kolding Kommune</t>
  </si>
  <si>
    <t>TE Egil Rasmussen</t>
  </si>
  <si>
    <t>Q2-2029</t>
  </si>
  <si>
    <t>Denne aftale er på TE (Udbudsform ikke kendt endnu)</t>
  </si>
  <si>
    <t>LINK arkitekter</t>
  </si>
  <si>
    <t>T24128</t>
  </si>
  <si>
    <t>Tandklinik Silkeborg Kommune</t>
  </si>
  <si>
    <t>Forventet TR opgave, endnu ikke afklaret</t>
  </si>
  <si>
    <t>Ikke aktuel</t>
  </si>
  <si>
    <t>T24129</t>
  </si>
  <si>
    <t>Domicil - Stengårdsvej Middelfart</t>
  </si>
  <si>
    <t>Flyttet til T24193</t>
  </si>
  <si>
    <t>T24130</t>
  </si>
  <si>
    <t>Superbrugsen Jægerspris</t>
  </si>
  <si>
    <t>COOP</t>
  </si>
  <si>
    <t>TE - Adserballe og Knudsen</t>
  </si>
  <si>
    <t>T24131</t>
  </si>
  <si>
    <t>Strandvejen 49 Slagelse</t>
  </si>
  <si>
    <t>Strandvejen 49 Aps (JBS + Sams)</t>
  </si>
  <si>
    <t>Steen Palsbøll Arkitekter</t>
  </si>
  <si>
    <t>Alle discipliner</t>
  </si>
  <si>
    <t>7600m2</t>
  </si>
  <si>
    <t>T24132</t>
  </si>
  <si>
    <t>Ny central tandklinik i Grindsted</t>
  </si>
  <si>
    <t>Totalrådgivning udbud i HE</t>
  </si>
  <si>
    <t xml:space="preserve"> 825 m2</t>
  </si>
  <si>
    <t>LINK Arkitektur</t>
  </si>
  <si>
    <t>T24133</t>
  </si>
  <si>
    <t>Fanø Bryghus</t>
  </si>
  <si>
    <t>Nem Byg</t>
  </si>
  <si>
    <t>T24134</t>
  </si>
  <si>
    <t>Energivej 17</t>
  </si>
  <si>
    <t>Konstruktioner og Brand</t>
  </si>
  <si>
    <t>T24135</t>
  </si>
  <si>
    <t>POE-ZITON</t>
  </si>
  <si>
    <t>POE</t>
  </si>
  <si>
    <t>T24136</t>
  </si>
  <si>
    <t>P-hus Bavnehøjvej</t>
  </si>
  <si>
    <t>T24137</t>
  </si>
  <si>
    <t>Besøgscenter Egtveds pigens verden</t>
  </si>
  <si>
    <t>Tilbud sendt</t>
  </si>
  <si>
    <t>NORRØN</t>
  </si>
  <si>
    <t>T24138</t>
  </si>
  <si>
    <t>Børsen København genopførsel</t>
  </si>
  <si>
    <t xml:space="preserve">Børsen </t>
  </si>
  <si>
    <t>Børsen</t>
  </si>
  <si>
    <t>Q3-2029</t>
  </si>
  <si>
    <t>Tidlig hold (JLUN) afsøger muligheder</t>
  </si>
  <si>
    <t>Evt hold fra Nat. Museum kbh</t>
  </si>
  <si>
    <t>T24139</t>
  </si>
  <si>
    <t>Fladså Svømmehal - anlæg på tag</t>
  </si>
  <si>
    <t>Næstved Kommune</t>
  </si>
  <si>
    <t>TeknologiskInstitut</t>
  </si>
  <si>
    <t>T24140</t>
  </si>
  <si>
    <t>Vinding Skole - Ombygning madkundskab</t>
  </si>
  <si>
    <t>CA</t>
  </si>
  <si>
    <t>Bærende konstruktioner</t>
  </si>
  <si>
    <t>T24141</t>
  </si>
  <si>
    <t xml:space="preserve">Anesminde </t>
  </si>
  <si>
    <t>MWK JLUN</t>
  </si>
  <si>
    <t>T24142</t>
  </si>
  <si>
    <t>Møllestien - Ombygning til ældreboliger</t>
  </si>
  <si>
    <t>TE Egil Rasmussen as</t>
  </si>
  <si>
    <t>T24143</t>
  </si>
  <si>
    <t>Hedensted Kommune - CTS paradigme</t>
  </si>
  <si>
    <t>Hedensted Kommune - Jakob Momme</t>
  </si>
  <si>
    <t>Medgået tid</t>
  </si>
  <si>
    <t>T24144</t>
  </si>
  <si>
    <t>SIM - potentiale i jordkøl</t>
  </si>
  <si>
    <t>T24145</t>
  </si>
  <si>
    <t>Mandelhaven - 5årsefetrsyn - JRJ</t>
  </si>
  <si>
    <t>T24146</t>
  </si>
  <si>
    <t>T24147</t>
  </si>
  <si>
    <t>Varde Teater- og Musikhus</t>
  </si>
  <si>
    <t>Jorton</t>
  </si>
  <si>
    <t>Jorton - Peter Storkholm - TE</t>
  </si>
  <si>
    <t>Udbudt i hovedentreprise</t>
  </si>
  <si>
    <t>T24148</t>
  </si>
  <si>
    <t>Engvangskolen - renovering</t>
  </si>
  <si>
    <t>Ikast-Brande Kommune</t>
  </si>
  <si>
    <t>Færch &amp; co og Skala</t>
  </si>
  <si>
    <t>budget 44 mio. kr.</t>
  </si>
  <si>
    <t>T24149</t>
  </si>
  <si>
    <t>Lautrup Vandværk</t>
  </si>
  <si>
    <t>Trapper og værn</t>
  </si>
  <si>
    <t>T24150</t>
  </si>
  <si>
    <t>Sommerhusområde ved Skåstrup strand</t>
  </si>
  <si>
    <t>Skønnet honorar - afgives timepriser</t>
  </si>
  <si>
    <t>T24151</t>
  </si>
  <si>
    <t>Cortex Park etape 1.4</t>
  </si>
  <si>
    <t>T24152</t>
  </si>
  <si>
    <t xml:space="preserve">Adelgade Syd Skanderborg </t>
  </si>
  <si>
    <t xml:space="preserve">Skanderborg Kommune </t>
  </si>
  <si>
    <t xml:space="preserve">Skønnet honorar </t>
  </si>
  <si>
    <t>C.F.M</t>
  </si>
  <si>
    <t>T24153</t>
  </si>
  <si>
    <t>Gulvbelastninger SGRE ved løfteåg</t>
  </si>
  <si>
    <t>Siemens Gamesa</t>
  </si>
  <si>
    <t>Seasight Solutions</t>
  </si>
  <si>
    <t>T24154</t>
  </si>
  <si>
    <t>Omsorgscenter Kærbo</t>
  </si>
  <si>
    <t>Ishøj Kommune</t>
  </si>
  <si>
    <t>RUM jf mail 23/4 jlun</t>
  </si>
  <si>
    <t>T24155</t>
  </si>
  <si>
    <t>ARWOS markedsundersøgelse 2024</t>
  </si>
  <si>
    <t>ARWOS</t>
  </si>
  <si>
    <t>Tilbud timepriser til fremtidige sager</t>
  </si>
  <si>
    <t>T24156</t>
  </si>
  <si>
    <t>Helipad Viborg sygehus</t>
  </si>
  <si>
    <t>Region Midtjylland</t>
  </si>
  <si>
    <t>Sammen med HSM</t>
  </si>
  <si>
    <t>T24157</t>
  </si>
  <si>
    <t>Vedbæk fundene</t>
  </si>
  <si>
    <t>Tidligt hold</t>
  </si>
  <si>
    <t xml:space="preserve">Bollinger + Grohmann </t>
  </si>
  <si>
    <t>T24158</t>
  </si>
  <si>
    <t>KAB rammeaftale - Nybyg</t>
  </si>
  <si>
    <t>Adept</t>
  </si>
  <si>
    <t xml:space="preserve">Luplau &amp; Poulsen </t>
  </si>
  <si>
    <t>T24159</t>
  </si>
  <si>
    <t>MP Allerups Vej - Afvanding af nordlige matrikler samt nyt bassin</t>
  </si>
  <si>
    <t>T24160</t>
  </si>
  <si>
    <t>Carbon Capture, EVIDA</t>
  </si>
  <si>
    <t>EVIDA</t>
  </si>
  <si>
    <t>T24161</t>
  </si>
  <si>
    <t>Randers Boligforening 27 Boliger</t>
  </si>
  <si>
    <t xml:space="preserve">Randers Boligforening </t>
  </si>
  <si>
    <t>Randers Boligforening af 1940</t>
  </si>
  <si>
    <t>TE eftersøges</t>
  </si>
  <si>
    <t>T24162</t>
  </si>
  <si>
    <t>Kulturområde Hedelumd og Vildmosemuseet</t>
  </si>
  <si>
    <t>j</t>
  </si>
  <si>
    <t>Brønderslev Kommune</t>
  </si>
  <si>
    <t>Brønderslev kommune</t>
  </si>
  <si>
    <t>Landskab og lokal arkitekt eftersøges</t>
  </si>
  <si>
    <t>Aftalen er bekræftet d. 20.09.24 mellem Marie Partoft og MP</t>
  </si>
  <si>
    <t>T24163</t>
  </si>
  <si>
    <t xml:space="preserve">Vejle kommune - Screening af poteiale for solceller </t>
  </si>
  <si>
    <t xml:space="preserve"> - </t>
  </si>
  <si>
    <t>T24164</t>
  </si>
  <si>
    <t>Skolegade 7-9 - Nye installationer i gymnastiksal</t>
  </si>
  <si>
    <t>KE</t>
  </si>
  <si>
    <t>T24165</t>
  </si>
  <si>
    <t>Multisal i Stensballe</t>
  </si>
  <si>
    <t>SGR</t>
  </si>
  <si>
    <t>T24166</t>
  </si>
  <si>
    <t>Friplejehjem Gymnasievej Blomsterengen</t>
  </si>
  <si>
    <t>Fonden Den Danske Diakonissestiftelse</t>
  </si>
  <si>
    <t>T24167</t>
  </si>
  <si>
    <t>Kjærbygaard Mat 28 27 20</t>
  </si>
  <si>
    <t>Hines</t>
  </si>
  <si>
    <t>ikke valgt pt</t>
  </si>
  <si>
    <t>T24168</t>
  </si>
  <si>
    <t>Kontorhus NOVO</t>
  </si>
  <si>
    <t>JLUN og HKJ</t>
  </si>
  <si>
    <t>NOVO</t>
  </si>
  <si>
    <t>5e</t>
  </si>
  <si>
    <t>T24169</t>
  </si>
  <si>
    <t>Jordentreprise Odense Nord</t>
  </si>
  <si>
    <t>T24170</t>
  </si>
  <si>
    <t>Rosenholmene Etape 1N Friplejehjem</t>
  </si>
  <si>
    <t>Rosenfeldt</t>
  </si>
  <si>
    <t>Friplejehjem hold med ERIK (JLUN) -udået</t>
  </si>
  <si>
    <t>T24171</t>
  </si>
  <si>
    <t>Ny daginstitution i Videbæk</t>
  </si>
  <si>
    <t>T24172</t>
  </si>
  <si>
    <t xml:space="preserve">ØG - Skure og taghuse </t>
  </si>
  <si>
    <t>Stålopgave</t>
  </si>
  <si>
    <t>T24173</t>
  </si>
  <si>
    <t>Copenhagen Classic Cars</t>
  </si>
  <si>
    <t>Forma</t>
  </si>
  <si>
    <t>T24174</t>
  </si>
  <si>
    <t>Lundskole - Transformation</t>
  </si>
  <si>
    <t>Aftale med rasmusrasmus ark</t>
  </si>
  <si>
    <t>2.200 m2</t>
  </si>
  <si>
    <t>T24175</t>
  </si>
  <si>
    <t>Ejlstruphave Odense</t>
  </si>
  <si>
    <t>Skjøde</t>
  </si>
  <si>
    <t>T24176</t>
  </si>
  <si>
    <t>Brandråd. Oksen Bygn. 303 - Etape 1</t>
  </si>
  <si>
    <t>Forsvarsministeriet</t>
  </si>
  <si>
    <t>Forsvarsministeriet Ejendomsstyrelse</t>
  </si>
  <si>
    <t>T24177</t>
  </si>
  <si>
    <t>Sommerbæk skole Etape 2</t>
  </si>
  <si>
    <t>6.100 m2</t>
  </si>
  <si>
    <t>T24178</t>
  </si>
  <si>
    <t>Theilgaard</t>
  </si>
  <si>
    <t>Slagter Theilgaard</t>
  </si>
  <si>
    <t xml:space="preserve"> - rykket J&amp;J primo august</t>
  </si>
  <si>
    <t>90 m2</t>
  </si>
  <si>
    <t>T24179</t>
  </si>
  <si>
    <t>Haraldskær - Nordfløj</t>
  </si>
  <si>
    <t>120 m2</t>
  </si>
  <si>
    <t>T24180</t>
  </si>
  <si>
    <t>Lærkeskolen i Egedal Kommune</t>
  </si>
  <si>
    <t>Egedal Kommune</t>
  </si>
  <si>
    <t>Skitseforslag stade 21/5-24 jlun se mail arkiv - udgået</t>
  </si>
  <si>
    <t>BBP</t>
  </si>
  <si>
    <t>T24181</t>
  </si>
  <si>
    <t>AU Rammeaftale for rådgivning</t>
  </si>
  <si>
    <t>Region Midtjylland, Aarhus Universitetshospital</t>
  </si>
  <si>
    <t>T24182</t>
  </si>
  <si>
    <t>NREP - Project tiger</t>
  </si>
  <si>
    <t>CCM for NREP, bolig og hotel i Ørestaden</t>
  </si>
  <si>
    <t>14.000 m²</t>
  </si>
  <si>
    <t>T24183</t>
  </si>
  <si>
    <t>NREP - Hørkær Have</t>
  </si>
  <si>
    <t>CCM for NREP, 260 boliger i Herlev</t>
  </si>
  <si>
    <t>23.000 m²</t>
  </si>
  <si>
    <t>T24184</t>
  </si>
  <si>
    <t>AKA ombygning</t>
  </si>
  <si>
    <t>Akademikernes A-kasse</t>
  </si>
  <si>
    <t>Ombygning af kontorer - alle fag med CCO</t>
  </si>
  <si>
    <t>4.000 m²</t>
  </si>
  <si>
    <t>T24185</t>
  </si>
  <si>
    <t>Transformation af Værftshal 19 Helsingør</t>
  </si>
  <si>
    <t>Ombygning af hal til bådebygger uddannelse</t>
  </si>
  <si>
    <t>T24186</t>
  </si>
  <si>
    <t>Fase 2 programmering VD</t>
  </si>
  <si>
    <t>T24187</t>
  </si>
  <si>
    <t>Trapholt udvidelse og modtagelse</t>
  </si>
  <si>
    <t>Kolding kommune</t>
  </si>
  <si>
    <t>T24188</t>
  </si>
  <si>
    <t>LSCH - Hotel Lyngby Storcenter</t>
  </si>
  <si>
    <t>Danske Shoppingcentre</t>
  </si>
  <si>
    <t>Hoffman</t>
  </si>
  <si>
    <t>TE med Hoffmann og PLH</t>
  </si>
  <si>
    <t>T24189</t>
  </si>
  <si>
    <t>LIDL Herning Messevej</t>
  </si>
  <si>
    <t>LIDL Ejendomme</t>
  </si>
  <si>
    <t xml:space="preserve">Tilbud er sendt </t>
  </si>
  <si>
    <t>T24190</t>
  </si>
  <si>
    <t>Børnehave i Ribe</t>
  </si>
  <si>
    <t>Lolk er TR - ca. 65 mio i totalbudget</t>
  </si>
  <si>
    <t>T24191</t>
  </si>
  <si>
    <t xml:space="preserve">Rammeaftale </t>
  </si>
  <si>
    <t xml:space="preserve"> SamAqua, 5 forsyninger</t>
  </si>
  <si>
    <t>T24192</t>
  </si>
  <si>
    <t>Kildedalen - Krybberum</t>
  </si>
  <si>
    <t>T24193</t>
  </si>
  <si>
    <t>EHS - Stensgårdsvej erhvervshus</t>
  </si>
  <si>
    <t>Self Invest</t>
  </si>
  <si>
    <t>BASE Erhverv</t>
  </si>
  <si>
    <t>Tilbud er sendt den 20.06.24</t>
  </si>
  <si>
    <t>T24194</t>
  </si>
  <si>
    <t>Amager Strandvej 390</t>
  </si>
  <si>
    <t>PFA</t>
  </si>
  <si>
    <t>Cores</t>
  </si>
  <si>
    <t>T24195</t>
  </si>
  <si>
    <t>Batterifabrik</t>
  </si>
  <si>
    <t>Nicon</t>
  </si>
  <si>
    <t>T24196</t>
  </si>
  <si>
    <t>T24197</t>
  </si>
  <si>
    <t>Genopretning af veje på Ærø</t>
  </si>
  <si>
    <t>Ærø Kommune</t>
  </si>
  <si>
    <t>Vingsted ny værelsesfløj</t>
  </si>
  <si>
    <t>Vingsted Hotel og Konference</t>
  </si>
  <si>
    <t>Indledende timer i ressourceplan</t>
  </si>
  <si>
    <t>T24198</t>
  </si>
  <si>
    <t>Vestergaard parkering og telthaller</t>
  </si>
  <si>
    <t>Vestergaard Company</t>
  </si>
  <si>
    <t>T24200</t>
  </si>
  <si>
    <t>Veilgårdsvej 4, Lovliggørelse</t>
  </si>
  <si>
    <t>MSO</t>
  </si>
  <si>
    <t>T24201</t>
  </si>
  <si>
    <t>Prags Boulevard 55</t>
  </si>
  <si>
    <t>Nye boliger og tilbygning og renovering</t>
  </si>
  <si>
    <t>T24202</t>
  </si>
  <si>
    <t>Danmarksvej 27</t>
  </si>
  <si>
    <t>Hà Ngoc Vu</t>
  </si>
  <si>
    <t>Bygherrerådgivning og fagtilsyn (opbygning)</t>
  </si>
  <si>
    <t>T24203</t>
  </si>
  <si>
    <t>Hjertinghus tilbygning</t>
  </si>
  <si>
    <t>Hjerting Idrætsforening</t>
  </si>
  <si>
    <t>T24204</t>
  </si>
  <si>
    <t>T24205</t>
  </si>
  <si>
    <t>Tegneassistance Odensen kommune</t>
  </si>
  <si>
    <t>T24206</t>
  </si>
  <si>
    <t>Super Brugsen Jægerspris</t>
  </si>
  <si>
    <t xml:space="preserve">CBRE Hedensted </t>
  </si>
  <si>
    <t>Sparring og tegneasssistance</t>
  </si>
  <si>
    <t>T24207</t>
  </si>
  <si>
    <t>Kirkegade 1 - anvendelsesændring</t>
  </si>
  <si>
    <t>HC Lyngshøj</t>
  </si>
  <si>
    <t>BK og KK</t>
  </si>
  <si>
    <t>T24208</t>
  </si>
  <si>
    <t>Boligselskabet Sct. Jørgen - Skalmaparken afd. 47 - boliger og fælleshus</t>
  </si>
  <si>
    <t xml:space="preserve">Boligselskabet Sct. Jørgen </t>
  </si>
  <si>
    <t>Vognsen</t>
  </si>
  <si>
    <t>TE hold med Vognsen og AART</t>
  </si>
  <si>
    <t>AART</t>
  </si>
  <si>
    <t>VOgnsen</t>
  </si>
  <si>
    <t>T24209</t>
  </si>
  <si>
    <t>Horsens Centret  - Ombygning Bassinområde</t>
  </si>
  <si>
    <t xml:space="preserve">Horsens Centret ApS </t>
  </si>
  <si>
    <t>Horsens Centret ApS</t>
  </si>
  <si>
    <t>Sammen med Ginnerup Arkitekter</t>
  </si>
  <si>
    <t>T24210</t>
  </si>
  <si>
    <t>EH Semco</t>
  </si>
  <si>
    <t>Indledende analyser oprettet som 242300 - snakket med Semco primo November - facilitet geopdages primo 2025</t>
  </si>
  <si>
    <t>T24211</t>
  </si>
  <si>
    <t>Viking</t>
  </si>
  <si>
    <t>CF Møller forsøger at åbne døren for os - talt med Jonas 20/12</t>
  </si>
  <si>
    <t>T24212</t>
  </si>
  <si>
    <t>Mølle Alle</t>
  </si>
  <si>
    <t>Udviklingsprojekt for 2LP med 3F som slutkunde</t>
  </si>
  <si>
    <t>T24213</t>
  </si>
  <si>
    <t>Test MP</t>
  </si>
  <si>
    <t>MP</t>
  </si>
  <si>
    <t>T24214</t>
  </si>
  <si>
    <t>Skibhusvej 3 og 5 Nrep</t>
  </si>
  <si>
    <t>Nrep</t>
  </si>
  <si>
    <t>Udbud og renovering</t>
  </si>
  <si>
    <t>T24215</t>
  </si>
  <si>
    <t>KLP HUB Tilsyn as-built Etage 6</t>
  </si>
  <si>
    <t>T24216</t>
  </si>
  <si>
    <t>Nykredit Holbæk - Lejetilpasninger</t>
  </si>
  <si>
    <t>Pluskontoret</t>
  </si>
  <si>
    <t>T24217</t>
  </si>
  <si>
    <t>Albo Horsens, renovering af sønderport afd. 2</t>
  </si>
  <si>
    <t>Albo Horsens</t>
  </si>
  <si>
    <t>Renovering af almene boliger</t>
  </si>
  <si>
    <t>T24218</t>
  </si>
  <si>
    <t>Energinet p-plads udvidelse</t>
  </si>
  <si>
    <t xml:space="preserve">Energinet </t>
  </si>
  <si>
    <t>Henrik Frisesdahl A/S</t>
  </si>
  <si>
    <t>Underrådgiver til Hans Frisesdahl A/S</t>
  </si>
  <si>
    <t>T24219</t>
  </si>
  <si>
    <t>Ventilation Tistrup Skole</t>
  </si>
  <si>
    <t>T24220</t>
  </si>
  <si>
    <t>Rønnevang aktivitetshus</t>
  </si>
  <si>
    <t>Tilbud er sendt den 19.06.24</t>
  </si>
  <si>
    <t>T24221</t>
  </si>
  <si>
    <t>Pavillon-Madpakkehus</t>
  </si>
  <si>
    <t>Marius Pedersen</t>
  </si>
  <si>
    <t>T24222</t>
  </si>
  <si>
    <t xml:space="preserve">Ladeplads for lastbiler </t>
  </si>
  <si>
    <t>T24223</t>
  </si>
  <si>
    <t>Retspsykiatri i Esbjerg</t>
  </si>
  <si>
    <t>Erik Arkitekter</t>
  </si>
  <si>
    <t>T24224</t>
  </si>
  <si>
    <t>Børnehuset Øster Allé 1 &amp; 5 - Ventilation</t>
  </si>
  <si>
    <t>Horsens Kommune, Teknik og Miljø - Ejendomme</t>
  </si>
  <si>
    <t>Timeestimat sendes i uge 25</t>
  </si>
  <si>
    <t>T24225</t>
  </si>
  <si>
    <t>Nyt center for Socialpsykiatri</t>
  </si>
  <si>
    <t>NemByg</t>
  </si>
  <si>
    <t>T24226</t>
  </si>
  <si>
    <t>Nærhospital Middelfart Etape II</t>
  </si>
  <si>
    <t>Er lagt ind med "opstartshonorar"</t>
  </si>
  <si>
    <t>T24227</t>
  </si>
  <si>
    <t>Ny skole i fredericia</t>
  </si>
  <si>
    <t xml:space="preserve">Fremtiden Skole og skal ligge på Indre Ringvej </t>
  </si>
  <si>
    <t>TE Nordstern</t>
  </si>
  <si>
    <t>Uddanelse</t>
  </si>
  <si>
    <t>T24228</t>
  </si>
  <si>
    <t>Billund Kommune, Ressourceperson</t>
  </si>
  <si>
    <t>T24229</t>
  </si>
  <si>
    <t>Jobcenter Horsens, Hattingvej</t>
  </si>
  <si>
    <t>Horsens Kommune - Ejendomme</t>
  </si>
  <si>
    <t>T24230</t>
  </si>
  <si>
    <t>Skovsbovej 136 - Terrasse</t>
  </si>
  <si>
    <t>Liljebyg</t>
  </si>
  <si>
    <t>T24231</t>
  </si>
  <si>
    <t>Boformsboliger, Snåstrup Vestergaard, Harlev</t>
  </si>
  <si>
    <t>Aarhus Kommune, Magistraten For Sociale Forhold og Beskæftigelse</t>
  </si>
  <si>
    <t>P+P Arkitekter</t>
  </si>
  <si>
    <t>Prækvalificeret
Tilbud afleveres 31.10.24</t>
  </si>
  <si>
    <t>T24232</t>
  </si>
  <si>
    <t>Næstved Storcenter</t>
  </si>
  <si>
    <t>SCCP</t>
  </si>
  <si>
    <t>Naestved Storcenter ApS</t>
  </si>
  <si>
    <t>Tidsplan: ??. 
Ombygning af Midtertorvet (EL, HVAC, KON, PL)</t>
  </si>
  <si>
    <t>T24233</t>
  </si>
  <si>
    <t>Klintebjerg Efterskole</t>
  </si>
  <si>
    <t>Sunke Arkitekter</t>
  </si>
  <si>
    <t>T24234</t>
  </si>
  <si>
    <t>VFF Hunderrupskolen, Odense Kommune</t>
  </si>
  <si>
    <t>T24235</t>
  </si>
  <si>
    <t>Serinedalen, Malling</t>
  </si>
  <si>
    <t>Boligforeningen Århus Omegn</t>
  </si>
  <si>
    <t>Byggefirmaet Knudsgaard</t>
  </si>
  <si>
    <t>T24236</t>
  </si>
  <si>
    <t>Langehøjen, Trekroner Øst</t>
  </si>
  <si>
    <t>Jakon A/S</t>
  </si>
  <si>
    <t>JCN Bolig</t>
  </si>
  <si>
    <t>T24237</t>
  </si>
  <si>
    <t>Opførelse af skole og kulturcenter</t>
  </si>
  <si>
    <t>Jernbanebyen</t>
  </si>
  <si>
    <t>Reiulf Ramstad</t>
  </si>
  <si>
    <t>T24238</t>
  </si>
  <si>
    <t>Arresøvej - DGNB</t>
  </si>
  <si>
    <t>Luplau Poulsen</t>
  </si>
  <si>
    <t>T24239</t>
  </si>
  <si>
    <t>Heerings Gaard</t>
  </si>
  <si>
    <t>Nordea-fonden</t>
  </si>
  <si>
    <t>q2-2025</t>
  </si>
  <si>
    <t>Omfatter kun brand</t>
  </si>
  <si>
    <t>T24240</t>
  </si>
  <si>
    <t>Siemens Narcellefabrik Esbjerg</t>
  </si>
  <si>
    <t>Siemensgamesa</t>
  </si>
  <si>
    <t>Se sag T24303</t>
  </si>
  <si>
    <t>Ej fastlagt</t>
  </si>
  <si>
    <t>Nordstern og Arkil</t>
  </si>
  <si>
    <t>T24241</t>
  </si>
  <si>
    <t>Bo- og arbejdsstedet Snåstrup Vestergaard</t>
  </si>
  <si>
    <t>Flere entreprenører i spil</t>
  </si>
  <si>
    <t>T24242</t>
  </si>
  <si>
    <t>Lillebæltskolen - Multisal, Middelfart</t>
  </si>
  <si>
    <t>TR hold med rum ark</t>
  </si>
  <si>
    <t xml:space="preserve">rum </t>
  </si>
  <si>
    <t>T24243</t>
  </si>
  <si>
    <t>Integreret daginstitution, Gyngetræet, Travbyen, Billund</t>
  </si>
  <si>
    <t>T24244</t>
  </si>
  <si>
    <t>TV2 Kvægtorvet scenarieanalyse 250 AP</t>
  </si>
  <si>
    <t>TV2 Odense</t>
  </si>
  <si>
    <t>TV2</t>
  </si>
  <si>
    <t>T24245</t>
  </si>
  <si>
    <t>Klintebjerg efterskole</t>
  </si>
  <si>
    <t>BH rådgivning JLUN</t>
  </si>
  <si>
    <t>T24246</t>
  </si>
  <si>
    <t>Hjordkær - afledning af regnvand</t>
  </si>
  <si>
    <t>Arwos</t>
  </si>
  <si>
    <t>Omfang af opgave ukendt.</t>
  </si>
  <si>
    <t>T24247</t>
  </si>
  <si>
    <t xml:space="preserve">Vejlukninger Odense </t>
  </si>
  <si>
    <t>T24248</t>
  </si>
  <si>
    <t>Sluseholmen 2 3F</t>
  </si>
  <si>
    <t>T24249</t>
  </si>
  <si>
    <t>Viby Huset - Sundheds- og velfærdshus</t>
  </si>
  <si>
    <t>Boligforeningen Århus Omegn, Aarhus Kommune</t>
  </si>
  <si>
    <t>T24250</t>
  </si>
  <si>
    <t>Vognværkstedet Skole og Kulturhus</t>
  </si>
  <si>
    <t>København kommune</t>
  </si>
  <si>
    <t xml:space="preserve">København kommune </t>
  </si>
  <si>
    <t>Vi blev ikke PQ'et</t>
  </si>
  <si>
    <t>T24251</t>
  </si>
  <si>
    <t>CF Tietgens Vej Cykelsti</t>
  </si>
  <si>
    <t>skønnet overslag ikke regnet</t>
  </si>
  <si>
    <t>T24252</t>
  </si>
  <si>
    <t>Holbergsvej Cykelsti</t>
  </si>
  <si>
    <t>T24253</t>
  </si>
  <si>
    <t>Koldingvej Vester Nebel Cykelsti</t>
  </si>
  <si>
    <t>T24254</t>
  </si>
  <si>
    <t>Varde Rådhus</t>
  </si>
  <si>
    <t>C.C.Contraktor</t>
  </si>
  <si>
    <t>100 mio. kr. i TE - udbud primo 2025</t>
  </si>
  <si>
    <t>C C Contraktor</t>
  </si>
  <si>
    <t>T24255</t>
  </si>
  <si>
    <t>NREP - Hørkær Have - Monitoring</t>
  </si>
  <si>
    <t>264 lejligheder</t>
  </si>
  <si>
    <t>T24256</t>
  </si>
  <si>
    <t>Grangården</t>
  </si>
  <si>
    <t>T24257</t>
  </si>
  <si>
    <t xml:space="preserve">Botilbud Tinghøj, Egtved </t>
  </si>
  <si>
    <t>MWK/MP</t>
  </si>
  <si>
    <t>MP d. 26.11.2024
Aftalen er ændret til TE Hold med Egil Rasmussen og FrostLarsen, da vi på det tidligere hold med ARKVH ikke havde en TE med. SE PQ Skema</t>
  </si>
  <si>
    <t xml:space="preserve">
Arkitektfirmaet Frost Larsen</t>
  </si>
  <si>
    <t>MP d. 26.11.2024
Aftalen er ændret til TE Hold med Egil Rasmussen og FrostLarsen, da vi på det tidligere hold med ARKVH ikke havde en TE med.</t>
  </si>
  <si>
    <t>T24258</t>
  </si>
  <si>
    <t>Børnehuset Under Egen</t>
  </si>
  <si>
    <t>TE - JLF</t>
  </si>
  <si>
    <t>Ikke valgt</t>
  </si>
  <si>
    <t>T24259</t>
  </si>
  <si>
    <t>Kommunal tandlægeklinik i Rønde</t>
  </si>
  <si>
    <t>Syddjurs kommune</t>
  </si>
  <si>
    <t>T24260</t>
  </si>
  <si>
    <t>Brande Boligforening, Afd. 2</t>
  </si>
  <si>
    <t xml:space="preserve">  </t>
  </si>
  <si>
    <t>Brande Boligforening</t>
  </si>
  <si>
    <t>S. Guldfeldt Nielsen A/S</t>
  </si>
  <si>
    <t>Totalentreprise</t>
  </si>
  <si>
    <t>AFVENTER</t>
  </si>
  <si>
    <t>T24261</t>
  </si>
  <si>
    <t>Vesterbro Passage</t>
  </si>
  <si>
    <t>Købenshavs kommune</t>
  </si>
  <si>
    <t>C.F.Møller</t>
  </si>
  <si>
    <t xml:space="preserve">Early warning om arkitektkonkurrence  - Ser helst CFM i leed position.  </t>
  </si>
  <si>
    <t>T24262</t>
  </si>
  <si>
    <t>Konsulentydelser DSM 2025</t>
  </si>
  <si>
    <t>GSK</t>
  </si>
  <si>
    <t>Glycom Manufacturing A/S</t>
  </si>
  <si>
    <t>GSK overgår til DSM direkte</t>
  </si>
  <si>
    <t>T24263</t>
  </si>
  <si>
    <t>Kranskinneforlængelse MHI</t>
  </si>
  <si>
    <t>Den Kommunale Selvstyrehavn Esbjerg Havn</t>
  </si>
  <si>
    <t>T24264</t>
  </si>
  <si>
    <t>Engelsborgskolen Bygning Z</t>
  </si>
  <si>
    <t>Lyngby-Taarbæk Kommune</t>
  </si>
  <si>
    <t>Ny skolebygning</t>
  </si>
  <si>
    <t xml:space="preserve">Annuleret JMA </t>
  </si>
  <si>
    <t>T24265</t>
  </si>
  <si>
    <t>Mariehusene Trekroner - BHR</t>
  </si>
  <si>
    <t>Roskilde Kommune</t>
  </si>
  <si>
    <t>BHR på plejeboliger</t>
  </si>
  <si>
    <t>T24266</t>
  </si>
  <si>
    <t>Dam Holme - friplejehjem</t>
  </si>
  <si>
    <t>I/S Hadsundvej</t>
  </si>
  <si>
    <t>Q1-2032</t>
  </si>
  <si>
    <t>Tidsplan: ??. 
Der skal først udarbejdes lokalplan
Friplejehjem med RUM</t>
  </si>
  <si>
    <t>T24267</t>
  </si>
  <si>
    <t xml:space="preserve">Uhrhøj  Ny Daginstitution Vejle </t>
  </si>
  <si>
    <t>Vejle Kommune - Hold med V&amp;H ark</t>
  </si>
  <si>
    <t>Udbudsform ikke kendt - Anlægsomk. 45 mill</t>
  </si>
  <si>
    <t>Vallentin &amp; Haugland</t>
  </si>
  <si>
    <t>T24268</t>
  </si>
  <si>
    <t>NN 25A NCSP, Warehouse</t>
  </si>
  <si>
    <t>Tidsplan: ??. 
Opfølgende projekt fra KON i Warehouse (ombygning). 2024-10-25 Snakket med bygherre og han forventer at projekt starter op, så småt, i løbet af foråret 2025</t>
  </si>
  <si>
    <t>T24269</t>
  </si>
  <si>
    <t>DPA microphones</t>
  </si>
  <si>
    <t>Tilbygning</t>
  </si>
  <si>
    <t>T24270</t>
  </si>
  <si>
    <t>InoPlay - Udvidelse</t>
  </si>
  <si>
    <t>InoPlay ApS</t>
  </si>
  <si>
    <t>Sammenlægning af eksisterende lejemål</t>
  </si>
  <si>
    <t>T24271</t>
  </si>
  <si>
    <t>Ny Politistation, Cirkuspladsen, Varde - Syd- og Sønderjyllands Politi</t>
  </si>
  <si>
    <t>BYGST</t>
  </si>
  <si>
    <t>T24272</t>
  </si>
  <si>
    <t>Ambolten 16 - Udskiftning af ovenlys vinduer</t>
  </si>
  <si>
    <t>Tilbud sendes i uge 34</t>
  </si>
  <si>
    <t>T24273</t>
  </si>
  <si>
    <t>1CPH - Cx</t>
  </si>
  <si>
    <t>JVH</t>
  </si>
  <si>
    <t>Arpe &amp; Kjeldsholm</t>
  </si>
  <si>
    <t>T24274</t>
  </si>
  <si>
    <t>Ny Korsholm Skole, fritids- og dagtilbud</t>
  </si>
  <si>
    <t>Skole /Daginstitution</t>
  </si>
  <si>
    <t>Q1 2025</t>
  </si>
  <si>
    <t>T24275</t>
  </si>
  <si>
    <t>TEAM DANMARK HUSET I BRØNDBY</t>
  </si>
  <si>
    <t>AP EJENDOMME</t>
  </si>
  <si>
    <t>LM PIHL</t>
  </si>
  <si>
    <t>TE udbud</t>
  </si>
  <si>
    <t>Vi overtager ark</t>
  </si>
  <si>
    <t>LM pihl som TE</t>
  </si>
  <si>
    <t>T24276</t>
  </si>
  <si>
    <t>TE udbud 26/8 annuleret se mail</t>
  </si>
  <si>
    <t>T24277</t>
  </si>
  <si>
    <t>Kulturhus Hornslet</t>
  </si>
  <si>
    <t>TR Udbud</t>
  </si>
  <si>
    <t>T24278</t>
  </si>
  <si>
    <t>Risbjergskolen - udbygning</t>
  </si>
  <si>
    <t>Hvidovre kommune</t>
  </si>
  <si>
    <t>ASOS</t>
  </si>
  <si>
    <t>TE udbud med direkte indbydelse</t>
  </si>
  <si>
    <t>BBP arkitekter</t>
  </si>
  <si>
    <t>ASON som TE</t>
  </si>
  <si>
    <t>T24279</t>
  </si>
  <si>
    <t>DOMI Bolig -Tranbjerggårdsvej i Mårslet</t>
  </si>
  <si>
    <t xml:space="preserve">DOMI Bolig </t>
  </si>
  <si>
    <t>TE udbud med PQ</t>
  </si>
  <si>
    <t>Egil Rasmussen har trukket sig d. 25.08. MP Har lavet nyt hold med Knudsgaard og P+P arkitekter.</t>
  </si>
  <si>
    <t>T24280</t>
  </si>
  <si>
    <t>Signalregulering Nordborgvej</t>
  </si>
  <si>
    <t>Budgetmaks efter medgået tid</t>
  </si>
  <si>
    <t>T24281</t>
  </si>
  <si>
    <t>Disponing af Hjordkær - Skitseprojekt</t>
  </si>
  <si>
    <t>Tildelt uden konkurrence</t>
  </si>
  <si>
    <t>T24282</t>
  </si>
  <si>
    <t>OMT  - patruljebåde OMT rådgivning</t>
  </si>
  <si>
    <t>T24283</t>
  </si>
  <si>
    <t>NOVO HI24a</t>
  </si>
  <si>
    <t>JLUN BRW</t>
  </si>
  <si>
    <t>NOVO Nordisk</t>
  </si>
  <si>
    <t>BRW har luftet ide om udvidelse</t>
  </si>
  <si>
    <t>T24284</t>
  </si>
  <si>
    <t>SCA Køge</t>
  </si>
  <si>
    <t>T24285</t>
  </si>
  <si>
    <t>AUH - Tilbygning til affaldscentral</t>
  </si>
  <si>
    <t>KG Hansen</t>
  </si>
  <si>
    <t>T24286</t>
  </si>
  <si>
    <t>Odense Stadion</t>
  </si>
  <si>
    <t>Odense Kommune + 3C</t>
  </si>
  <si>
    <t>Odense kommune + 3 C</t>
  </si>
  <si>
    <t>Tideligt "pilot hold" kontakt JLUN</t>
  </si>
  <si>
    <t xml:space="preserve">A Engaard </t>
  </si>
  <si>
    <t>T24287</t>
  </si>
  <si>
    <t>Tidligt "pilot hold" kontakt JLUN</t>
  </si>
  <si>
    <t>T24288</t>
  </si>
  <si>
    <t>Energicentral Vedbæk</t>
  </si>
  <si>
    <t>AON</t>
  </si>
  <si>
    <t>Coromatic &amp; TC</t>
  </si>
  <si>
    <t>T24289</t>
  </si>
  <si>
    <t>Dagnæshallen - varmtvandsproduktion</t>
  </si>
  <si>
    <t>T24290</t>
  </si>
  <si>
    <t>Dagnæshallen ny varmtvandsproduktion</t>
  </si>
  <si>
    <t>T24291</t>
  </si>
  <si>
    <t>T24292</t>
  </si>
  <si>
    <t xml:space="preserve">Vejprojekt Hesseløje </t>
  </si>
  <si>
    <t xml:space="preserve">Grundejerforeningen </t>
  </si>
  <si>
    <t>T24293</t>
  </si>
  <si>
    <t>Byens Hus</t>
  </si>
  <si>
    <t>Udviklingsselskabet By &amp; Havn</t>
  </si>
  <si>
    <t>TE mangler mail til E og P 2/9. afslag fra eogP. 9/9 afslag fra HogK</t>
  </si>
  <si>
    <t>T24294</t>
  </si>
  <si>
    <t>PA 61 Specialtandpleje - Bygherrerådgivning</t>
  </si>
  <si>
    <t>T24295</t>
  </si>
  <si>
    <t>Nørrebro storms pakhus odense havn</t>
  </si>
  <si>
    <t>Niam</t>
  </si>
  <si>
    <t>T24296</t>
  </si>
  <si>
    <t>Gentofte Rådhus</t>
  </si>
  <si>
    <t>Gentofte kommune</t>
  </si>
  <si>
    <t>T24297</t>
  </si>
  <si>
    <t>Byggeskadefondens 1 og 5 årseftersyn</t>
  </si>
  <si>
    <t>Udbuddet er opdelt i 6 delaftaler (Gruppe A-F), hvor der for hver delaftale indgås aftale med mellem 10-15 eftersynsfirmaer</t>
  </si>
  <si>
    <t>T24298</t>
  </si>
  <si>
    <t>Nordals Skolen</t>
  </si>
  <si>
    <t>Arkitektfirmaet Kjaer &amp; Richter</t>
  </si>
  <si>
    <t>T24299</t>
  </si>
  <si>
    <t xml:space="preserve">Afvanding Munkebo Speedway centers </t>
  </si>
  <si>
    <t xml:space="preserve">Munkebo Speedway centers </t>
  </si>
  <si>
    <t>Arkil A/S</t>
  </si>
  <si>
    <t>T24300</t>
  </si>
  <si>
    <t>Plejehjem Fanø</t>
  </si>
  <si>
    <t>Fanø Kommune</t>
  </si>
  <si>
    <t>T24301</t>
  </si>
  <si>
    <t>T24302</t>
  </si>
  <si>
    <t>Vejle Kommune - CTS - Commissioning</t>
  </si>
  <si>
    <t>Vejle Kommune - Kommunale Ejendomme</t>
  </si>
  <si>
    <t>T24303</t>
  </si>
  <si>
    <t>Nordstern - fabrik for Siemens ( POEN 241241A )</t>
  </si>
  <si>
    <t>Kaldet POEN 241241A</t>
  </si>
  <si>
    <t>T24304</t>
  </si>
  <si>
    <t>Moselund Hinnerup</t>
  </si>
  <si>
    <t>T24305</t>
  </si>
  <si>
    <t>Bygholm Landbrugsskole 16 elevboliger</t>
  </si>
  <si>
    <t>Bygholm Landbrugsskole</t>
  </si>
  <si>
    <t>T24306</t>
  </si>
  <si>
    <t>Vejle Musikteater (Rooftop)</t>
  </si>
  <si>
    <t>Arkitekt - Kjaer &amp; Richter A/S</t>
  </si>
  <si>
    <t>T24307</t>
  </si>
  <si>
    <t>Vores Sted</t>
  </si>
  <si>
    <t>Arkitekt - COBE og BRIQ</t>
  </si>
  <si>
    <t>T24308</t>
  </si>
  <si>
    <t>EOT Energy</t>
  </si>
  <si>
    <t xml:space="preserve">Afventer bygherrebeslutning på bestyrelsesmøde Q1 2025 - Vi var billigst - </t>
  </si>
  <si>
    <t>1000 M2</t>
  </si>
  <si>
    <t>T24309</t>
  </si>
  <si>
    <t>Cortex Park B09</t>
  </si>
  <si>
    <t>5E BYG</t>
  </si>
  <si>
    <t>T24310</t>
  </si>
  <si>
    <t>Neurorehabiliteringscenter Valby</t>
  </si>
  <si>
    <t>København</t>
  </si>
  <si>
    <t>T24311</t>
  </si>
  <si>
    <t>Udvidelse af daginstitution Markus Alle 37</t>
  </si>
  <si>
    <t>T24312</t>
  </si>
  <si>
    <t>Hedensted Malerforretning</t>
  </si>
  <si>
    <t>T24313</t>
  </si>
  <si>
    <t>Storms pakhus Odense Kunst ophæng i loft</t>
  </si>
  <si>
    <t>Bar Group</t>
  </si>
  <si>
    <t>T24314</t>
  </si>
  <si>
    <t xml:space="preserve">Haraldskær byggeledelse </t>
  </si>
  <si>
    <t xml:space="preserve">Vejle Kommune </t>
  </si>
  <si>
    <t>Kommunale Ejendomme</t>
  </si>
  <si>
    <t>T24315</t>
  </si>
  <si>
    <t xml:space="preserve">Kongens kvarter Kings Quarter cluster 1 2 </t>
  </si>
  <si>
    <t>Thylander</t>
  </si>
  <si>
    <t>tidligt forespørgsel</t>
  </si>
  <si>
    <t>ikke valgt</t>
  </si>
  <si>
    <t>T24316</t>
  </si>
  <si>
    <t>Showroom for DIS</t>
  </si>
  <si>
    <t>T24317</t>
  </si>
  <si>
    <t xml:space="preserve">Gråsten Skolen </t>
  </si>
  <si>
    <t>MPR</t>
  </si>
  <si>
    <t>Transformation - 122 mio</t>
  </si>
  <si>
    <t>T24318</t>
  </si>
  <si>
    <t>DOMI Bolig - Gadehusene</t>
  </si>
  <si>
    <t>Egil Rasmussen TE</t>
  </si>
  <si>
    <t>Hold med VH</t>
  </si>
  <si>
    <t>T24319</t>
  </si>
  <si>
    <t>Ny Nørreport, Holstebro</t>
  </si>
  <si>
    <t>Rema1000 / Nordvestbo</t>
  </si>
  <si>
    <t>Byggefirmaet Knudsgaard A/S</t>
  </si>
  <si>
    <t>ATRA</t>
  </si>
  <si>
    <t>Delegeret bygherremodel</t>
  </si>
  <si>
    <t>T24320</t>
  </si>
  <si>
    <t>Landsbyen Sølund - Boenhed 20 - Udvidelse af botilbud</t>
  </si>
  <si>
    <t xml:space="preserve">CJ </t>
  </si>
  <si>
    <t>CJ Group, Aarhus</t>
  </si>
  <si>
    <t>T24321</t>
  </si>
  <si>
    <t>NREP - Waves</t>
  </si>
  <si>
    <t>Tilstandsvurdering af eks. installationer</t>
  </si>
  <si>
    <t>T24322</t>
  </si>
  <si>
    <t>Nyt botilbud i Viborg</t>
  </si>
  <si>
    <t>Viborg Kommune</t>
  </si>
  <si>
    <t>Projektnummer 2342753</t>
  </si>
  <si>
    <t>T24323</t>
  </si>
  <si>
    <t>Fremtidens Skærehaller Roskilde</t>
  </si>
  <si>
    <t>Zealand Business College</t>
  </si>
  <si>
    <t>AP Møller Fonden</t>
  </si>
  <si>
    <t>Renovering Roskilde</t>
  </si>
  <si>
    <t>HLT</t>
  </si>
  <si>
    <t>T24324</t>
  </si>
  <si>
    <t>LSC - EU taksonomi</t>
  </si>
  <si>
    <t>Danske shopping centre</t>
  </si>
  <si>
    <t>T24325</t>
  </si>
  <si>
    <t>Aalborg Historiske Museum</t>
  </si>
  <si>
    <t>Nordjyske Museer S/I</t>
  </si>
  <si>
    <t>Projektnummer 2374264</t>
  </si>
  <si>
    <t>T24326</t>
  </si>
  <si>
    <t>Bosted Horsens - Philadelphia - Nørrestrand</t>
  </si>
  <si>
    <t>Bosted/Botilbud for Epilepsiramte
Bygherrerådgivning</t>
  </si>
  <si>
    <t>T24327</t>
  </si>
  <si>
    <t xml:space="preserve">Palægade Anvendelsesændring </t>
  </si>
  <si>
    <t>Jeudan</t>
  </si>
  <si>
    <t xml:space="preserve">Ombygning af diamant butik til café/restaurant. </t>
  </si>
  <si>
    <t>T24328</t>
  </si>
  <si>
    <t>VABII</t>
  </si>
  <si>
    <t>Rasmus Friis</t>
  </si>
  <si>
    <t>T24329</t>
  </si>
  <si>
    <t>AO Kødbyen</t>
  </si>
  <si>
    <t>Christian Bech</t>
  </si>
  <si>
    <t>T24330</t>
  </si>
  <si>
    <t>Rets psykiatrisk (Esbjerg)</t>
  </si>
  <si>
    <t>T24331</t>
  </si>
  <si>
    <t>Værkstedsbyen - Prags Boulevard</t>
  </si>
  <si>
    <t>ODL</t>
  </si>
  <si>
    <t>Tidsplan: ??. 
Nybyg og renovering</t>
  </si>
  <si>
    <t>T24332</t>
  </si>
  <si>
    <t>Klubhus Træskibshavnen Aarhus</t>
  </si>
  <si>
    <t>Aarhus Kommune Sport og Fritid</t>
  </si>
  <si>
    <t>Gjøde &amp; Partnere</t>
  </si>
  <si>
    <t>T24333</t>
  </si>
  <si>
    <t>Blomstergården Boliger</t>
  </si>
  <si>
    <t>Niels Albertsen</t>
  </si>
  <si>
    <t>T24334</t>
  </si>
  <si>
    <t>Boligområde - Boulevarden Ved Sønderåen</t>
  </si>
  <si>
    <t>Boligforeningen Østerbo</t>
  </si>
  <si>
    <t>E&amp;P</t>
  </si>
  <si>
    <t>Afventer</t>
  </si>
  <si>
    <t>T24335</t>
  </si>
  <si>
    <t xml:space="preserve">Parkering Erritsø Energinet </t>
  </si>
  <si>
    <t>Energinet</t>
  </si>
  <si>
    <t>Friesesdal</t>
  </si>
  <si>
    <t>T24336</t>
  </si>
  <si>
    <t>Baldersgade 50 - installationsrenovering</t>
  </si>
  <si>
    <t>Baldersgade Bestyrelse</t>
  </si>
  <si>
    <t>T24337</t>
  </si>
  <si>
    <t>SOSU H Ørestad skole</t>
  </si>
  <si>
    <t>Afventer udbud 2027
Hold med CCO / HLA</t>
  </si>
  <si>
    <t>T24338</t>
  </si>
  <si>
    <t>Lager og logistik Esbjerg sygehus</t>
  </si>
  <si>
    <t>Jorton A/S</t>
  </si>
  <si>
    <t>2500 m2</t>
  </si>
  <si>
    <t>T24339</t>
  </si>
  <si>
    <t>Kloakseparering Holmehave</t>
  </si>
  <si>
    <t>Assens Spildevand</t>
  </si>
  <si>
    <t>Direkte tildeling hvis ok oplæg</t>
  </si>
  <si>
    <t>T24340</t>
  </si>
  <si>
    <t>Kloster Syd</t>
  </si>
  <si>
    <t>RSB</t>
  </si>
  <si>
    <t>ATRA Arkitekter</t>
  </si>
  <si>
    <t>T24341</t>
  </si>
  <si>
    <t>Privat daginstitution i Voel</t>
  </si>
  <si>
    <t>T24342</t>
  </si>
  <si>
    <t xml:space="preserve">Solistboliger Køge </t>
  </si>
  <si>
    <t>Køge Kommune</t>
  </si>
  <si>
    <t>Ren Brandsag</t>
  </si>
  <si>
    <t>T24343</t>
  </si>
  <si>
    <t>MacArtney - Fravigelser</t>
  </si>
  <si>
    <t>MacArtney</t>
  </si>
  <si>
    <t>TEKT Arkitekter</t>
  </si>
  <si>
    <t>T24344</t>
  </si>
  <si>
    <t>Fipros - Brand</t>
  </si>
  <si>
    <t>Fipros</t>
  </si>
  <si>
    <t>T24345</t>
  </si>
  <si>
    <t>Velfærdsteknologiens hus, Aarhus</t>
  </si>
  <si>
    <t>T24346</t>
  </si>
  <si>
    <t>Middelfart Nærhospital</t>
  </si>
  <si>
    <t>T24347</t>
  </si>
  <si>
    <t>Rudolf Steiner, Skanderborg</t>
  </si>
  <si>
    <t>Rudolf Steiner Skolen i Skanderborg</t>
  </si>
  <si>
    <t>T24348</t>
  </si>
  <si>
    <t>Boliger ved Sønderåen, Vejle</t>
  </si>
  <si>
    <t>Opførelse af 81 lejligheder i 4 plan kaldet Å-husene</t>
  </si>
  <si>
    <t>T24349</t>
  </si>
  <si>
    <t>LORC kontor</t>
  </si>
  <si>
    <t>LORC</t>
  </si>
  <si>
    <t>Udvidelse af eksisterende kontor</t>
  </si>
  <si>
    <t>T24350</t>
  </si>
  <si>
    <t>Højstrupvej, kantbaner</t>
  </si>
  <si>
    <t>CTH</t>
  </si>
  <si>
    <t>Vejudvidelse foran Stadion i Odense</t>
  </si>
  <si>
    <t>T24351</t>
  </si>
  <si>
    <t>Dalagervej, Horsens</t>
  </si>
  <si>
    <t>Grundejerforening Dalagervej</t>
  </si>
  <si>
    <t>T24352</t>
  </si>
  <si>
    <t>Slots- og Vindegade - brandsikring</t>
  </si>
  <si>
    <t>T24353</t>
  </si>
  <si>
    <t>Alsund Skolen Masterplan</t>
  </si>
  <si>
    <t xml:space="preserve">Anlægssum 110 mio </t>
  </si>
  <si>
    <t>Pluskontoret (MP d. 13.06.25)</t>
  </si>
  <si>
    <t>T24354</t>
  </si>
  <si>
    <t>Afd. 25 Reginehøj - Boligkontoret Århus</t>
  </si>
  <si>
    <t>Boligkontoret Århus</t>
  </si>
  <si>
    <t>TE: Egil Rasmussen as</t>
  </si>
  <si>
    <t xml:space="preserve">Anlægssum 169 mio </t>
  </si>
  <si>
    <t>T24355</t>
  </si>
  <si>
    <t>TDD Friplejehjem</t>
  </si>
  <si>
    <t>NH Capital</t>
  </si>
  <si>
    <t xml:space="preserve">NH Capital </t>
  </si>
  <si>
    <t>17000m2</t>
  </si>
  <si>
    <t>T24356</t>
  </si>
  <si>
    <t>Søborgparken, Glud</t>
  </si>
  <si>
    <t>Juelsmindehalvøens Almene Boligselskab Af 1946</t>
  </si>
  <si>
    <t>T24357</t>
  </si>
  <si>
    <t>Nyt Børnehus i Holbæk Have</t>
  </si>
  <si>
    <t>Holbæk Kommune</t>
  </si>
  <si>
    <t xml:space="preserve">Adserballe &amp; Knudsen </t>
  </si>
  <si>
    <t>Sagen er sat på hold af bh</t>
  </si>
  <si>
    <t>Adserballe &amp; Knudsen A/S</t>
  </si>
  <si>
    <t>T24358</t>
  </si>
  <si>
    <t>TMP dummy</t>
  </si>
  <si>
    <t>test</t>
  </si>
  <si>
    <t>T24359</t>
  </si>
  <si>
    <t>Gartnerbygning - Nyt OUH</t>
  </si>
  <si>
    <t>xx</t>
  </si>
  <si>
    <t>T24360</t>
  </si>
  <si>
    <t>Højstrupvej Kantbaner</t>
  </si>
  <si>
    <t>T24361</t>
  </si>
  <si>
    <t>Big Dollar  Hadelslev</t>
  </si>
  <si>
    <t>LM Huse a/s</t>
  </si>
  <si>
    <t>T24362</t>
  </si>
  <si>
    <t>Klejtrup Friplejehjem</t>
  </si>
  <si>
    <t>T24363</t>
  </si>
  <si>
    <t>Velfærdens Fundament - Vestre Skole</t>
  </si>
  <si>
    <t>T24364</t>
  </si>
  <si>
    <t>Landbrughøjskolen Horsens - Pigefløjen</t>
  </si>
  <si>
    <t>MHD</t>
  </si>
  <si>
    <t xml:space="preserve">Ginnerup Arkitekter </t>
  </si>
  <si>
    <t>Vi overtager brandprojektet for GINNERUPARKITEKTER</t>
  </si>
  <si>
    <t>T24365</t>
  </si>
  <si>
    <t>Høje  Tåstrup ny daginstitution</t>
  </si>
  <si>
    <t>Høje Taastrup</t>
  </si>
  <si>
    <t>cco</t>
  </si>
  <si>
    <t>T24366</t>
  </si>
  <si>
    <t>Renovering af Rolighed Skodsborg</t>
  </si>
  <si>
    <t>APM Holding</t>
  </si>
  <si>
    <t>T24367</t>
  </si>
  <si>
    <t xml:space="preserve">Vaskeplads Nyborg Marina </t>
  </si>
  <si>
    <t xml:space="preserve">Nyborg Kommune </t>
  </si>
  <si>
    <t>T24368</t>
  </si>
  <si>
    <t>Ny Rosborg - Nordholmen - Vejle</t>
  </si>
  <si>
    <t>64 almene boliger - Delområde 3</t>
  </si>
  <si>
    <t>T24369</t>
  </si>
  <si>
    <t>T24370</t>
  </si>
  <si>
    <t>Nordhuset III</t>
  </si>
  <si>
    <t>200 personer og 170 p pladser</t>
  </si>
  <si>
    <t>T24371</t>
  </si>
  <si>
    <t>Udvidelse af koncert og kulturhus  Svendborg</t>
  </si>
  <si>
    <t>Ribersgaard, Møllegade</t>
  </si>
  <si>
    <t>T24372</t>
  </si>
  <si>
    <t>UngEsbjerg - Brandnotat</t>
  </si>
  <si>
    <t>Esbjerg Kommune Ejendomme</t>
  </si>
  <si>
    <t>T24373</t>
  </si>
  <si>
    <t>Værkstedsbyen</t>
  </si>
  <si>
    <t>Værkstedsbyen ApS</t>
  </si>
  <si>
    <t>Værstedsbyen ApS</t>
  </si>
  <si>
    <t>Indlednede rådgivning 2025 (Lokalplan) - projektering i 2026</t>
  </si>
  <si>
    <t>T24374</t>
  </si>
  <si>
    <t>ROLIGHED - renoveirng af bevar bygning</t>
  </si>
  <si>
    <t>T24375</t>
  </si>
  <si>
    <t>Saint-Gobain Højlager Randers</t>
  </si>
  <si>
    <t>Saint-Gobain</t>
  </si>
  <si>
    <t>Base Erhverv</t>
  </si>
  <si>
    <t>T24376</t>
  </si>
  <si>
    <t>Klippen - Daginstution</t>
  </si>
  <si>
    <t>Høgh og Sønberg</t>
  </si>
  <si>
    <t>15 mio kr</t>
  </si>
  <si>
    <t>T24377</t>
  </si>
  <si>
    <t>NN HI 25B - Procesventilation vaskemaskine</t>
  </si>
  <si>
    <t>T24378</t>
  </si>
  <si>
    <t>Bakkevejens Skole Fortuna, Esbjerg</t>
  </si>
  <si>
    <t>Kjær og Richter</t>
  </si>
  <si>
    <t>T24379</t>
  </si>
  <si>
    <t>LMG_Opførelse af højlager og kontorbygning</t>
  </si>
  <si>
    <t>Årslev - Hansson &amp; Knudsen</t>
  </si>
  <si>
    <t>22000 lager - 1800 kontor</t>
  </si>
  <si>
    <t>T24380</t>
  </si>
  <si>
    <t>Lysningen Varde -35 boliger</t>
  </si>
  <si>
    <t>Bolig Sydvest</t>
  </si>
  <si>
    <t>Eigil Rasmussen</t>
  </si>
  <si>
    <t>35 almene boliger a 85 m2</t>
  </si>
  <si>
    <t>Eigil Rasmussen Esbjerg / Casper Just</t>
  </si>
  <si>
    <t>T24381</t>
  </si>
  <si>
    <t>Hotel Arnbjerg - Ny tilbygning</t>
  </si>
  <si>
    <t>EJENDOMSSELSKABET ARNBJERG A/S</t>
  </si>
  <si>
    <t>LM Huse  a/s</t>
  </si>
  <si>
    <t>Brand + KON</t>
  </si>
  <si>
    <t>T24382</t>
  </si>
  <si>
    <t>Ib Andresen Industri ny bhal</t>
  </si>
  <si>
    <t>Ib Andresen Industri</t>
  </si>
  <si>
    <t>T24383</t>
  </si>
  <si>
    <t>Plejehjem, Nibevej, Frejlev - Aalborg</t>
  </si>
  <si>
    <t>Aalborg Kommune/Himmerland Boligselskab</t>
  </si>
  <si>
    <t>Gråkjær</t>
  </si>
  <si>
    <t>T24384</t>
  </si>
  <si>
    <t>Nørremarkscenter 10</t>
  </si>
  <si>
    <t>T24385</t>
  </si>
  <si>
    <t>Sport24 Fredericia</t>
  </si>
  <si>
    <t>Sport 24</t>
  </si>
  <si>
    <t>Daugaard Pedersen</t>
  </si>
  <si>
    <t>T24386</t>
  </si>
  <si>
    <t>BIG EASY</t>
  </si>
  <si>
    <t>Anders Malbek</t>
  </si>
  <si>
    <t>T24387</t>
  </si>
  <si>
    <t>Nyager Skole</t>
  </si>
  <si>
    <t>PQ fasen pågår pt.</t>
  </si>
  <si>
    <t>T24388</t>
  </si>
  <si>
    <t>Dagligvarebutik &amp; Boliger Fanø</t>
  </si>
  <si>
    <t>LM Huse A/S</t>
  </si>
  <si>
    <t>Honorar på KON &amp; Brand</t>
  </si>
  <si>
    <t>boliger 1200 m2 - butik  ca. 1100 m2</t>
  </si>
  <si>
    <t>T24389</t>
  </si>
  <si>
    <t>Fundamentsfabrik</t>
  </si>
  <si>
    <t>Teil Beckmann</t>
  </si>
  <si>
    <t>T24390</t>
  </si>
  <si>
    <t>Rønnevang Aktivitetshus - Byggeledelse</t>
  </si>
  <si>
    <t>T24391</t>
  </si>
  <si>
    <t>T24392</t>
  </si>
  <si>
    <t>Haraldskær Avlsgård - Byggeledelse</t>
  </si>
  <si>
    <t>T24393</t>
  </si>
  <si>
    <t>Daginstitution i Virring, Skanderborg</t>
  </si>
  <si>
    <t>Se aftale T24013</t>
  </si>
  <si>
    <t>T24394</t>
  </si>
  <si>
    <t>NOVO Odense Logistics Wing Warehouse</t>
  </si>
  <si>
    <t>Hold dannet af TMP</t>
  </si>
  <si>
    <t>T24395</t>
  </si>
  <si>
    <t>Skjoldbjergvej, Vorbasse</t>
  </si>
  <si>
    <t>BOVIA &amp;Billund Boligforening</t>
  </si>
  <si>
    <t>LIST Byg (TE)</t>
  </si>
  <si>
    <t>Inklusive anlæg og vej</t>
  </si>
  <si>
    <t>Trekantens Tegnestue</t>
  </si>
  <si>
    <t>T24396</t>
  </si>
  <si>
    <t xml:space="preserve">Stiplanlægning </t>
  </si>
  <si>
    <t>T24397</t>
  </si>
  <si>
    <t>Vejforlængelse Ollerup</t>
  </si>
  <si>
    <t>T24398</t>
  </si>
  <si>
    <t>Rehabiliterings- og Korttidscenter - Aabenraa</t>
  </si>
  <si>
    <t>TE (Ikke valgt)</t>
  </si>
  <si>
    <t>CREO</t>
  </si>
  <si>
    <t>T24399</t>
  </si>
  <si>
    <t>FAB - Højby - 30 seniorboliger</t>
  </si>
  <si>
    <t>Egil Rasmussen (TE)</t>
  </si>
  <si>
    <t>SKALA</t>
  </si>
  <si>
    <t>T24400</t>
  </si>
  <si>
    <t>FAB - Breddalsvej - 24 seniorboliger</t>
  </si>
  <si>
    <t>T24401</t>
  </si>
  <si>
    <t>Ladegårdsparken - altaner</t>
  </si>
  <si>
    <t>Holbæk Boligselskab</t>
  </si>
  <si>
    <t>altanprojekt - kon.</t>
  </si>
  <si>
    <t>T24402</t>
  </si>
  <si>
    <t>NSC - Midtertorvet</t>
  </si>
  <si>
    <t>SSCP</t>
  </si>
  <si>
    <t>Ombygning af Midtertorvet (EL, HVAC, KON, PL)</t>
  </si>
  <si>
    <t>200m2</t>
  </si>
  <si>
    <t>T24403</t>
  </si>
  <si>
    <t>Ny brandstation i Viborg - Bygherrerådgivning</t>
  </si>
  <si>
    <t>Midtjysk Brand og Redning</t>
  </si>
  <si>
    <t>Creo Arkitekter</t>
  </si>
  <si>
    <t>T24404</t>
  </si>
  <si>
    <t>T24405</t>
  </si>
  <si>
    <t>NSC - Midtertorv Screening</t>
  </si>
  <si>
    <t>SCCP - Næstvedstorcenter</t>
  </si>
  <si>
    <t>Tidsplan: ??. 
Screening af ingeniør fag + brand</t>
  </si>
  <si>
    <t>T24406</t>
  </si>
  <si>
    <t>Kohberg</t>
  </si>
  <si>
    <t>Konstruktionsrådgivning</t>
  </si>
  <si>
    <t>T24407</t>
  </si>
  <si>
    <t>Bryggekulturens Hus - Ombygning til oplevelsescenter</t>
  </si>
  <si>
    <t>Bryggekulturens Hus</t>
  </si>
  <si>
    <t>A+ Arkitekter</t>
  </si>
  <si>
    <t>A+ Arkitekter, Søren Lykke Bülow &lt;sbu@hplus.dk&gt;</t>
  </si>
  <si>
    <t>A+ har taget SHL med.</t>
  </si>
  <si>
    <t>T24408</t>
  </si>
  <si>
    <t>Stensballe Skole - Musiklokale</t>
  </si>
  <si>
    <t>T24409</t>
  </si>
  <si>
    <t>Tårnby kommune ny skøjtehal</t>
  </si>
  <si>
    <t>Tårnby kommune</t>
  </si>
  <si>
    <t>manger TE</t>
  </si>
  <si>
    <t>T24410</t>
  </si>
  <si>
    <t>Neurorehabiliteringscenter, Brønderslev</t>
  </si>
  <si>
    <t>Region Nordjylland</t>
  </si>
  <si>
    <t>T24411</t>
  </si>
  <si>
    <t>Blovstrød skole</t>
  </si>
  <si>
    <t>Allerød kommune</t>
  </si>
  <si>
    <t>61 mio</t>
  </si>
  <si>
    <t>T24412</t>
  </si>
  <si>
    <t>Jysk Børneforsorg Birkebo</t>
  </si>
  <si>
    <t>T24413</t>
  </si>
  <si>
    <t>1900 Tennis udvidelse af hal Byherrerådgivning</t>
  </si>
  <si>
    <t xml:space="preserve">1900 Tennis </t>
  </si>
  <si>
    <t>T24414</t>
  </si>
  <si>
    <t>6 skæve boliger</t>
  </si>
  <si>
    <t>Jensen &amp; Jensen a/s</t>
  </si>
  <si>
    <t>Jensen &amp; Jensen A/S</t>
  </si>
  <si>
    <t>udgået - udbydes i HE</t>
  </si>
  <si>
    <t>T24415</t>
  </si>
  <si>
    <t>Eksercerpladsen Eventspace</t>
  </si>
  <si>
    <t>Frederik Bøjesen</t>
  </si>
  <si>
    <t>Ibrugtagning</t>
  </si>
  <si>
    <t>T24416</t>
  </si>
  <si>
    <t>KLP Drift HUB1 Ny Café</t>
  </si>
  <si>
    <t>T24417</t>
  </si>
  <si>
    <t>Vikingeskibsmusset - Cx</t>
  </si>
  <si>
    <t>T24418</t>
  </si>
  <si>
    <t>Favergade -Anvendelsesændring</t>
  </si>
  <si>
    <t>Anvendelsesændring fra kontor til butik</t>
  </si>
  <si>
    <t>T24419</t>
  </si>
  <si>
    <t xml:space="preserve">Lyseng Idrætscenter </t>
  </si>
  <si>
    <t xml:space="preserve">110 mio </t>
  </si>
  <si>
    <t>SWECO Ark</t>
  </si>
  <si>
    <t>T24420</t>
  </si>
  <si>
    <t>Masterplan, vandtårnsbyen</t>
  </si>
  <si>
    <t>Tårnby Kommune</t>
  </si>
  <si>
    <t>PHA rykke Dorte / Entasis</t>
  </si>
  <si>
    <t>T24421</t>
  </si>
  <si>
    <t>Mathilde Bruuns Vej 13</t>
  </si>
  <si>
    <t>Peter Markersen</t>
  </si>
  <si>
    <t>Nedrivning af væg (KON)</t>
  </si>
  <si>
    <t>T24422</t>
  </si>
  <si>
    <t>Sankt Hans - PU</t>
  </si>
  <si>
    <t>Q1-2030</t>
  </si>
  <si>
    <t>Projektudvikling med Jonas Sand og Entasis</t>
  </si>
  <si>
    <t>04.12.2024</t>
  </si>
  <si>
    <t>T24423</t>
  </si>
  <si>
    <t>NHA - Udvidelse af kølekapacitet</t>
  </si>
  <si>
    <t>T24424</t>
  </si>
  <si>
    <t xml:space="preserve">Trælasten TB3-GAVLHUSET </t>
  </si>
  <si>
    <t>Ringgården</t>
  </si>
  <si>
    <t>T24425</t>
  </si>
  <si>
    <t>Regionshospitalet Silkeborg - Gavlprojektet - Bygning 3 og 3B</t>
  </si>
  <si>
    <t>T24426</t>
  </si>
  <si>
    <t>Odense Zoo Asienhus</t>
  </si>
  <si>
    <t>hkr</t>
  </si>
  <si>
    <t xml:space="preserve">Odense Zoo </t>
  </si>
  <si>
    <t>Enemærke &amp; Petersen</t>
  </si>
  <si>
    <t>T24427</t>
  </si>
  <si>
    <t>Linex Kommunes Hjemme  Sygepleje og Hjælpemiddeldepot</t>
  </si>
  <si>
    <t>Juul Nielsen</t>
  </si>
  <si>
    <t>JLUN har trukket sig 29/1. se mail arkiv</t>
  </si>
  <si>
    <t>CORNELIUSVOGE</t>
  </si>
  <si>
    <t>T24428</t>
  </si>
  <si>
    <t>Odense Zoo Velfærdsbygning Omprojektering</t>
  </si>
  <si>
    <t>T24429</t>
  </si>
  <si>
    <t>Olav De Linde div</t>
  </si>
  <si>
    <t>T24430</t>
  </si>
  <si>
    <t>Mellemtoftevej - Tagrenovering</t>
  </si>
  <si>
    <t>Boligforening Mellemtoftevej</t>
  </si>
  <si>
    <t>T24431</t>
  </si>
  <si>
    <t>Netto Karise</t>
  </si>
  <si>
    <t>T24432</t>
  </si>
  <si>
    <t>Netto Rørby</t>
  </si>
  <si>
    <t>T24433</t>
  </si>
  <si>
    <t>Tandlæge Borgmesterbakken</t>
  </si>
  <si>
    <t>T24434</t>
  </si>
  <si>
    <t>Musikskole Lyngby</t>
  </si>
  <si>
    <t>SHL</t>
  </si>
  <si>
    <t>Anlægsudgift 112 mill</t>
  </si>
  <si>
    <t>TR</t>
  </si>
  <si>
    <t>T24435</t>
  </si>
  <si>
    <t>Forbo, Industrivej 44 Børkop</t>
  </si>
  <si>
    <t>Forbo</t>
  </si>
  <si>
    <t>T24436</t>
  </si>
  <si>
    <t>Pincho Nation Vejle</t>
  </si>
  <si>
    <t>Peter Tøndering</t>
  </si>
  <si>
    <t>T24437</t>
  </si>
  <si>
    <t>Oksen etape 2</t>
  </si>
  <si>
    <t>Anders Grigel</t>
  </si>
  <si>
    <t>FORSVARSMINISTERIETS EJENDOMSSTYRELSE</t>
  </si>
  <si>
    <t>T24438</t>
  </si>
  <si>
    <t>Boligkontoret Fredericia afd 210</t>
  </si>
  <si>
    <t>Hold med Vallentin &amp; Haugland</t>
  </si>
  <si>
    <t>T24439</t>
  </si>
  <si>
    <t>Levering af byggeteknisk rådgivning til Aarhus Ejendomme</t>
  </si>
  <si>
    <t>Aarhus Kommune, Ejendomme</t>
  </si>
  <si>
    <t>T24440</t>
  </si>
  <si>
    <t>Netto Hammelev</t>
  </si>
  <si>
    <t>T24441</t>
  </si>
  <si>
    <t>Kontor Odense</t>
  </si>
  <si>
    <t>AP Ejendomme</t>
  </si>
  <si>
    <t>Projekteringsledelse</t>
  </si>
  <si>
    <t>T24442</t>
  </si>
  <si>
    <t>Park Gittervej Nordhavn</t>
  </si>
  <si>
    <t>PQ og konkurrence</t>
  </si>
  <si>
    <t>4900 kvadratmeter aktivitetspark</t>
  </si>
  <si>
    <t>T24443</t>
  </si>
  <si>
    <t>Nyt børnehus i Skægkær</t>
  </si>
  <si>
    <t>Anlægsbudget 41 mill</t>
  </si>
  <si>
    <t>Ginnerup</t>
  </si>
  <si>
    <t>T24444</t>
  </si>
  <si>
    <t>Zeppelin Øresundsvej</t>
  </si>
  <si>
    <t>Tage Johansen</t>
  </si>
  <si>
    <t>Tilbygning Brand / Kon / Ark</t>
  </si>
  <si>
    <t>T24445</t>
  </si>
  <si>
    <t>Ny telthal - Skagerakvej 1</t>
  </si>
  <si>
    <t>european merchandise group</t>
  </si>
  <si>
    <t>Tekt Arkitekter</t>
  </si>
  <si>
    <t>T24446</t>
  </si>
  <si>
    <t>Newtec</t>
  </si>
  <si>
    <t>T24447</t>
  </si>
  <si>
    <t>SDU Vejle</t>
  </si>
  <si>
    <t xml:space="preserve">SDU </t>
  </si>
  <si>
    <t>T24448</t>
  </si>
  <si>
    <t>Sejs Skole - Udvidelse af skole</t>
  </si>
  <si>
    <t>T24449</t>
  </si>
  <si>
    <t>Ole Jørgensens Gade 13</t>
  </si>
  <si>
    <t>Hvem har den, KON</t>
  </si>
  <si>
    <t>T24450</t>
  </si>
  <si>
    <t>Multihal Egedal</t>
  </si>
  <si>
    <t>Schedio</t>
  </si>
  <si>
    <t>T24451</t>
  </si>
  <si>
    <t>Registrering af tankanlæg i BBR</t>
  </si>
  <si>
    <t>T24452</t>
  </si>
  <si>
    <t>Nyt plejehjem i Syddjurs</t>
  </si>
  <si>
    <t>Syddjurs Kommune</t>
  </si>
  <si>
    <t>Arkitektfirmaet Frost Larsen</t>
  </si>
  <si>
    <t>T24453</t>
  </si>
  <si>
    <t>Pindstrupskolen, Skolevej, Ryomgård</t>
  </si>
  <si>
    <t>Pluskontoret Arkitekter</t>
  </si>
  <si>
    <t>T24454</t>
  </si>
  <si>
    <t>T24455</t>
  </si>
  <si>
    <t>Gefionsvej 31, 8230 Åbyhøj</t>
  </si>
  <si>
    <t>Troels Dons</t>
  </si>
  <si>
    <t>Bygningsgennemgang i.fht. udført renovering</t>
  </si>
  <si>
    <t>T24456</t>
  </si>
  <si>
    <t>Horns Bjerge 1 - Ny erhversbygning</t>
  </si>
  <si>
    <t>DNA Arkitekter</t>
  </si>
  <si>
    <t>KON +  Brand</t>
  </si>
  <si>
    <t>T24457</t>
  </si>
  <si>
    <t>UNICEF Cmpus 4</t>
  </si>
  <si>
    <t>24.01.2025</t>
  </si>
  <si>
    <t>T24458</t>
  </si>
  <si>
    <t>Sødisbakke, Mariager - Nyt botilbud</t>
  </si>
  <si>
    <t>T24459</t>
  </si>
  <si>
    <t>Kildeskovshallen, renovering</t>
  </si>
  <si>
    <t>Tidsplan: ??. Renovering af fredet svømmehal</t>
  </si>
  <si>
    <t>T24460</t>
  </si>
  <si>
    <t>Ombygning til lægehus og ungecafe</t>
  </si>
  <si>
    <t>Gladsaxe Kommune</t>
  </si>
  <si>
    <t>Tidsplan: ??</t>
  </si>
  <si>
    <t>BPP</t>
  </si>
  <si>
    <t>T24461</t>
  </si>
  <si>
    <t>Plejehjem Nørrestrand, Horsens</t>
  </si>
  <si>
    <t>T24462</t>
  </si>
  <si>
    <t>Jegstrupvej-NSK-Bsim</t>
  </si>
  <si>
    <t>Proniq</t>
  </si>
  <si>
    <t>T24463</t>
  </si>
  <si>
    <t>Ny Pier ved Julsø - Konkurrence</t>
  </si>
  <si>
    <t>Ny pier ved Julsø  til Hjelen</t>
  </si>
  <si>
    <t>E+N</t>
  </si>
  <si>
    <t>Konkurrencemateriale udsendes januar 2025</t>
  </si>
  <si>
    <t>T24464</t>
  </si>
  <si>
    <t>AL2Bolig - Rammeaftale for bygherrerådgivning</t>
  </si>
  <si>
    <t>AL2Bolig</t>
  </si>
  <si>
    <t>23.01.2025 kl. 12</t>
  </si>
  <si>
    <t>T25001</t>
  </si>
  <si>
    <t>Algade 69, Roskilde</t>
  </si>
  <si>
    <t>Astrid Kaalund-Jørgensen</t>
  </si>
  <si>
    <t>Sammenlægning af lejligheder (KON+Brand)</t>
  </si>
  <si>
    <t>T25002</t>
  </si>
  <si>
    <t>Slettebjerggårde - Stenlille</t>
  </si>
  <si>
    <t>Sandkjær A/S  - Svane Gruppen A/S</t>
  </si>
  <si>
    <t>ALBO Almen skal overtage derfor EU</t>
  </si>
  <si>
    <t>T25003</t>
  </si>
  <si>
    <t>Skilteplan Cykelnet Fyn og Øer</t>
  </si>
  <si>
    <t xml:space="preserve">Destination Fyn </t>
  </si>
  <si>
    <t>3400 km</t>
  </si>
  <si>
    <t>T25004</t>
  </si>
  <si>
    <t xml:space="preserve">Strækningsanalyse rute 14 </t>
  </si>
  <si>
    <t>T25005</t>
  </si>
  <si>
    <t>Vesterlund Friplejehjem</t>
  </si>
  <si>
    <t>Atra Arkitekter</t>
  </si>
  <si>
    <t>T25006</t>
  </si>
  <si>
    <t>Spotorno Alle 12</t>
  </si>
  <si>
    <t>Boliger i Taastrup</t>
  </si>
  <si>
    <t>T25007</t>
  </si>
  <si>
    <t>Faskiner til Grindsted boliger</t>
  </si>
  <si>
    <t>T25008</t>
  </si>
  <si>
    <t>DSA2</t>
  </si>
  <si>
    <t>T25009</t>
  </si>
  <si>
    <t>Herredsfogedvej 29</t>
  </si>
  <si>
    <t>Thomas Gjørup</t>
  </si>
  <si>
    <t>Anderes Heede Arkitekter</t>
  </si>
  <si>
    <t>Ombygning, KON-projekt med mulighed for flere fag</t>
  </si>
  <si>
    <t>500m2</t>
  </si>
  <si>
    <t>T25010</t>
  </si>
  <si>
    <t>Sønderho Redningsstation</t>
  </si>
  <si>
    <t>Ombygning, KON-projekt + Brand</t>
  </si>
  <si>
    <t>T25011</t>
  </si>
  <si>
    <t>Idrætrshøjskolen Vejle</t>
  </si>
  <si>
    <t>Idrætshøjskolen Vejle</t>
  </si>
  <si>
    <t>T25012</t>
  </si>
  <si>
    <t>Eriksborg Plejecenter, Silkeborg</t>
  </si>
  <si>
    <t>T25013</t>
  </si>
  <si>
    <t>Birkebo Plejecenter, Silkeborg</t>
  </si>
  <si>
    <t>T25014</t>
  </si>
  <si>
    <t>Belysning på letbanestationsforpladser, Lyngby-Taarbæk Kommune</t>
  </si>
  <si>
    <t>T25015</t>
  </si>
  <si>
    <t>Det Maritime Skolehjem - Helsingør</t>
  </si>
  <si>
    <t xml:space="preserve">U/NORD S/I </t>
  </si>
  <si>
    <t>47000000 anlægsudgift</t>
  </si>
  <si>
    <t>T25016</t>
  </si>
  <si>
    <t>Hvidovre butikstorv, ungdomsboliger</t>
  </si>
  <si>
    <t>Markland Consult</t>
  </si>
  <si>
    <t>40.000.000 anlægsudgift</t>
  </si>
  <si>
    <t>T25017</t>
  </si>
  <si>
    <t>OdL - Siloer</t>
  </si>
  <si>
    <t>2.000.000 anlægsudgift</t>
  </si>
  <si>
    <t>T25018</t>
  </si>
  <si>
    <t>Alleen 45 i Skanderborg</t>
  </si>
  <si>
    <t>MIA</t>
  </si>
  <si>
    <t>Nodo Arkitekter</t>
  </si>
  <si>
    <t>T25019</t>
  </si>
  <si>
    <t>JLUN test 2</t>
  </si>
  <si>
    <t>teste 3</t>
  </si>
  <si>
    <t>jjlælklklk</t>
  </si>
  <si>
    <t>T25020</t>
  </si>
  <si>
    <t>Aarsleff Hasselager</t>
  </si>
  <si>
    <t>T25021</t>
  </si>
  <si>
    <t>Østre Skole, Middelfart</t>
  </si>
  <si>
    <t>Renovering</t>
  </si>
  <si>
    <t>T25022</t>
  </si>
  <si>
    <t>Mårumvej 9B</t>
  </si>
  <si>
    <t>Ændret anvendelse</t>
  </si>
  <si>
    <t>T25023</t>
  </si>
  <si>
    <t>Nykredit - Svanemølleholmen ny indretning</t>
  </si>
  <si>
    <t>T25024</t>
  </si>
  <si>
    <t>Boliger i Tølløse</t>
  </si>
  <si>
    <t>Input til lokalplan er givet</t>
  </si>
  <si>
    <t>T25025</t>
  </si>
  <si>
    <t>VF - Nyt Børnehus Paarup</t>
  </si>
  <si>
    <t>T25026</t>
  </si>
  <si>
    <t>Vandel Efterskole</t>
  </si>
  <si>
    <t>T25027</t>
  </si>
  <si>
    <t>Volvo E45 Onsild</t>
  </si>
  <si>
    <t>DAR</t>
  </si>
  <si>
    <t>T25028</t>
  </si>
  <si>
    <t>Grønnehøj - Altaner</t>
  </si>
  <si>
    <t>Altaner, værn og fastgørelser</t>
  </si>
  <si>
    <t>N/A</t>
  </si>
  <si>
    <t>T25029</t>
  </si>
  <si>
    <t>Posttorvet Skive</t>
  </si>
  <si>
    <t>Skive Kommune</t>
  </si>
  <si>
    <t>GUSTIN Landskab</t>
  </si>
  <si>
    <t>Ny pavillon på Posttorvet i Skive</t>
  </si>
  <si>
    <t>T25030</t>
  </si>
  <si>
    <t>Pavillon ved Kollerup Skole</t>
  </si>
  <si>
    <t>Ny pavillon ved Kollerup Skole til børnehavebørn</t>
  </si>
  <si>
    <t>T25031</t>
  </si>
  <si>
    <t xml:space="preserve">F7 - Hotel Fredericia </t>
  </si>
  <si>
    <t>Morning Stars ApS</t>
  </si>
  <si>
    <t xml:space="preserve">Arkitema </t>
  </si>
  <si>
    <t>T25032</t>
  </si>
  <si>
    <t>Tagudskiftning på daginstituation, Glostrup</t>
  </si>
  <si>
    <t>T25033</t>
  </si>
  <si>
    <t xml:space="preserve">Sti på cirkusplads </t>
  </si>
  <si>
    <t>AKB</t>
  </si>
  <si>
    <t>FMK</t>
  </si>
  <si>
    <t>T25034</t>
  </si>
  <si>
    <t>Banestien mellem Asperup og Vejlby</t>
  </si>
  <si>
    <t>Midelfart Kommune</t>
  </si>
  <si>
    <t>T25035</t>
  </si>
  <si>
    <t>Rammeaftale Anlæg Fredericia</t>
  </si>
  <si>
    <t>Fredericia kommune</t>
  </si>
  <si>
    <t>T25036</t>
  </si>
  <si>
    <t>Mosegården afd. 302</t>
  </si>
  <si>
    <t>CIVICA</t>
  </si>
  <si>
    <t>T25037</t>
  </si>
  <si>
    <t>Bergsvej afd. 303</t>
  </si>
  <si>
    <t>T25038</t>
  </si>
  <si>
    <t>Thorupsgårdsvej, Voel - 19 boliger</t>
  </si>
  <si>
    <t>T25039</t>
  </si>
  <si>
    <t>Havørredens Hus ved Haderup</t>
  </si>
  <si>
    <t>T25040</t>
  </si>
  <si>
    <t>Stjerneparken - Opfølgning</t>
  </si>
  <si>
    <t>Afventer JLF</t>
  </si>
  <si>
    <t>T25041</t>
  </si>
  <si>
    <t xml:space="preserve">Tommy Hilfiger - Ringsted Outlet </t>
  </si>
  <si>
    <t>Terp &amp; Co.</t>
  </si>
  <si>
    <t>T25042</t>
  </si>
  <si>
    <t>Ny lægemiddelforsyning Køge</t>
  </si>
  <si>
    <t>Region Sjælland</t>
  </si>
  <si>
    <t>Vi er prækvalificeret</t>
  </si>
  <si>
    <t>T25043</t>
  </si>
  <si>
    <t>Vingsted Badeværelser</t>
  </si>
  <si>
    <t>T25044</t>
  </si>
  <si>
    <t xml:space="preserve">Vingsted Omklædning </t>
  </si>
  <si>
    <t>T25045</t>
  </si>
  <si>
    <t>Heimstaden - Vandindtræning</t>
  </si>
  <si>
    <t>T25046</t>
  </si>
  <si>
    <t>Heimstaden - Opstigende grundvand</t>
  </si>
  <si>
    <t>T25047</t>
  </si>
  <si>
    <t>Heimstaden - Defekte installationer</t>
  </si>
  <si>
    <t>T25048</t>
  </si>
  <si>
    <t xml:space="preserve">Heimstaden - 5 års Mangelgennemgang </t>
  </si>
  <si>
    <t>T25049</t>
  </si>
  <si>
    <t>Overdækning, Fredriksgade 18 i Aarhus - Brand</t>
  </si>
  <si>
    <t xml:space="preserve">Dolberg Holding ApS </t>
  </si>
  <si>
    <t>T25050</t>
  </si>
  <si>
    <t>Ny børnehave Søndermarken Vejle</t>
  </si>
  <si>
    <t>Har d. 27.08. lavet aftale med ATRA Arkitekter  (MP)</t>
  </si>
  <si>
    <t>T25051</t>
  </si>
  <si>
    <t>Tagrenovering Langeskov</t>
  </si>
  <si>
    <t>BHR: WACO Middelfart</t>
  </si>
  <si>
    <t>T25052</t>
  </si>
  <si>
    <t>Nye vej i Odense Øst</t>
  </si>
  <si>
    <t>T25053</t>
  </si>
  <si>
    <t>KLP-Drift-XXX-KLIMA</t>
  </si>
  <si>
    <t>Baseret på eks. rammeaftale</t>
  </si>
  <si>
    <t>T25054</t>
  </si>
  <si>
    <t>Tagrenovering, Langeskov</t>
  </si>
  <si>
    <t>PAK Ejendomme</t>
  </si>
  <si>
    <t>Waco er bygherrerådgiver</t>
  </si>
  <si>
    <t>Tilbud i uge 8</t>
  </si>
  <si>
    <t>T25055</t>
  </si>
  <si>
    <t>Tandklinikker Favrskov</t>
  </si>
  <si>
    <t>T25056</t>
  </si>
  <si>
    <t>Sejs Skole - Tilbygning</t>
  </si>
  <si>
    <t>T25057</t>
  </si>
  <si>
    <t>NN HI 24A - Metrology</t>
  </si>
  <si>
    <t>T25058</t>
  </si>
  <si>
    <t>Trindsøvej, Aarhus - OdL</t>
  </si>
  <si>
    <t>T25059</t>
  </si>
  <si>
    <t>Slagterigrunden Faaborg</t>
  </si>
  <si>
    <t>Faaborg Kommune</t>
  </si>
  <si>
    <t>COBE + Rønnow ark.</t>
  </si>
  <si>
    <t>COBE + Rønnow</t>
  </si>
  <si>
    <t>PQ søgt</t>
  </si>
  <si>
    <t>T25060</t>
  </si>
  <si>
    <t xml:space="preserve">Rammeaftale CEJ </t>
  </si>
  <si>
    <t>Region Hovedstaden</t>
  </si>
  <si>
    <t>Holddannelse med JJW og Friis og Molkte</t>
  </si>
  <si>
    <t>JJW og Friis og Molkte</t>
  </si>
  <si>
    <t>T25061</t>
  </si>
  <si>
    <t>Engholm Svømmehal - Renovering</t>
  </si>
  <si>
    <t>Allerød Kommune</t>
  </si>
  <si>
    <t>Udbud er udskudt</t>
  </si>
  <si>
    <t>T25062</t>
  </si>
  <si>
    <t>Kongsgårdsvej 28 - Ny tagetage</t>
  </si>
  <si>
    <t>NKN Ejendomme</t>
  </si>
  <si>
    <t>Studioboliger - ny etage på eksisterende etageejendom i Viby indledende analyse 65 timer er tilbudt</t>
  </si>
  <si>
    <t>T25063</t>
  </si>
  <si>
    <t>Hotel Kellers Park</t>
  </si>
  <si>
    <t>ct</t>
  </si>
  <si>
    <t>Opførelse af ny værelsesfløj - konstruktioner og brand</t>
  </si>
  <si>
    <t>T25065</t>
  </si>
  <si>
    <t>Bødkervej 4</t>
  </si>
  <si>
    <t>key-arki</t>
  </si>
  <si>
    <t>Tilbygning til eksisterende kontorbygning</t>
  </si>
  <si>
    <t>T25066</t>
  </si>
  <si>
    <t>Kalvøen</t>
  </si>
  <si>
    <t>Leif Tullberg</t>
  </si>
  <si>
    <t>Opførelse af konferencetilbygning</t>
  </si>
  <si>
    <t>T25067</t>
  </si>
  <si>
    <t>Kontor ved indvejning</t>
  </si>
  <si>
    <t>Opførelse af små kontorer i eksisterende hal</t>
  </si>
  <si>
    <t>T25068</t>
  </si>
  <si>
    <t>Guldborgsund Rådhus</t>
  </si>
  <si>
    <t>Guldborgsund Kommune</t>
  </si>
  <si>
    <t>Afventer udbud 2028
PHA rykke Sidsel / COBE</t>
  </si>
  <si>
    <t>COBE tager kontakt til MICH når opstart nærmer sig</t>
  </si>
  <si>
    <t>T25069</t>
  </si>
  <si>
    <t>KLP-Drift-HUB1-NOVA</t>
  </si>
  <si>
    <t>Konkurrence om totalrådgivning</t>
  </si>
  <si>
    <t>T25070</t>
  </si>
  <si>
    <t>KLP-Drift-WKG12-NNIT</t>
  </si>
  <si>
    <t>T25071</t>
  </si>
  <si>
    <t>Folehaven - studieboliger</t>
  </si>
  <si>
    <t>Cento</t>
  </si>
  <si>
    <t>Udviklerprojekt</t>
  </si>
  <si>
    <t>T25072</t>
  </si>
  <si>
    <t>Nordsøkvarteret - masterplan</t>
  </si>
  <si>
    <t>PQ sendes senest 3. september. Hold med Entasis og SHL og Linq trafik</t>
  </si>
  <si>
    <t>T25073</t>
  </si>
  <si>
    <t>Tumlebo - Bramming</t>
  </si>
  <si>
    <t>Tekt A/S</t>
  </si>
  <si>
    <t>600 + 800</t>
  </si>
  <si>
    <t>T25074</t>
  </si>
  <si>
    <t>Fællesområder og veje, Alafabo boligafd 103 i Kolding</t>
  </si>
  <si>
    <t xml:space="preserve">Alafabo </t>
  </si>
  <si>
    <t xml:space="preserve">Anlæg </t>
  </si>
  <si>
    <t>Ikke gennem PQ</t>
  </si>
  <si>
    <t>T25075</t>
  </si>
  <si>
    <t>Rammeaftale Cortex Park etape 2</t>
  </si>
  <si>
    <t>T25076</t>
  </si>
  <si>
    <t>Islevbadet - tilstandsvurdering</t>
  </si>
  <si>
    <t>Teknologisk Inst.</t>
  </si>
  <si>
    <t>Afventer GO</t>
  </si>
  <si>
    <t>T25077</t>
  </si>
  <si>
    <t>Vesterbrogade 56 - Trappe</t>
  </si>
  <si>
    <t>T25078</t>
  </si>
  <si>
    <t>GKAS - Produktionskøkken</t>
  </si>
  <si>
    <t>Jf. eksist. kontrakt</t>
  </si>
  <si>
    <t>T25079</t>
  </si>
  <si>
    <t>BSF Villahaven Vandskade</t>
  </si>
  <si>
    <t>T25080</t>
  </si>
  <si>
    <t>BSF Villahaven Altaner</t>
  </si>
  <si>
    <t>T25081</t>
  </si>
  <si>
    <t>Holmsø - Horsens, DGNB</t>
  </si>
  <si>
    <t>KNB</t>
  </si>
  <si>
    <t>T25082</t>
  </si>
  <si>
    <t>Områdefornyelse Bispeengen</t>
  </si>
  <si>
    <t xml:space="preserve">Byrum - intet konket om udbud </t>
  </si>
  <si>
    <t>T25083</t>
  </si>
  <si>
    <t>Områdefornyelse Sønderbro</t>
  </si>
  <si>
    <t xml:space="preserve">Byrum - intet konkret om udbud </t>
  </si>
  <si>
    <t>T25084</t>
  </si>
  <si>
    <t>AO Rønne</t>
  </si>
  <si>
    <t>T25085</t>
  </si>
  <si>
    <t>AU Rammeaftale - Aarhus Universitet</t>
  </si>
  <si>
    <t>Aarhus Universitet</t>
  </si>
  <si>
    <t>T25086</t>
  </si>
  <si>
    <t>Kellers Park, Bygning C</t>
  </si>
  <si>
    <t>LM HUSE</t>
  </si>
  <si>
    <t>T25087</t>
  </si>
  <si>
    <t>Go Hotel Airport</t>
  </si>
  <si>
    <t>A&amp;K</t>
  </si>
  <si>
    <t>T25088</t>
  </si>
  <si>
    <t>Tre Ege, Aarhus - Plejehjem</t>
  </si>
  <si>
    <t>T25089</t>
  </si>
  <si>
    <t>Seniorbofællesskabet Hovertoften, Vejle</t>
  </si>
  <si>
    <t>Østerbo</t>
  </si>
  <si>
    <t>Uhrhøj nord for Stjernevej</t>
  </si>
  <si>
    <t>Arkitektfirmaet Frost Larsen, Christian Bøgh</t>
  </si>
  <si>
    <t>CJ Group, Mads Gjesing</t>
  </si>
  <si>
    <t>T25090</t>
  </si>
  <si>
    <t>AAB Varde, renovering</t>
  </si>
  <si>
    <t>Grundet administrative uoverensstemmelser internt i boligforenningen, bliver sagen annulleret
Renoveringsopgave som underrådgiver -direkte forhandling med TR / Ark</t>
  </si>
  <si>
    <t>DNA</t>
  </si>
  <si>
    <t>T25091</t>
  </si>
  <si>
    <t>Østergade 13, Silkeborg</t>
  </si>
  <si>
    <t>Gustav Hansen, Poul Østerby</t>
  </si>
  <si>
    <t>T25092</t>
  </si>
  <si>
    <t>Ungdomsboliger Køge Stadion</t>
  </si>
  <si>
    <t>Tidsplan er ukendt</t>
  </si>
  <si>
    <t>T25093</t>
  </si>
  <si>
    <t>Børkop Svømmehal</t>
  </si>
  <si>
    <t xml:space="preserve">TI </t>
  </si>
  <si>
    <t>T25094</t>
  </si>
  <si>
    <t>Seniorbofællesskab ved det gamle vandtårn</t>
  </si>
  <si>
    <t>T25095</t>
  </si>
  <si>
    <t>Finlandsparken Vejle, Byggeskader</t>
  </si>
  <si>
    <t>Arkitekt Vallentin &amp; Haugland</t>
  </si>
  <si>
    <t>T25096</t>
  </si>
  <si>
    <t>Fremtidens Museum, Svendborg</t>
  </si>
  <si>
    <t>Svendborg Museum</t>
  </si>
  <si>
    <t>Tidlig aftale (JRS)</t>
  </si>
  <si>
    <t>Vilhelm Lauritzen Arkitekter</t>
  </si>
  <si>
    <t>T25097</t>
  </si>
  <si>
    <t xml:space="preserve">Cykelsti Skjernvej og Videbækvej </t>
  </si>
  <si>
    <t xml:space="preserve">Ringkøbing-Skjern Kommune </t>
  </si>
  <si>
    <t>vundet</t>
  </si>
  <si>
    <t>T25098</t>
  </si>
  <si>
    <t>Pumpestationer, Evida, indledende screening</t>
  </si>
  <si>
    <t>Evida</t>
  </si>
  <si>
    <t>T25099</t>
  </si>
  <si>
    <t>T25100</t>
  </si>
  <si>
    <t>T25101</t>
  </si>
  <si>
    <t>Byggemodning Marslev</t>
  </si>
  <si>
    <t>Fischer Ejendomme A/S</t>
  </si>
  <si>
    <t>Entreprenør X</t>
  </si>
  <si>
    <t>T25102</t>
  </si>
  <si>
    <t>Afd 213 Midgårdsvej</t>
  </si>
  <si>
    <t>Boligkontoret Fredericia</t>
  </si>
  <si>
    <t>Renovering af boliger</t>
  </si>
  <si>
    <t>T25103</t>
  </si>
  <si>
    <t>Carlshøj - liggehaller</t>
  </si>
  <si>
    <t>Lyngby Taarbæk Kommune</t>
  </si>
  <si>
    <t>INST til udendørs liggehaller</t>
  </si>
  <si>
    <t>T25104</t>
  </si>
  <si>
    <t>Evida - Aalborg</t>
  </si>
  <si>
    <t xml:space="preserve">Evida </t>
  </si>
  <si>
    <t xml:space="preserve">CO2-fangstanlæg </t>
  </si>
  <si>
    <t>T25105</t>
  </si>
  <si>
    <t>Nyt plejecenter på Nyelandsvej</t>
  </si>
  <si>
    <t>Frederiksberg Kommune</t>
  </si>
  <si>
    <t>Tidsplan 2. kvartal 2026
Fase: Holddannelse.Nyt plejecenter med Entasis.</t>
  </si>
  <si>
    <t>Bygherrerådgivning udbydes nu og totalrådgivning senere. Vi søger kun TR</t>
  </si>
  <si>
    <t>T25106</t>
  </si>
  <si>
    <t>Nykøbing Svømmehal</t>
  </si>
  <si>
    <t>Odsherred Kommune</t>
  </si>
  <si>
    <t>Har takket nej</t>
  </si>
  <si>
    <t>T25107</t>
  </si>
  <si>
    <t>Ny Lindely Plejeboliger</t>
  </si>
  <si>
    <t>Afventer udbud 2027 på TR
PHA rykke Line / ERIK vedr. Totalrådgivningsudbuddet</t>
  </si>
  <si>
    <t>T25108</t>
  </si>
  <si>
    <t>TEC Ørestaden</t>
  </si>
  <si>
    <t>Afventer udbud 2027
Tidsplan ukendt. Hold med HLA og NS</t>
  </si>
  <si>
    <t>Nordsten</t>
  </si>
  <si>
    <t>HLA</t>
  </si>
  <si>
    <t>T25109</t>
  </si>
  <si>
    <t>Villa Frederik</t>
  </si>
  <si>
    <t>SLETH</t>
  </si>
  <si>
    <t>Fase: PQ fasen. Ombygning til børne- og ungehjem med SLETH</t>
  </si>
  <si>
    <t>T25110</t>
  </si>
  <si>
    <t>Fase: PQ Fasen. Ombygning af rådhus med SLETH</t>
  </si>
  <si>
    <t>T25111</t>
  </si>
  <si>
    <t>Idekatalog Ferritslev</t>
  </si>
  <si>
    <t>FFV</t>
  </si>
  <si>
    <t>Direkte tildelt</t>
  </si>
  <si>
    <t>T25112</t>
  </si>
  <si>
    <t>1-30 Skolevangen I</t>
  </si>
  <si>
    <t>FSB</t>
  </si>
  <si>
    <t>Tidsplan: ?? 
opstart maj - tek. Install</t>
  </si>
  <si>
    <t>T25113</t>
  </si>
  <si>
    <t>Erhvervsejendom lejetilpasninger</t>
  </si>
  <si>
    <t>LEGO</t>
  </si>
  <si>
    <t>Pris er inkl. medtilkøbte ATR</t>
  </si>
  <si>
    <t>T25114</t>
  </si>
  <si>
    <t>Kottegade Nyt byrum</t>
  </si>
  <si>
    <t>Schønherr</t>
  </si>
  <si>
    <t>T25115</t>
  </si>
  <si>
    <t>Banestien Brenerup-Holse</t>
  </si>
  <si>
    <t>T25116</t>
  </si>
  <si>
    <t>5E - Skolen på Torveporten</t>
  </si>
  <si>
    <t>T25117</t>
  </si>
  <si>
    <t>Havnegade 19F, Odense</t>
  </si>
  <si>
    <t>T25118</t>
  </si>
  <si>
    <t>Musvågevej 2a, Aarhus V</t>
  </si>
  <si>
    <t>JWR</t>
  </si>
  <si>
    <t>Ali Khalid Breinholt</t>
  </si>
  <si>
    <t>Boliger, butik og fælles lommepark</t>
  </si>
  <si>
    <t xml:space="preserve">Luplau Poulsen </t>
  </si>
  <si>
    <t>ArkPlan og Territorium (lokalplansrådgiver)</t>
  </si>
  <si>
    <t>T25119</t>
  </si>
  <si>
    <t>Købmagergade 17 - 19</t>
  </si>
  <si>
    <t>Tag og ventilation</t>
  </si>
  <si>
    <t>T25120</t>
  </si>
  <si>
    <t>PA-61 Specialtandpleje, Viborg</t>
  </si>
  <si>
    <t>T25121</t>
  </si>
  <si>
    <t>Dag- og døgntilbuddet Nørholm, Herning</t>
  </si>
  <si>
    <t>Hvidkildevej 12 7400 Herning, Allingevej</t>
  </si>
  <si>
    <t>T25122</t>
  </si>
  <si>
    <t>Dalvangen, Glostrup</t>
  </si>
  <si>
    <t>T25123</t>
  </si>
  <si>
    <t>Holbergcenteret, Sorø</t>
  </si>
  <si>
    <t>Sorø Kommune</t>
  </si>
  <si>
    <t>Skiftet navn se T25245</t>
  </si>
  <si>
    <t>T25124</t>
  </si>
  <si>
    <t xml:space="preserve">Fremtidens Enghuse  </t>
  </si>
  <si>
    <t>Adserballe &amp; Knudsen</t>
  </si>
  <si>
    <t>Fase: Holddannelse. Med A&amp;K og ERIK</t>
  </si>
  <si>
    <t>KRH Arkitekter</t>
  </si>
  <si>
    <t>T25125</t>
  </si>
  <si>
    <t>Masterplan bynære havnearealer, Næstved</t>
  </si>
  <si>
    <t>Næstved Kommunen</t>
  </si>
  <si>
    <t>Afventer udbud 2027
PHA rykke Dorte / Entasis</t>
  </si>
  <si>
    <t>T25126</t>
  </si>
  <si>
    <t>Fremtidens Bibliotek kultur og Hærvejshotspot</t>
  </si>
  <si>
    <t>T25127</t>
  </si>
  <si>
    <t>Velfærdens Fundament - Demensvenlige plejehjem (modernisering og vedligehold af 7 plejehjem)</t>
  </si>
  <si>
    <t>Forhåndsaftale med H+</t>
  </si>
  <si>
    <t>H+ arkitekter</t>
  </si>
  <si>
    <t>T25128</t>
  </si>
  <si>
    <t>Evida Aalborg</t>
  </si>
  <si>
    <t>C.F. Møller</t>
  </si>
  <si>
    <t>Carbon Capture Aalborg - screening</t>
  </si>
  <si>
    <t>T25129</t>
  </si>
  <si>
    <t>Rudegaard Idrætsanlæg Hal 3</t>
  </si>
  <si>
    <t>Fase: Holddannelse. Med Cento og Dall &amp; Lindhartsen</t>
  </si>
  <si>
    <t>Se mail af 26.05.2025</t>
  </si>
  <si>
    <t>Dall &amp; Lindhardtsen</t>
  </si>
  <si>
    <t>T25130</t>
  </si>
  <si>
    <t>DIN Forsyning - Overskudsvarme</t>
  </si>
  <si>
    <t>der er kun modtaget 2 tilbud :-)</t>
  </si>
  <si>
    <t>T25131</t>
  </si>
  <si>
    <t>Vandel Efterskole - Projektering og udførelse</t>
  </si>
  <si>
    <t>Afhjælpning i.fht. syn og skøn - Projektering og udførelse</t>
  </si>
  <si>
    <t>T25132</t>
  </si>
  <si>
    <t>Naturcenter Tønnisgård - Udvikling af formidlingscenter, Rømø</t>
  </si>
  <si>
    <t>mp</t>
  </si>
  <si>
    <t>Ejendomsfonden Tønnisgård</t>
  </si>
  <si>
    <t>Aart</t>
  </si>
  <si>
    <t>T25133</t>
  </si>
  <si>
    <t>Skallerne, Albertslund</t>
  </si>
  <si>
    <t>Albertslund Kommune</t>
  </si>
  <si>
    <t xml:space="preserve">Tidsplan: 2. halvår 2026 PQ
Fase: Holddannelse. Med A&amp;K og ERIK. </t>
  </si>
  <si>
    <t>T25134</t>
  </si>
  <si>
    <t>ØRSK, Ørestad Skole</t>
  </si>
  <si>
    <t>CD</t>
  </si>
  <si>
    <t>Fase: Holddannelse. Med ERIK</t>
  </si>
  <si>
    <t>T25135</t>
  </si>
  <si>
    <t>Bjerreager</t>
  </si>
  <si>
    <t>Bjerreager andelsboligforening</t>
  </si>
  <si>
    <t>T25136</t>
  </si>
  <si>
    <t xml:space="preserve"> Al2bolig (Afd. 307 og afd. 308 - Henrik Hertzvej, Vibyvej)</t>
  </si>
  <si>
    <t>Al2bolig</t>
  </si>
  <si>
    <t>80 mio kr</t>
  </si>
  <si>
    <t>T25137</t>
  </si>
  <si>
    <t xml:space="preserve"> Al2bolig (Afd. 309 - Henrik Hertzvej, Vibyvej)</t>
  </si>
  <si>
    <t>60 mio kr</t>
  </si>
  <si>
    <t>T25138</t>
  </si>
  <si>
    <t>Hemistaden - Mandelhaven Fugtproblemer</t>
  </si>
  <si>
    <t>Hemistaden A/S</t>
  </si>
  <si>
    <t>T25139</t>
  </si>
  <si>
    <t>Nordic Sense, Silkeborg - Ny lagerhal</t>
  </si>
  <si>
    <t>Nordic Sense</t>
  </si>
  <si>
    <t>Gustav Hansen</t>
  </si>
  <si>
    <t>LABAN Arkitekter</t>
  </si>
  <si>
    <t>T25140</t>
  </si>
  <si>
    <t>Bellisbo, Nr. Snede - Pleje- og institutionsboliger</t>
  </si>
  <si>
    <t>Kamp arkitekter</t>
  </si>
  <si>
    <t>T25141</t>
  </si>
  <si>
    <t>Botilbud Bøgehøjgård</t>
  </si>
  <si>
    <t>Helsingør Kommune</t>
  </si>
  <si>
    <t>T25142</t>
  </si>
  <si>
    <t>Plejecenter Hvalsø</t>
  </si>
  <si>
    <t>Lejre Kommune</t>
  </si>
  <si>
    <t>Tidsplan: Primo 2026
Fase: Holddannelse. Med ERIK: Lokalplan udarbejdet (En del af rammeaftale T25412???) Anslaået anlægssum 160 mio</t>
  </si>
  <si>
    <t>T25143</t>
  </si>
  <si>
    <t>Skolerenovering - Kirke Såby</t>
  </si>
  <si>
    <t>Fase: Holddannelse. Med CCO</t>
  </si>
  <si>
    <t>T25144</t>
  </si>
  <si>
    <t>Udvidelse af plejecenter</t>
  </si>
  <si>
    <t>T25145</t>
  </si>
  <si>
    <t>Havneombygning Elfærge</t>
  </si>
  <si>
    <t>Ingeniørfirmaet Aaskov som LEAD</t>
  </si>
  <si>
    <t>T25146</t>
  </si>
  <si>
    <t>Vejen Gymnasium og HF om- og tilbyg</t>
  </si>
  <si>
    <t>Vejen Gymnasium og HF</t>
  </si>
  <si>
    <t xml:space="preserve">Chr. Johannesen </t>
  </si>
  <si>
    <t>Indbudt TE Sammen med V&amp;H arkitekter</t>
  </si>
  <si>
    <t>T25147</t>
  </si>
  <si>
    <t>Glostrup Apotek</t>
  </si>
  <si>
    <t>Indledende screening ING</t>
  </si>
  <si>
    <t>T25148</t>
  </si>
  <si>
    <t>Egsmark Friplejehjem</t>
  </si>
  <si>
    <t>HPD</t>
  </si>
  <si>
    <t>Danske Diakonhjem</t>
  </si>
  <si>
    <t>Lejerrådgivning</t>
  </si>
  <si>
    <t>T25149</t>
  </si>
  <si>
    <t>Tilbygning skole - Silkeborg</t>
  </si>
  <si>
    <t>Cert. KON og Brand</t>
  </si>
  <si>
    <t>T25150</t>
  </si>
  <si>
    <t>Lundtoftehallen</t>
  </si>
  <si>
    <t>Tidsplan: ?? 
KON</t>
  </si>
  <si>
    <t>T25151</t>
  </si>
  <si>
    <t>IPJakobsen center Thisted</t>
  </si>
  <si>
    <t>Udskudt pt</t>
  </si>
  <si>
    <t>T25152</t>
  </si>
  <si>
    <t>ØB28 - altaner</t>
  </si>
  <si>
    <t>ØsterBO</t>
  </si>
  <si>
    <t>18 altaner til ophæng</t>
  </si>
  <si>
    <t>T25153</t>
  </si>
  <si>
    <t xml:space="preserve">Byggemodning Fensmark </t>
  </si>
  <si>
    <t>ATCON</t>
  </si>
  <si>
    <t>9 parcelhusgrunde</t>
  </si>
  <si>
    <t>T25154</t>
  </si>
  <si>
    <t>Kildevangs Allé 1, Viby J</t>
  </si>
  <si>
    <t>Om- og tilbygning i parcelhus</t>
  </si>
  <si>
    <t>T25155</t>
  </si>
  <si>
    <t>Gyvelvej 16, 7100 Vejle</t>
  </si>
  <si>
    <t>Joy Thøgersen</t>
  </si>
  <si>
    <t>T25156</t>
  </si>
  <si>
    <t>Labyrinten  i Gadbjerg</t>
  </si>
  <si>
    <t>Vejle kommune</t>
  </si>
  <si>
    <t xml:space="preserve">Krybberum </t>
  </si>
  <si>
    <t>T25157</t>
  </si>
  <si>
    <t>Sterilcentral Horsens</t>
  </si>
  <si>
    <t>ingen holddannelse</t>
  </si>
  <si>
    <t>T25158</t>
  </si>
  <si>
    <t>AC Hansensvej - DGNB</t>
  </si>
  <si>
    <t>Adapter development</t>
  </si>
  <si>
    <t>T25159</t>
  </si>
  <si>
    <t>Vejle Sygehus Byg B - 2 nye etager</t>
  </si>
  <si>
    <t>T25160</t>
  </si>
  <si>
    <t>SVS - Bygning F</t>
  </si>
  <si>
    <t>Brand</t>
  </si>
  <si>
    <t>T25161</t>
  </si>
  <si>
    <t>VIIKA Ny hal og admin</t>
  </si>
  <si>
    <t>VIIKA Tagdækning</t>
  </si>
  <si>
    <t>AGTB Tegnestue</t>
  </si>
  <si>
    <t>T25162</t>
  </si>
  <si>
    <t>CY01 - VD - Fase 2 - 3 cykelstier</t>
  </si>
  <si>
    <t>RBA</t>
  </si>
  <si>
    <t>Vej</t>
  </si>
  <si>
    <t>T25163</t>
  </si>
  <si>
    <t>POE Autionshallen Vattenfall</t>
  </si>
  <si>
    <t>T25164</t>
  </si>
  <si>
    <t>POE Træningscenter  Siemens</t>
  </si>
  <si>
    <t>T25165</t>
  </si>
  <si>
    <t>Bjerreager Vejle - Tagrenovering</t>
  </si>
  <si>
    <t>Bjerreager - Hanne Lomholt</t>
  </si>
  <si>
    <t>T25166</t>
  </si>
  <si>
    <t>Nyborg Gymnasium - tilbygning</t>
  </si>
  <si>
    <t>Nyborg Gymnasium</t>
  </si>
  <si>
    <t>700 m²</t>
  </si>
  <si>
    <t>Tilbud afleveret</t>
  </si>
  <si>
    <t>26.05.2025</t>
  </si>
  <si>
    <t>T25167</t>
  </si>
  <si>
    <t>Vaskeplads - Nyborg Kommune</t>
  </si>
  <si>
    <t>T25168</t>
  </si>
  <si>
    <t>Vognværkstedet - Skole &amp; Kulturcenter</t>
  </si>
  <si>
    <t>KHR Architecture</t>
  </si>
  <si>
    <t>T25169</t>
  </si>
  <si>
    <t>Van Mossel, Mercedes, Hørsholm</t>
  </si>
  <si>
    <t>Van Mossel</t>
  </si>
  <si>
    <t>T25170</t>
  </si>
  <si>
    <t>NN HI 24A - Affaldshåndtering</t>
  </si>
  <si>
    <t>Tidsplan: ?? 
Ombygning</t>
  </si>
  <si>
    <t>T25171</t>
  </si>
  <si>
    <t>Buslommer ved Lumby</t>
  </si>
  <si>
    <t>Trafiksikkerhedsrevision trin 3</t>
  </si>
  <si>
    <t>T25172</t>
  </si>
  <si>
    <t>Syntese, Nitrogentank</t>
  </si>
  <si>
    <t>Tidsplan: ??
Fundamenter for Nitrogentank (totalrådgivning)</t>
  </si>
  <si>
    <t>T25173</t>
  </si>
  <si>
    <t>Banegårdspladsen 20, Aarhus</t>
  </si>
  <si>
    <t>Vurdering af Rambøll projekt og evt. overtagelse af projekt</t>
  </si>
  <si>
    <t>T25174</t>
  </si>
  <si>
    <t>Domus Nova</t>
  </si>
  <si>
    <t>T25175</t>
  </si>
  <si>
    <t>Udvidelse af Tollundskolen</t>
  </si>
  <si>
    <t>Sammen med Ginnerup</t>
  </si>
  <si>
    <t>T25176</t>
  </si>
  <si>
    <t>Byudvikling - Det gamle OUH</t>
  </si>
  <si>
    <t>Odense Kommune - Freja</t>
  </si>
  <si>
    <t>Sammen med Entasis</t>
  </si>
  <si>
    <t>T25177</t>
  </si>
  <si>
    <t>Bystrategist rådgivning Århus Kommune</t>
  </si>
  <si>
    <t>Q4-2029</t>
  </si>
  <si>
    <t>Tilbud på rammeaftale, UR til LARK</t>
  </si>
  <si>
    <t xml:space="preserve">Linq+Schmidt Innovation </t>
  </si>
  <si>
    <t>Ej tildelt PQ</t>
  </si>
  <si>
    <t>T25178</t>
  </si>
  <si>
    <t>Klimatilpasningsplan Ærø</t>
  </si>
  <si>
    <t>Ærø kommune</t>
  </si>
  <si>
    <t xml:space="preserve">Niras </t>
  </si>
  <si>
    <t>Ydelser og roller aftales ved konkret udbud</t>
  </si>
  <si>
    <t>NIRAS v Jan Dietric</t>
  </si>
  <si>
    <t>Afstået fra f give tilbud</t>
  </si>
  <si>
    <t>T25179</t>
  </si>
  <si>
    <t>Plejehjem Låsby, Skanderborg</t>
  </si>
  <si>
    <t>T25180</t>
  </si>
  <si>
    <t>Troldebo i Bredsten</t>
  </si>
  <si>
    <t>T25181</t>
  </si>
  <si>
    <t>Opførelse af plejehjem i Anderup</t>
  </si>
  <si>
    <t>H. Skjøde Knudsen</t>
  </si>
  <si>
    <t>H. Skjøde Knudsen og kommunen</t>
  </si>
  <si>
    <t>Priskonkurrence fravalgt..</t>
  </si>
  <si>
    <t>delaftale</t>
  </si>
  <si>
    <t>Priskonkurrence fravalgt at søge</t>
  </si>
  <si>
    <t>T25182</t>
  </si>
  <si>
    <t>Opførelse af almene ældreboliger i Anderup</t>
  </si>
  <si>
    <t>Priskonkurrence fravalgt…</t>
  </si>
  <si>
    <t>9350 m2</t>
  </si>
  <si>
    <t>T25183</t>
  </si>
  <si>
    <t>Renovering af plejehjem Marienlund</t>
  </si>
  <si>
    <t>Odense kommune (Velfærd fundament)</t>
  </si>
  <si>
    <t>Budget 16 mio. kr. (H+)</t>
  </si>
  <si>
    <t>T25184</t>
  </si>
  <si>
    <t>Renovering af plejehjem Rytterkaserne</t>
  </si>
  <si>
    <t>Budget 13 mio. kr. (H+)</t>
  </si>
  <si>
    <t>T25185</t>
  </si>
  <si>
    <t>VD - Fase 2 Programmering TSA16 Svendborg</t>
  </si>
  <si>
    <t>T25186</t>
  </si>
  <si>
    <t>Ombygning af Falck station Vejle</t>
  </si>
  <si>
    <t>Falck Ejendomme</t>
  </si>
  <si>
    <t>T25187</t>
  </si>
  <si>
    <t>Boliger Nyborgvej i Odense</t>
  </si>
  <si>
    <t>VT Ejendomme</t>
  </si>
  <si>
    <t>CW arkitekter</t>
  </si>
  <si>
    <t>T25188</t>
  </si>
  <si>
    <t>Akacieparken</t>
  </si>
  <si>
    <t>Tilbud sendt 12. juni 2025. Svar 23. juni</t>
  </si>
  <si>
    <t>T25189</t>
  </si>
  <si>
    <t>Varmecentral Svanemøllen</t>
  </si>
  <si>
    <t>HOFOR</t>
  </si>
  <si>
    <t>Sagen er for stor for os</t>
  </si>
  <si>
    <t>T25190</t>
  </si>
  <si>
    <t>Techcollege Aalborg</t>
  </si>
  <si>
    <t>AP Møllers fonden</t>
  </si>
  <si>
    <t>T25191</t>
  </si>
  <si>
    <t>Jonstrupvang i Værløse</t>
  </si>
  <si>
    <t>Center for ejendomme, Region H</t>
  </si>
  <si>
    <t>Tidsplan: 2. halvår 2026</t>
  </si>
  <si>
    <t>KRH Architecture</t>
  </si>
  <si>
    <t>T25192</t>
  </si>
  <si>
    <t>Fredensborg, Bofællesskab</t>
  </si>
  <si>
    <t>PHA rykke Henrik / KHR</t>
  </si>
  <si>
    <t>T25193</t>
  </si>
  <si>
    <t>Plejehjem Odder, Asp og Asaa</t>
  </si>
  <si>
    <t>3 lokationer</t>
  </si>
  <si>
    <t>T25194</t>
  </si>
  <si>
    <t>Arendalsvej i Silkeborg - boliger over Rema</t>
  </si>
  <si>
    <t>MP_JWR</t>
  </si>
  <si>
    <t>Udviklingsprojekt</t>
  </si>
  <si>
    <t>Laban Arkitekter</t>
  </si>
  <si>
    <t>der bygges ovenpå eksisterende REMA bygning.</t>
  </si>
  <si>
    <t>T25195</t>
  </si>
  <si>
    <t>Stenlængegård</t>
  </si>
  <si>
    <t>BoligNæstved</t>
  </si>
  <si>
    <t xml:space="preserve">3-5 etagers + tæt lav, Familie og seniorboliger,  94 boliger, boligareal 7.402 kvm + fælleshus 160kvm. Kuben er BHR. </t>
  </si>
  <si>
    <t>Pålsson</t>
  </si>
  <si>
    <t>T25196</t>
  </si>
  <si>
    <t>Bjergmarkskolen, Holbæk</t>
  </si>
  <si>
    <t>Vi har besluttet ikke at søge PQ</t>
  </si>
  <si>
    <t>T25197</t>
  </si>
  <si>
    <t>Breinholtparken - Hjerting</t>
  </si>
  <si>
    <t>MFG Byg Aps</t>
  </si>
  <si>
    <t>Byggemodning + evt. byggeri, Hjerting, Esbjerg</t>
  </si>
  <si>
    <t>T25198</t>
  </si>
  <si>
    <t>Byggemodning - 2 boligområder i Skælskør</t>
  </si>
  <si>
    <t>Envafors A/S</t>
  </si>
  <si>
    <t>T25199</t>
  </si>
  <si>
    <t>Rønnedalen</t>
  </si>
  <si>
    <t xml:space="preserve">Boligkontoret Danmark </t>
  </si>
  <si>
    <t>Tilbudsarbejdet pågår</t>
  </si>
  <si>
    <t>Paalsson Arkitekter</t>
  </si>
  <si>
    <t>T25200</t>
  </si>
  <si>
    <t>Silkeborg Slot - Nyt museum</t>
  </si>
  <si>
    <t>H+ Arkitekter</t>
  </si>
  <si>
    <t>700 m2</t>
  </si>
  <si>
    <t>T25201</t>
  </si>
  <si>
    <t>Himmelbjerget - Velkomscenter</t>
  </si>
  <si>
    <t>Naturstyrelsen Søhøjlandet</t>
  </si>
  <si>
    <t xml:space="preserve">Norrøn </t>
  </si>
  <si>
    <t>T25202</t>
  </si>
  <si>
    <t>Rødekro - Områdedisponering</t>
  </si>
  <si>
    <t>T25203</t>
  </si>
  <si>
    <t>Vej og Anlæg - Ad hoc</t>
  </si>
  <si>
    <t>T25204</t>
  </si>
  <si>
    <t>Dagbeskæftigelse Fælleshåb</t>
  </si>
  <si>
    <t>T25205</t>
  </si>
  <si>
    <t>Tunnel under banen i Middelfart</t>
  </si>
  <si>
    <t>T25206</t>
  </si>
  <si>
    <t>Bucher</t>
  </si>
  <si>
    <t>HpH totalbyg</t>
  </si>
  <si>
    <t>T25207</t>
  </si>
  <si>
    <t>Ringsted Svømmehal tilstandsvur.</t>
  </si>
  <si>
    <t>Ringsted Kommune</t>
  </si>
  <si>
    <t>Tilbud i uge 24</t>
  </si>
  <si>
    <t>T25208</t>
  </si>
  <si>
    <t>FEJL</t>
  </si>
  <si>
    <t>T25209</t>
  </si>
  <si>
    <t>T25210</t>
  </si>
  <si>
    <t>Gavefabrikken - Lovliggørelse</t>
  </si>
  <si>
    <t>CVA</t>
  </si>
  <si>
    <t xml:space="preserve">Gavefabrikken </t>
  </si>
  <si>
    <t>Gavefabrikken</t>
  </si>
  <si>
    <t>Lovliggørelse af indskudt dæk</t>
  </si>
  <si>
    <t>T25211</t>
  </si>
  <si>
    <t>Fremtidens Enghuse - dobbeltoprettet</t>
  </si>
  <si>
    <t>Adserballe og Knudsen</t>
  </si>
  <si>
    <t>T25212</t>
  </si>
  <si>
    <t>FEAS - totalrådgivning til etablering af skræddersyet lejemål</t>
  </si>
  <si>
    <t>FEAS</t>
  </si>
  <si>
    <t>SPØRG MP</t>
  </si>
  <si>
    <t>Laboratorier mv.</t>
  </si>
  <si>
    <t>T25213</t>
  </si>
  <si>
    <t>Trinity Synergies</t>
  </si>
  <si>
    <t>T25214</t>
  </si>
  <si>
    <t>Campus Kalundborg</t>
  </si>
  <si>
    <t>SKALA Arkitekter</t>
  </si>
  <si>
    <t>Zublin+Skala+Cobe</t>
  </si>
  <si>
    <t>T25215</t>
  </si>
  <si>
    <t>Sluseholmen Botilbud</t>
  </si>
  <si>
    <t>Ultimo 2025 / Primo 2026</t>
  </si>
  <si>
    <t>T25216</t>
  </si>
  <si>
    <t>Dantes Plads</t>
  </si>
  <si>
    <t>ZÜBLIN</t>
  </si>
  <si>
    <t>Tidsplan: Q4/2025
Tilbudsarbejdet pågår</t>
  </si>
  <si>
    <t>T25217</t>
  </si>
  <si>
    <t>Hårup Bygade 16b, Silkeborg</t>
  </si>
  <si>
    <t>JWR_MP</t>
  </si>
  <si>
    <t>Ejendomsinvestering</t>
  </si>
  <si>
    <t>Luplau Paulsen</t>
  </si>
  <si>
    <t>T25218</t>
  </si>
  <si>
    <t>Kunstvæg</t>
  </si>
  <si>
    <t>T25219</t>
  </si>
  <si>
    <t>Boliger Gl Kirkevej Horsens</t>
  </si>
  <si>
    <t>Jakob Nikolajsen</t>
  </si>
  <si>
    <t>T25220</t>
  </si>
  <si>
    <t>H09009 - Hirtshalsmotorvejens afslutning</t>
  </si>
  <si>
    <t>T25221</t>
  </si>
  <si>
    <t>Affaldsskure Tinghøjen afd. 9306</t>
  </si>
  <si>
    <t>DAB - Esbjerg</t>
  </si>
  <si>
    <t>T25222</t>
  </si>
  <si>
    <t>Tandlæger Middelfart Kommune</t>
  </si>
  <si>
    <t>rum</t>
  </si>
  <si>
    <t>T25223</t>
  </si>
  <si>
    <t>Tandlæger Silkeborg Kommune</t>
  </si>
  <si>
    <t>Nordstern (Christian Falstrup)</t>
  </si>
  <si>
    <t>Ginnerup (Niels)</t>
  </si>
  <si>
    <t>T25224</t>
  </si>
  <si>
    <t>Kongshøj center</t>
  </si>
  <si>
    <t>T25225</t>
  </si>
  <si>
    <t>Udvidelse Magleby Fri- og Efterskole</t>
  </si>
  <si>
    <t>Magleby Fri- og Efterskole</t>
  </si>
  <si>
    <t>Holddannelse pågår</t>
  </si>
  <si>
    <t>Udvidelse og ombygning</t>
  </si>
  <si>
    <t>T25226</t>
  </si>
  <si>
    <t>Vejtilslutning - Horsensvej</t>
  </si>
  <si>
    <t>PKR</t>
  </si>
  <si>
    <t>T25227</t>
  </si>
  <si>
    <t xml:space="preserve">Infrastruktur Skovparken </t>
  </si>
  <si>
    <t>SAB</t>
  </si>
  <si>
    <t>Munck</t>
  </si>
  <si>
    <t xml:space="preserve">Totalentreprise med VITA som rådgiver </t>
  </si>
  <si>
    <t>T25228</t>
  </si>
  <si>
    <t>Wedelsgade 1 - Ombygning til boliger</t>
  </si>
  <si>
    <t>JUAL</t>
  </si>
  <si>
    <t>T25229</t>
  </si>
  <si>
    <t>Mindet 2, Aarhus</t>
  </si>
  <si>
    <t>Ændret anvendelse på Mindet 2</t>
  </si>
  <si>
    <t>T25230</t>
  </si>
  <si>
    <t>Avlsgården - Nyborg</t>
  </si>
  <si>
    <t>MUNCK Gruppen</t>
  </si>
  <si>
    <t>Arne Birk</t>
  </si>
  <si>
    <t>inkl. lokalplan</t>
  </si>
  <si>
    <t>34 boliger</t>
  </si>
  <si>
    <t>T25231</t>
  </si>
  <si>
    <t>Fremtidens Gødvad</t>
  </si>
  <si>
    <t>Kurt Kamp Arkitekter</t>
  </si>
  <si>
    <t>T25232</t>
  </si>
  <si>
    <t>AP byggefelt 6.5</t>
  </si>
  <si>
    <t>AP Pension</t>
  </si>
  <si>
    <t>T25233</t>
  </si>
  <si>
    <t>Evida AAL,  projektforslag</t>
  </si>
  <si>
    <t>Evida CO2</t>
  </si>
  <si>
    <t>Udvidelse af eksisterende projekt</t>
  </si>
  <si>
    <t>T25234</t>
  </si>
  <si>
    <t>ikke aktuel, dobbeltoprettet</t>
  </si>
  <si>
    <t>T25235</t>
  </si>
  <si>
    <t>Sydfyns Fri Fag- og Efterskole</t>
  </si>
  <si>
    <t>Svendborg</t>
  </si>
  <si>
    <t>Keld Hermann + Arne Birk</t>
  </si>
  <si>
    <t>ja</t>
  </si>
  <si>
    <t>REXBirk</t>
  </si>
  <si>
    <t>Keld Hermansen</t>
  </si>
  <si>
    <t>T25236</t>
  </si>
  <si>
    <t>Ringstedgade 29 - Altanprojekt</t>
  </si>
  <si>
    <t>Altanprojekt</t>
  </si>
  <si>
    <t>T25237</t>
  </si>
  <si>
    <t>Agerbækhuse</t>
  </si>
  <si>
    <t>Züblin</t>
  </si>
  <si>
    <t>PQ ansøgt. Afventer svar 20. juni</t>
  </si>
  <si>
    <t>KHR</t>
  </si>
  <si>
    <t>T25238</t>
  </si>
  <si>
    <t>Slagtehusgade 7-9</t>
  </si>
  <si>
    <t>Københavns Ejendomme</t>
  </si>
  <si>
    <t>Bygherregranskning</t>
  </si>
  <si>
    <t>T25239</t>
  </si>
  <si>
    <t>Trafiksikkerhed - projekteringsassistance Sønderborg</t>
  </si>
  <si>
    <t>T25240</t>
  </si>
  <si>
    <t>Fodboldhuset</t>
  </si>
  <si>
    <t>Greve Kommune</t>
  </si>
  <si>
    <t>Tilbygning til fodboldafdelingen</t>
  </si>
  <si>
    <t>T25241</t>
  </si>
  <si>
    <t>Rundhøjskolen - Udvidelse</t>
  </si>
  <si>
    <t>PN Tømrer</t>
  </si>
  <si>
    <t>T25242</t>
  </si>
  <si>
    <t>50 rækkehuse i Vindinge, Roskilde</t>
  </si>
  <si>
    <t>REKA Group</t>
  </si>
  <si>
    <t>T25243</t>
  </si>
  <si>
    <t>Oksen - Etape 3</t>
  </si>
  <si>
    <t>TR, med ARK som UR</t>
  </si>
  <si>
    <t>T25244</t>
  </si>
  <si>
    <t>FSB - Skolevangen Del 2</t>
  </si>
  <si>
    <t>ADMA</t>
  </si>
  <si>
    <t>Tidsplan: ??
Projektering af fundet konklusion på del 1</t>
  </si>
  <si>
    <t>T25245</t>
  </si>
  <si>
    <t>Allékvarteret Plejecenter, Sorø</t>
  </si>
  <si>
    <t>Sydkystens Boligselskab</t>
  </si>
  <si>
    <t>Holddannelse med H&amp;K samt H+H arkitekter</t>
  </si>
  <si>
    <t>10200 m² (168 mio)</t>
  </si>
  <si>
    <t>H+H arkitekter</t>
  </si>
  <si>
    <t>H&amp;K</t>
  </si>
  <si>
    <t>T25246</t>
  </si>
  <si>
    <t>Samlingssal på Sorø Akademi</t>
  </si>
  <si>
    <t>Sorø akademi</t>
  </si>
  <si>
    <t>Cornelius Vöge IKKE inviteret</t>
  </si>
  <si>
    <t>100 mio</t>
  </si>
  <si>
    <t>Ikke inviteret til at deltage</t>
  </si>
  <si>
    <t>T25247</t>
  </si>
  <si>
    <t>Nykredit - Høje Taastrup</t>
  </si>
  <si>
    <t>T25248</t>
  </si>
  <si>
    <t>KLP WKG12 Facadeskiltning</t>
  </si>
  <si>
    <t>T25249</t>
  </si>
  <si>
    <t>KLP WKG12 Indregulering</t>
  </si>
  <si>
    <t>Rammeaftale - Afventer MST / ADMA</t>
  </si>
  <si>
    <t>T25250</t>
  </si>
  <si>
    <t>KLP WKG12 målere</t>
  </si>
  <si>
    <t>T25251</t>
  </si>
  <si>
    <t>Nykredit Næstved - Varmeproduktion</t>
  </si>
  <si>
    <t>T25252</t>
  </si>
  <si>
    <t>VAB - legionella</t>
  </si>
  <si>
    <t>T25253</t>
  </si>
  <si>
    <t>Drosselvænget 17</t>
  </si>
  <si>
    <t>Casper Kure</t>
  </si>
  <si>
    <t>Notat for stabilitet</t>
  </si>
  <si>
    <t>T25254</t>
  </si>
  <si>
    <t>Renovering Vita skolen</t>
  </si>
  <si>
    <t>Modernisering og udvidelse</t>
  </si>
  <si>
    <t>T25255</t>
  </si>
  <si>
    <t>Skørping Ædrecenter</t>
  </si>
  <si>
    <t>Rebild Kommune</t>
  </si>
  <si>
    <t>pågår</t>
  </si>
  <si>
    <t>T25256</t>
  </si>
  <si>
    <t>VGP Park Odense Regnvandshåndtering</t>
  </si>
  <si>
    <t>VGP Danmark ApS</t>
  </si>
  <si>
    <t>T25257</t>
  </si>
  <si>
    <t>KLP-WKG12-Afgreningsmålere</t>
  </si>
  <si>
    <t>T25258</t>
  </si>
  <si>
    <t xml:space="preserve">E.B.L - Screening </t>
  </si>
  <si>
    <t>E.Bank Lauridsen</t>
  </si>
  <si>
    <t>Fortrolig sag, der skal gives input til lokalplan mv. i første omgang</t>
  </si>
  <si>
    <t>T25259</t>
  </si>
  <si>
    <t>Sparring LIVA</t>
  </si>
  <si>
    <t>Civica</t>
  </si>
  <si>
    <t>Sweco Danmark A/S</t>
  </si>
  <si>
    <t>nej</t>
  </si>
  <si>
    <t>T25260</t>
  </si>
  <si>
    <t>Station Aarhus Vest</t>
  </si>
  <si>
    <t>PN Tømrer og Byggefirma</t>
  </si>
  <si>
    <t>Ny station på Bautavej</t>
  </si>
  <si>
    <t>22.08.2025 kl. 12.00</t>
  </si>
  <si>
    <t>T25261</t>
  </si>
  <si>
    <t>Mariehusene Trekroner Øst</t>
  </si>
  <si>
    <t>Erik Arkitekter / KABI</t>
  </si>
  <si>
    <t xml:space="preserve">Tidsplan: Primo 2026  </t>
  </si>
  <si>
    <t>T25262</t>
  </si>
  <si>
    <t>Bunkeren, Aarhus</t>
  </si>
  <si>
    <t>Transformation af den gamle journalisthøjskole</t>
  </si>
  <si>
    <t>Nordland / MASU planning</t>
  </si>
  <si>
    <t>Projektet omfatter omdannelse af den tildligere Journalisthøjskole, kaldet Bunkeren, til kultur- og fællesskabshus, hvor borgere, foreninger, kunstnere, erhvervsliv og udsatte grupper får mulighed for at mødes om aktiviteter og events. Den omdannede Bunker skal blandt andet rumme en socialøkonomisk café, værksteder, koncert- og mødelokaler, samt plads til fællesspisninger, læsegrupper mm. Der er endnu ikke valgt rådgivere eller taget endeligt stilling til udbud af byggearbejdet.</t>
  </si>
  <si>
    <t>T25263</t>
  </si>
  <si>
    <t>ALK - AP Upgrade</t>
  </si>
  <si>
    <t>ALK</t>
  </si>
  <si>
    <t>Ombygning i aseptisk produktion</t>
  </si>
  <si>
    <t>825m2</t>
  </si>
  <si>
    <t>T25264</t>
  </si>
  <si>
    <t xml:space="preserve">Uderum UCL Svendborg </t>
  </si>
  <si>
    <t>T25265</t>
  </si>
  <si>
    <t>Boligforeningen 10. marts 1943 - Rammeaftale Bygherrerådgivning</t>
  </si>
  <si>
    <t>Boligforeningen 10. marts 1943</t>
  </si>
  <si>
    <t>T25266</t>
  </si>
  <si>
    <t>T25267</t>
  </si>
  <si>
    <t>Vojens Andelsboligforening - VAB 28</t>
  </si>
  <si>
    <t>Erhver og Boligbyg</t>
  </si>
  <si>
    <t>70 mill  - Genudbud</t>
  </si>
  <si>
    <t>Erhverv og Boligbyg</t>
  </si>
  <si>
    <t>T25268</t>
  </si>
  <si>
    <t>Greenlab, Skive - Innovationscenter</t>
  </si>
  <si>
    <t>Greenlab, Skive</t>
  </si>
  <si>
    <t>85 mio. kr.</t>
  </si>
  <si>
    <t>3.500 - 4.000 m2</t>
  </si>
  <si>
    <t>20.08.2025 kl. 12.00</t>
  </si>
  <si>
    <t>T25269</t>
  </si>
  <si>
    <t>Energinet - Rammeaftale delaftale A</t>
  </si>
  <si>
    <t>T25270</t>
  </si>
  <si>
    <t>Ny Daginstitution i Ejby</t>
  </si>
  <si>
    <t>T25271</t>
  </si>
  <si>
    <t>Børnehuset Bulderby</t>
  </si>
  <si>
    <t>T25272</t>
  </si>
  <si>
    <t>Campus kvarter - RUC</t>
  </si>
  <si>
    <t>APF ejendomme</t>
  </si>
  <si>
    <t>T25273</t>
  </si>
  <si>
    <t>LSC-T12</t>
  </si>
  <si>
    <t>KRH</t>
  </si>
  <si>
    <t>God kundekontakt</t>
  </si>
  <si>
    <t>T25274</t>
  </si>
  <si>
    <t>DOMI Bolig afdeling 59 i Solbjerg</t>
  </si>
  <si>
    <t>DOMI BOLIG</t>
  </si>
  <si>
    <t>T25275</t>
  </si>
  <si>
    <t>Ulvemosehuset - Rungsted</t>
  </si>
  <si>
    <t>Hørsholm Kommune</t>
  </si>
  <si>
    <t>Afventer udbud 2026
PHA rykke Camilla / RUM</t>
  </si>
  <si>
    <t>T25276</t>
  </si>
  <si>
    <t xml:space="preserve">Botilbud Jagtvej </t>
  </si>
  <si>
    <t>Tidsplan: Medio 2026</t>
  </si>
  <si>
    <t>T25277</t>
  </si>
  <si>
    <t>Børnehuset Regnbuen</t>
  </si>
  <si>
    <t>Afventer udbud 2027
PHA rykke Camilla / RUM</t>
  </si>
  <si>
    <t>T25278</t>
  </si>
  <si>
    <t>Skanderborg Realskole - Tagkonstruktion</t>
  </si>
  <si>
    <t>Skanderborg Realskole</t>
  </si>
  <si>
    <t>15.08.2025 kl. 12.00</t>
  </si>
  <si>
    <t>T25279</t>
  </si>
  <si>
    <t>Døgninstitutionen Koglen</t>
  </si>
  <si>
    <t>T25280</t>
  </si>
  <si>
    <t>VOLVO Onsild Hobro</t>
  </si>
  <si>
    <t>VOLVO</t>
  </si>
  <si>
    <t>HpP Total byg</t>
  </si>
  <si>
    <t>T25281</t>
  </si>
  <si>
    <t>Porche Center Århus</t>
  </si>
  <si>
    <t>Semler Automobiler</t>
  </si>
  <si>
    <t>T25282</t>
  </si>
  <si>
    <t>Silo på Havnegade</t>
  </si>
  <si>
    <t>T25283</t>
  </si>
  <si>
    <t>Fase 2 kryds - H52014 Vorbasse</t>
  </si>
  <si>
    <t>T25284</t>
  </si>
  <si>
    <t>Toftegårdsvej - Kanaliseringsanlæg</t>
  </si>
  <si>
    <t>T25285</t>
  </si>
  <si>
    <t>Vikingeringborg - Nonnebakken</t>
  </si>
  <si>
    <t>T25286</t>
  </si>
  <si>
    <t>Træningshal ved SEPE  Håndbold</t>
  </si>
  <si>
    <t>TEKT</t>
  </si>
  <si>
    <t>T25287</t>
  </si>
  <si>
    <t>Ribe Vikingecenter</t>
  </si>
  <si>
    <t>Cornelius Voge + CUBO + Skaarup landskab</t>
  </si>
  <si>
    <t>32 mio. kr</t>
  </si>
  <si>
    <t>Cornelius Vöge + CUBO + Skaarup landskab</t>
  </si>
  <si>
    <t>T25288</t>
  </si>
  <si>
    <t>66 mio. kr.</t>
  </si>
  <si>
    <t>T25289</t>
  </si>
  <si>
    <t>Bodøvej 15, - administration</t>
  </si>
  <si>
    <t>Svendborg Fjernvarme</t>
  </si>
  <si>
    <t>600 m²</t>
  </si>
  <si>
    <t>T25290</t>
  </si>
  <si>
    <t xml:space="preserve">LINEX Huset </t>
  </si>
  <si>
    <t>T25291</t>
  </si>
  <si>
    <t>Friplejehjem - Køge</t>
  </si>
  <si>
    <t>Force4arkitekter</t>
  </si>
  <si>
    <t>T25292</t>
  </si>
  <si>
    <t>Vigerslevvej 282, Ungdomsboliger</t>
  </si>
  <si>
    <t xml:space="preserve">Status: Vi skulle have </t>
  </si>
  <si>
    <t>T25293</t>
  </si>
  <si>
    <t>Nyt varmeværk i Odder</t>
  </si>
  <si>
    <t>Odder Forsyningsselskab I/S</t>
  </si>
  <si>
    <t>T25294</t>
  </si>
  <si>
    <t>Energinet_rammeaftaler</t>
  </si>
  <si>
    <t>T25295</t>
  </si>
  <si>
    <t>Boligkontoret Aarhus - Afd. 84</t>
  </si>
  <si>
    <t>Boligkontoret Aarhus</t>
  </si>
  <si>
    <t>T25296</t>
  </si>
  <si>
    <t>Herrups Have</t>
  </si>
  <si>
    <t>E Bank Lauridsen</t>
  </si>
  <si>
    <t>T25297</t>
  </si>
  <si>
    <t>Renovering Hotel Hesselet</t>
  </si>
  <si>
    <t>Hotel Hesselet</t>
  </si>
  <si>
    <t>Sunke arkitekter</t>
  </si>
  <si>
    <t>Etape 1 (haveanlæg)</t>
  </si>
  <si>
    <t xml:space="preserve">Renovering sker i etape 2 og 3 </t>
  </si>
  <si>
    <t>T25298</t>
  </si>
  <si>
    <t>TST - rådgivning ifm. nyt tag og gulv</t>
  </si>
  <si>
    <t>TST</t>
  </si>
  <si>
    <t>møde uge 33</t>
  </si>
  <si>
    <t>T25299</t>
  </si>
  <si>
    <t xml:space="preserve">Udviklingsplan Holbæk Havn </t>
  </si>
  <si>
    <t xml:space="preserve">Holbæk kommune </t>
  </si>
  <si>
    <t>T25300</t>
  </si>
  <si>
    <t>Kagsløkke 13</t>
  </si>
  <si>
    <t>Jens Pedersen</t>
  </si>
  <si>
    <t>Døroverligger</t>
  </si>
  <si>
    <t>A1</t>
  </si>
  <si>
    <t>T25301</t>
  </si>
  <si>
    <t>AMC - Elgiganten</t>
  </si>
  <si>
    <t>Dansk Shoppingcenter</t>
  </si>
  <si>
    <t>Wawa</t>
  </si>
  <si>
    <t>Tidsplan: ?? 
Ombygning i Amagercenteret</t>
  </si>
  <si>
    <t>1250 m2</t>
  </si>
  <si>
    <t>T25302</t>
  </si>
  <si>
    <t>Burger King Nr Aaby</t>
  </si>
  <si>
    <t>THOM - MWK</t>
  </si>
  <si>
    <t>Burger King</t>
  </si>
  <si>
    <t>Kemp  Lauritzen AS</t>
  </si>
  <si>
    <t>T25303</t>
  </si>
  <si>
    <t>Værkmestergade 3-5, Aarhus</t>
  </si>
  <si>
    <t>ATP Ejendomme</t>
  </si>
  <si>
    <t>ERIK NORD</t>
  </si>
  <si>
    <t>T25304</t>
  </si>
  <si>
    <t>Kriminalforsorgen - Rammeaftale</t>
  </si>
  <si>
    <t>MP PHA</t>
  </si>
  <si>
    <t>SPØRG MP PHA</t>
  </si>
  <si>
    <t>T25305</t>
  </si>
  <si>
    <t>Bagsværd Ny Skole</t>
  </si>
  <si>
    <t>PHA rykke Marie / CCO</t>
  </si>
  <si>
    <t>T25306</t>
  </si>
  <si>
    <t>VGP Park Greve North Regnvandshåndtering</t>
  </si>
  <si>
    <t>T25307</t>
  </si>
  <si>
    <t>NN KA JE &amp; JG 2026</t>
  </si>
  <si>
    <t>Tidsplan: ?? 
Forsættelse af indlån</t>
  </si>
  <si>
    <t>T25308</t>
  </si>
  <si>
    <t>Idrætshal, Funder</t>
  </si>
  <si>
    <t>T25309</t>
  </si>
  <si>
    <t>Svømmehal, Sundby</t>
  </si>
  <si>
    <t>Skal slettes</t>
  </si>
  <si>
    <t>T25310</t>
  </si>
  <si>
    <t>Åsumvej 4 til 2 spor</t>
  </si>
  <si>
    <t xml:space="preserve">Offentligt udbud </t>
  </si>
  <si>
    <t xml:space="preserve">Pågår </t>
  </si>
  <si>
    <t>T25311</t>
  </si>
  <si>
    <t>KS af rådgiverydelser på LIVA</t>
  </si>
  <si>
    <t>aftale på medgået tid</t>
  </si>
  <si>
    <t>T25312</t>
  </si>
  <si>
    <t>Tilbud til Stjoulvej</t>
  </si>
  <si>
    <t>Jacob Miskov Siervers</t>
  </si>
  <si>
    <t>T25313</t>
  </si>
  <si>
    <t>Trafiksikkerhedsprojekter SVBG</t>
  </si>
  <si>
    <t xml:space="preserve">Svendborg kommune </t>
  </si>
  <si>
    <t>T25314</t>
  </si>
  <si>
    <t xml:space="preserve">Renovering af Hjerteparken </t>
  </si>
  <si>
    <t>Sydfyns Almene Boliger</t>
  </si>
  <si>
    <t xml:space="preserve">Sydfyns Almene Boliger </t>
  </si>
  <si>
    <t>228 boliger</t>
  </si>
  <si>
    <t>T25315</t>
  </si>
  <si>
    <t>Idékonkurrence - Odense ZOO Asienanlæg</t>
  </si>
  <si>
    <t>Odense ZOO</t>
  </si>
  <si>
    <t>deltagelse vurderes…</t>
  </si>
  <si>
    <t>T25316</t>
  </si>
  <si>
    <t>Skilte på Stadion</t>
  </si>
  <si>
    <t>EFB Elite A/S</t>
  </si>
  <si>
    <t>T25317</t>
  </si>
  <si>
    <t>Djurslandsskolen - §83 tilbud</t>
  </si>
  <si>
    <t>Djurslandsskolen</t>
  </si>
  <si>
    <t>T25318</t>
  </si>
  <si>
    <t>Campus Varde - Gymnasium</t>
  </si>
  <si>
    <t>T25319</t>
  </si>
  <si>
    <t>Frederiksberg Skole - Etablering af borgerhus</t>
  </si>
  <si>
    <t>PHA rykke Camilla / RUM</t>
  </si>
  <si>
    <t>T25320</t>
  </si>
  <si>
    <t>Hummeltofteskolen - indskolingshus - Udvidelse af skole</t>
  </si>
  <si>
    <t>T25321</t>
  </si>
  <si>
    <t>Kulturhuset Indre By - Renovering af kulturhus</t>
  </si>
  <si>
    <t>Skala</t>
  </si>
  <si>
    <t>PHA rykke Anne / Skala</t>
  </si>
  <si>
    <t>T25322</t>
  </si>
  <si>
    <t xml:space="preserve">Dørhul - Ødis Skole </t>
  </si>
  <si>
    <t>T25323</t>
  </si>
  <si>
    <t>Heimstaden 5års Haverne Havegangen</t>
  </si>
  <si>
    <t>T25324</t>
  </si>
  <si>
    <t>Heimstaden 5års Frydenlund vej 19 20</t>
  </si>
  <si>
    <t>T25325</t>
  </si>
  <si>
    <t xml:space="preserve">Heimstaden 5års Herman Bangs vej </t>
  </si>
  <si>
    <t>T25326</t>
  </si>
  <si>
    <t xml:space="preserve">HORTEN </t>
  </si>
  <si>
    <t>Gennemgang af tekniske anlæg og CTS</t>
  </si>
  <si>
    <t>T25327</t>
  </si>
  <si>
    <t>Hvidovre kommune - Medborgerhus</t>
  </si>
  <si>
    <t>Overdækning af atrium - indl. øvelse</t>
  </si>
  <si>
    <t>T25328</t>
  </si>
  <si>
    <t>Anlægsprojekt Anderup</t>
  </si>
  <si>
    <t>Rune Brydegaard er orienteret</t>
  </si>
  <si>
    <t>T25329</t>
  </si>
  <si>
    <t>T25330</t>
  </si>
  <si>
    <t>Nyt Hotel i Odense</t>
  </si>
  <si>
    <t>Skjøde projekt</t>
  </si>
  <si>
    <t>T25331</t>
  </si>
  <si>
    <t>Lisbjerg (bolig, plejehjem, fødevarebutik)</t>
  </si>
  <si>
    <t>T25332</t>
  </si>
  <si>
    <t>Kyst og Lystfiskercenter Assens</t>
  </si>
  <si>
    <t>Assens Kommune</t>
  </si>
  <si>
    <t xml:space="preserve">TC Anlæg </t>
  </si>
  <si>
    <t>T25333</t>
  </si>
  <si>
    <t>DR Rammeaftale - Teknisk rådgivning</t>
  </si>
  <si>
    <t>Danmarks Radio</t>
  </si>
  <si>
    <t>T25334</t>
  </si>
  <si>
    <t>Folkeparken på Halvøen i Ebeltoft</t>
  </si>
  <si>
    <t>DV</t>
  </si>
  <si>
    <t>DV har relationen</t>
  </si>
  <si>
    <t>T25335</t>
  </si>
  <si>
    <t>Færgelejerne Fra Havn til Strand</t>
  </si>
  <si>
    <t xml:space="preserve">Nakskov </t>
  </si>
  <si>
    <t>T25336</t>
  </si>
  <si>
    <t>Fremtidens Vollsmose - ANL</t>
  </si>
  <si>
    <t>Fremtidens Vollsmose - Anlæg</t>
  </si>
  <si>
    <t>T25337</t>
  </si>
  <si>
    <t>Ambulancestation i Esbjerg</t>
  </si>
  <si>
    <t>T25338</t>
  </si>
  <si>
    <t>Engdalskolen, Brabrand</t>
  </si>
  <si>
    <t>T25339</t>
  </si>
  <si>
    <t>Sundby Svømmehal</t>
  </si>
  <si>
    <t>PHA rykke EVA / BBP</t>
  </si>
  <si>
    <t>T25340</t>
  </si>
  <si>
    <t>Vestervang 27</t>
  </si>
  <si>
    <t>Andreas Jørgensen</t>
  </si>
  <si>
    <t>Tidsplan: 2026/2027
Tilbygning - KON</t>
  </si>
  <si>
    <t>50 m2</t>
  </si>
  <si>
    <t>T25341</t>
  </si>
  <si>
    <t>Frederiksborgvej 109B</t>
  </si>
  <si>
    <t>Tidsplan: Start 2026
Enfamiliehus i Roskilde - KON+INST+PL</t>
  </si>
  <si>
    <t>350 m2</t>
  </si>
  <si>
    <t>T25342</t>
  </si>
  <si>
    <t>Hillerød Sundhedshus</t>
  </si>
  <si>
    <t xml:space="preserve">Hillerød Kommune, Ejendomme </t>
  </si>
  <si>
    <t>Tidsplan: ?? 
Nyt ventilationssystem</t>
  </si>
  <si>
    <t>T25343</t>
  </si>
  <si>
    <t>Tinghøj etape 2</t>
  </si>
  <si>
    <t>T25344</t>
  </si>
  <si>
    <t>Jægersborg Allé 21, Coop butik og boliger</t>
  </si>
  <si>
    <t>Coop Danmark</t>
  </si>
  <si>
    <t>Skjøde Knudsen</t>
  </si>
  <si>
    <t>Harrebek arkitekter</t>
  </si>
  <si>
    <t>2050 m² + p-kælder</t>
  </si>
  <si>
    <t>Harrebek</t>
  </si>
  <si>
    <t>T25345</t>
  </si>
  <si>
    <t>Skydebjerg</t>
  </si>
  <si>
    <t>Assens Spildevand A/S</t>
  </si>
  <si>
    <t>T25346</t>
  </si>
  <si>
    <t>Skybox Vejle stadion</t>
  </si>
  <si>
    <t>Vejle stadion</t>
  </si>
  <si>
    <t>Hauge stål</t>
  </si>
  <si>
    <t>T25347</t>
  </si>
  <si>
    <t xml:space="preserve">KuMu </t>
  </si>
  <si>
    <t>Fortroligt</t>
  </si>
  <si>
    <t>T25348</t>
  </si>
  <si>
    <t>Islelund, Rødovre</t>
  </si>
  <si>
    <t>Rødovre Boligselskab</t>
  </si>
  <si>
    <t>PHA rykke Kullegaard</t>
  </si>
  <si>
    <t>T25349</t>
  </si>
  <si>
    <t>Lundtoftevej 212</t>
  </si>
  <si>
    <t>Tidsplan: Opgave udført</t>
  </si>
  <si>
    <t>T25350</t>
  </si>
  <si>
    <t>Ny skole i Eriksborg</t>
  </si>
  <si>
    <t>Ikke Aktuel</t>
  </si>
  <si>
    <t>T25351</t>
  </si>
  <si>
    <t>Kontor Vejle</t>
  </si>
  <si>
    <t xml:space="preserve">Base erhverv </t>
  </si>
  <si>
    <t>T25352</t>
  </si>
  <si>
    <t>Schur, Horsens</t>
  </si>
  <si>
    <t>Kjæhr og Trillingsgaard</t>
  </si>
  <si>
    <t>T25353</t>
  </si>
  <si>
    <t>Vestbyparken, afd. 8, Vejle</t>
  </si>
  <si>
    <t>Hold med BDO</t>
  </si>
  <si>
    <t>T25354</t>
  </si>
  <si>
    <t>2 Punkthuse Odense C</t>
  </si>
  <si>
    <t xml:space="preserve">Amstrup og Baggesen </t>
  </si>
  <si>
    <t>T25355</t>
  </si>
  <si>
    <t>Edwin Rahrs Vej 32P</t>
  </si>
  <si>
    <t>Olav de Linde A/S</t>
  </si>
  <si>
    <t>T25356</t>
  </si>
  <si>
    <t xml:space="preserve">Industribygninger Middelfart </t>
  </si>
  <si>
    <t>Bygningskvalitet ApS</t>
  </si>
  <si>
    <t>T25357</t>
  </si>
  <si>
    <t>T25358</t>
  </si>
  <si>
    <t>Viborg Brandstation</t>
  </si>
  <si>
    <t>T25359</t>
  </si>
  <si>
    <t>Faaborg Museum</t>
  </si>
  <si>
    <t>MP/SVOP</t>
  </si>
  <si>
    <t>VIA/VIO</t>
  </si>
  <si>
    <t>Faaborg-Midtfyn</t>
  </si>
  <si>
    <t>PQ - 21.08.2026</t>
  </si>
  <si>
    <t>T25360</t>
  </si>
  <si>
    <t>Galten Plejehjem</t>
  </si>
  <si>
    <t>Skanderborg kommune</t>
  </si>
  <si>
    <t>7500 m2</t>
  </si>
  <si>
    <t>Creo</t>
  </si>
  <si>
    <t>ikke prækvalificeret</t>
  </si>
  <si>
    <t>T25361</t>
  </si>
  <si>
    <t>Klevehusene</t>
  </si>
  <si>
    <t>T25362</t>
  </si>
  <si>
    <t>NEXT - Copenhagen Fur</t>
  </si>
  <si>
    <t>NEXT</t>
  </si>
  <si>
    <t>Tidsplan: Ukendt
Tidlig hold med PLH</t>
  </si>
  <si>
    <t>T25363</t>
  </si>
  <si>
    <t>Plejecenter, Anebjerg, Stilling</t>
  </si>
  <si>
    <t>T25364</t>
  </si>
  <si>
    <t>T25365</t>
  </si>
  <si>
    <t>Tjæreboeg Skole</t>
  </si>
  <si>
    <t>Renovering og tilbygning</t>
  </si>
  <si>
    <t>T25366</t>
  </si>
  <si>
    <t>Classensgade 27</t>
  </si>
  <si>
    <t>JÆGERSPRIS MALERFIRMA ApS</t>
  </si>
  <si>
    <t>Tidsplan: ?? 
Renovering af facade og etagedæk (KON)</t>
  </si>
  <si>
    <t>T25367</t>
  </si>
  <si>
    <t>Klostergårdsvej 9</t>
  </si>
  <si>
    <t xml:space="preserve">Cosmos Gruppen ApS </t>
  </si>
  <si>
    <t>T25368</t>
  </si>
  <si>
    <t>T25369</t>
  </si>
  <si>
    <t xml:space="preserve">Hospitalshaven Frederiksberg </t>
  </si>
  <si>
    <t>Frederiksberg kommune</t>
  </si>
  <si>
    <t>T25370</t>
  </si>
  <si>
    <t>Borgergade 26, Silkeborg</t>
  </si>
  <si>
    <t>Nybolig</t>
  </si>
  <si>
    <t>Laban arkitekter</t>
  </si>
  <si>
    <t>T25371</t>
  </si>
  <si>
    <t>Borgergade 32, Silkeborg</t>
  </si>
  <si>
    <t>T25372</t>
  </si>
  <si>
    <t>Separatkloak byggemodning Fensmark</t>
  </si>
  <si>
    <t>Envafors - NK Spildevand</t>
  </si>
  <si>
    <t>Envafors Næstved</t>
  </si>
  <si>
    <t>T25373</t>
  </si>
  <si>
    <t>Langelinie 175</t>
  </si>
  <si>
    <t>Tasfo</t>
  </si>
  <si>
    <t>REX BIRK</t>
  </si>
  <si>
    <t>T25374</t>
  </si>
  <si>
    <t>Vejlesøvej - Holte</t>
  </si>
  <si>
    <t>T25375</t>
  </si>
  <si>
    <t>Tolderlundsvej trykledning</t>
  </si>
  <si>
    <t>T25376</t>
  </si>
  <si>
    <t>Det international kvater - etappe 3</t>
  </si>
  <si>
    <t>Ungdomsbo / Esbjerg Kommune</t>
  </si>
  <si>
    <t>anlægsbudget 42,4 mio</t>
  </si>
  <si>
    <t>Iej tildelt PQ</t>
  </si>
  <si>
    <t>T25377</t>
  </si>
  <si>
    <t>Det Grønne Hus - Sagnlandet Lejre</t>
  </si>
  <si>
    <t xml:space="preserve">Sagnlandet Lejre </t>
  </si>
  <si>
    <t>325 m² - anlægsbudget 12 mio</t>
  </si>
  <si>
    <t>T25378</t>
  </si>
  <si>
    <t>Friplejecenter + boliger H.Taastrup</t>
  </si>
  <si>
    <t>Svanen</t>
  </si>
  <si>
    <t xml:space="preserve">friplejecenter og etagebyggeri 50/50 </t>
  </si>
  <si>
    <t>12.000 m²</t>
  </si>
  <si>
    <t>T25379</t>
  </si>
  <si>
    <t>Bredsig Sorring</t>
  </si>
  <si>
    <t>BSF</t>
  </si>
  <si>
    <t>Revner i porebetonvægge</t>
  </si>
  <si>
    <t>T25380</t>
  </si>
  <si>
    <t>7 bygninger Semco</t>
  </si>
  <si>
    <t>Semco</t>
  </si>
  <si>
    <t>10000m2</t>
  </si>
  <si>
    <t>T25381</t>
  </si>
  <si>
    <t>Nordhavn Kontor</t>
  </si>
  <si>
    <t>Tidsplan: Q4 / 2025</t>
  </si>
  <si>
    <t>T25382</t>
  </si>
  <si>
    <t>Rammeaftale Kerteminde Forsyning</t>
  </si>
  <si>
    <t>Kerteminde Forsyning</t>
  </si>
  <si>
    <t>Rammeaftale tildeles flere rådgivere og er dermed ikke eksklusiv</t>
  </si>
  <si>
    <t>T25383</t>
  </si>
  <si>
    <t>Hotel Hesselet etape 2 + 3</t>
  </si>
  <si>
    <t xml:space="preserve">Hotel Hesselet </t>
  </si>
  <si>
    <t>Vi udfører pt. etape 1</t>
  </si>
  <si>
    <t>T25384</t>
  </si>
  <si>
    <t>Specialskole i Kolt - Langagerskolen</t>
  </si>
  <si>
    <t>T25385</t>
  </si>
  <si>
    <t>FEAS - Ombygning til undervisning, Kontor</t>
  </si>
  <si>
    <t xml:space="preserve">Det gamle Kommune Hospital med ombygning af 2 måske 3 bygninger til undervisning og kontor. </t>
  </si>
  <si>
    <t>T25386</t>
  </si>
  <si>
    <t>Petersminde Skolen Vejle</t>
  </si>
  <si>
    <t>Ginnerup arkitekter</t>
  </si>
  <si>
    <t>T25387</t>
  </si>
  <si>
    <t>Mølholm Skole Vejle</t>
  </si>
  <si>
    <t xml:space="preserve">Vallentin &amp; Haugland </t>
  </si>
  <si>
    <t>T25388</t>
  </si>
  <si>
    <t>Rødkærsbrohallen</t>
  </si>
  <si>
    <t>T25389</t>
  </si>
  <si>
    <t>P-kælder Banebyen Odense</t>
  </si>
  <si>
    <t>tilbud uge 45/46</t>
  </si>
  <si>
    <t>T25390</t>
  </si>
  <si>
    <t>Ishøj Kommune - rammeaftale</t>
  </si>
  <si>
    <t xml:space="preserve">Ishøj Kommune </t>
  </si>
  <si>
    <t>Søger ikke</t>
  </si>
  <si>
    <t>T25391</t>
  </si>
  <si>
    <t>Signalregulering ved Dalum Kloster</t>
  </si>
  <si>
    <t>MT Højgaard Danmark A/S</t>
  </si>
  <si>
    <t>Skitseprojektering</t>
  </si>
  <si>
    <t>T25392</t>
  </si>
  <si>
    <t xml:space="preserve">Novonesis Kantine </t>
  </si>
  <si>
    <t xml:space="preserve">Novonesis  </t>
  </si>
  <si>
    <t>T25393</t>
  </si>
  <si>
    <t>Renovering af badeværelser AAB afd. 23</t>
  </si>
  <si>
    <t>T25394</t>
  </si>
  <si>
    <t>SDU Science &amp; Innovation Park Odense (SIPO)</t>
  </si>
  <si>
    <t>SDU + Odense Kommune</t>
  </si>
  <si>
    <t>SDU</t>
  </si>
  <si>
    <t>Forhåndsaftale med PLH</t>
  </si>
  <si>
    <t>T25395</t>
  </si>
  <si>
    <t>Sommerhus område Buen i Tørresø Regnvand</t>
  </si>
  <si>
    <t>JK Byg &amp; Montage ApS</t>
  </si>
  <si>
    <t>Grundejerforening</t>
  </si>
  <si>
    <t>T25396</t>
  </si>
  <si>
    <t>Engskrænten - Idéoplæg</t>
  </si>
  <si>
    <t>ERIK Arkitekter A/S</t>
  </si>
  <si>
    <t>Idéoplæg, skitser</t>
  </si>
  <si>
    <t>7.000 m2</t>
  </si>
  <si>
    <t>T25397</t>
  </si>
  <si>
    <t>BSF Boliger Sorring</t>
  </si>
  <si>
    <t>Hjælp til gennemskue revner</t>
  </si>
  <si>
    <t>T25398</t>
  </si>
  <si>
    <t xml:space="preserve">Augustenborg </t>
  </si>
  <si>
    <t>Effekt</t>
  </si>
  <si>
    <t>Flåk, E+N</t>
  </si>
  <si>
    <t>T25399</t>
  </si>
  <si>
    <t>Rørbassin Slotsgade Nyborg</t>
  </si>
  <si>
    <t>Nyborg Forsyning og Service</t>
  </si>
  <si>
    <t>T25400</t>
  </si>
  <si>
    <t>Teglgården Middelfart</t>
  </si>
  <si>
    <t>T25401</t>
  </si>
  <si>
    <t>DTU Generisk kontorhus</t>
  </si>
  <si>
    <t xml:space="preserve">DTU  </t>
  </si>
  <si>
    <t>T25402</t>
  </si>
  <si>
    <t>JH Smede - Flugtvejstrappe, CPH</t>
  </si>
  <si>
    <t>CPH Lufthavn</t>
  </si>
  <si>
    <t>Stål - KON</t>
  </si>
  <si>
    <t>T25403</t>
  </si>
  <si>
    <t>KB Hallen - Omklædning</t>
  </si>
  <si>
    <t>KB Hallen</t>
  </si>
  <si>
    <t>Henrik Rossen</t>
  </si>
  <si>
    <t>Tilbygning i 2 etager til KB Hallen</t>
  </si>
  <si>
    <t>700m2</t>
  </si>
  <si>
    <t>T25404</t>
  </si>
  <si>
    <t>Afvanding Falck Esbjerg</t>
  </si>
  <si>
    <t>HBD</t>
  </si>
  <si>
    <t>Falck Danmark</t>
  </si>
  <si>
    <t>Søren Albrektslund Robak</t>
  </si>
  <si>
    <t>T25405</t>
  </si>
  <si>
    <t>Rute 9, Nørreballe Omfartsvej</t>
  </si>
  <si>
    <t>T25406</t>
  </si>
  <si>
    <t>Græsbjergvej 15, Vordingborg</t>
  </si>
  <si>
    <t>Morten Andersen</t>
  </si>
  <si>
    <t>KON - vurdering af tilstand</t>
  </si>
  <si>
    <t>T25407</t>
  </si>
  <si>
    <t>KU Rammeaftale - Totalrådgivning</t>
  </si>
  <si>
    <t xml:space="preserve">KU  </t>
  </si>
  <si>
    <t>Rønnow</t>
  </si>
  <si>
    <t>PQ ansøgning sendt 27. august - afventer svar. Hold med Rønnow, Øllgaard og PLH</t>
  </si>
  <si>
    <t>T25408</t>
  </si>
  <si>
    <t>VD H33722 Roust-Årre</t>
  </si>
  <si>
    <t>T25409</t>
  </si>
  <si>
    <t>Studieboliger Dyskuevej</t>
  </si>
  <si>
    <t>ØsterBo</t>
  </si>
  <si>
    <t>CJ Group</t>
  </si>
  <si>
    <t>CJ Group A/S</t>
  </si>
  <si>
    <t>T25410</t>
  </si>
  <si>
    <t>ALBOA – Svaneparken II, Galten</t>
  </si>
  <si>
    <t>ALBOA</t>
  </si>
  <si>
    <t>4000 m2</t>
  </si>
  <si>
    <t>T25411</t>
  </si>
  <si>
    <t>SVS Logistikcenter Bygherrerådgivning</t>
  </si>
  <si>
    <t>2600 m2</t>
  </si>
  <si>
    <t>T25412</t>
  </si>
  <si>
    <t>Rammeaftale Boligselskabet Sjælland</t>
  </si>
  <si>
    <t>Boligselskabet Sjælland</t>
  </si>
  <si>
    <t>ERIK Arkitekter</t>
  </si>
  <si>
    <t>Rammeaftale for totalentrepriser vedr. opførelse af plejecentre</t>
  </si>
  <si>
    <t>Rammeaftale 24 mdr</t>
  </si>
  <si>
    <t>Vi skal finde en TE</t>
  </si>
  <si>
    <t>T25413</t>
  </si>
  <si>
    <t>Store Andst Efterskole</t>
  </si>
  <si>
    <t>T25414</t>
  </si>
  <si>
    <t>T25415</t>
  </si>
  <si>
    <t>Engnum Sognehus</t>
  </si>
  <si>
    <t>Hellum Arkitekter</t>
  </si>
  <si>
    <t>T25416</t>
  </si>
  <si>
    <t>Transformation af Dagnæshallen</t>
  </si>
  <si>
    <t>Ginnerrup Arkitekter</t>
  </si>
  <si>
    <t>T25417</t>
  </si>
  <si>
    <t xml:space="preserve">TDP Generisk IV </t>
  </si>
  <si>
    <t>ADP</t>
  </si>
  <si>
    <t>T25418</t>
  </si>
  <si>
    <t>Solceller Esbjerg Kommune</t>
  </si>
  <si>
    <t>T25419</t>
  </si>
  <si>
    <t xml:space="preserve">Sub C </t>
  </si>
  <si>
    <t>Sub C Partner</t>
  </si>
  <si>
    <t>T25420</t>
  </si>
  <si>
    <t>Skovlunde Skole afd. Lundebjerg 1. etape</t>
  </si>
  <si>
    <t>T25421</t>
  </si>
  <si>
    <t>Frøgård Allé - udvidelse af botilbud</t>
  </si>
  <si>
    <t>Høje-Taastrup Kommune</t>
  </si>
  <si>
    <t>T25422</t>
  </si>
  <si>
    <t>BHR til udbygning af Hundested Plejecenter</t>
  </si>
  <si>
    <t>Halsnæs Kommune</t>
  </si>
  <si>
    <t>Udbygning med 14 plejeboliger</t>
  </si>
  <si>
    <t>T25423</t>
  </si>
  <si>
    <t>Kulturhus Køge</t>
  </si>
  <si>
    <t>PHA rykke MIE / CUBO</t>
  </si>
  <si>
    <t>T25424</t>
  </si>
  <si>
    <t>Rammeaftale Mindre Anlæg 2026</t>
  </si>
  <si>
    <t>Ditte Bøgh Asaa</t>
  </si>
  <si>
    <t>T25425</t>
  </si>
  <si>
    <t>Grindsted Retail</t>
  </si>
  <si>
    <t>T25426</t>
  </si>
  <si>
    <t xml:space="preserve">Gårdhave Rådmandshave </t>
  </si>
  <si>
    <t xml:space="preserve">Schønherr </t>
  </si>
  <si>
    <t>T25427</t>
  </si>
  <si>
    <t>Kirsebærhavens Skole</t>
  </si>
  <si>
    <t>T25428</t>
  </si>
  <si>
    <t>Øjenklinik - Amager Strandvej</t>
  </si>
  <si>
    <t>Vision</t>
  </si>
  <si>
    <t>T25429</t>
  </si>
  <si>
    <t>Egegårdsparken</t>
  </si>
  <si>
    <t>07.08.2026: Står stille pt og afventer BH yderligere undersøgelser og budget</t>
  </si>
  <si>
    <t>T25430</t>
  </si>
  <si>
    <t>Park - APMH</t>
  </si>
  <si>
    <t>APMF</t>
  </si>
  <si>
    <t>T25431</t>
  </si>
  <si>
    <t>FujiFilm omklædning</t>
  </si>
  <si>
    <t>FujiFilm</t>
  </si>
  <si>
    <t>100m²</t>
  </si>
  <si>
    <t>T25432</t>
  </si>
  <si>
    <t>LSC - Facadeprojekt</t>
  </si>
  <si>
    <t>DSC</t>
  </si>
  <si>
    <t>Facadeprojekt på Lyngby Storcenter</t>
  </si>
  <si>
    <t>T25433</t>
  </si>
  <si>
    <t>EU-udbud på teknisk rådgivning til FFV</t>
  </si>
  <si>
    <t xml:space="preserve">FFV </t>
  </si>
  <si>
    <t>Tilbud afgives ikke. Urealistisk tidsplan</t>
  </si>
  <si>
    <t>T25434</t>
  </si>
  <si>
    <t>55 Boliger Nr Aaby - Byggemodning</t>
  </si>
  <si>
    <t xml:space="preserve">Amstrup &amp; Baggesen </t>
  </si>
  <si>
    <t>T25435</t>
  </si>
  <si>
    <t>Det Nye Forum</t>
  </si>
  <si>
    <t>Amber Group</t>
  </si>
  <si>
    <t>Arkitema</t>
  </si>
  <si>
    <t>T25436</t>
  </si>
  <si>
    <t>Separatkloakering i Esbjerg Kommune</t>
  </si>
  <si>
    <t>T25437</t>
  </si>
  <si>
    <t>Filing Garage</t>
  </si>
  <si>
    <t>Topsoe A/S</t>
  </si>
  <si>
    <t>T25438</t>
  </si>
  <si>
    <t>Gennemgang af TV-inspektioner</t>
  </si>
  <si>
    <t>JHB</t>
  </si>
  <si>
    <t xml:space="preserve">Henrik Christoffersen </t>
  </si>
  <si>
    <t>T25439</t>
  </si>
  <si>
    <t>Botilbuddet Holme</t>
  </si>
  <si>
    <t>Rex Birk arkitekter</t>
  </si>
  <si>
    <t>100 børn</t>
  </si>
  <si>
    <t>T25440</t>
  </si>
  <si>
    <t>Ny administration for Bryggergården Plejehjem i Otterup</t>
  </si>
  <si>
    <t>T25441</t>
  </si>
  <si>
    <t>SDU rammeaftale bygherrerådgivning</t>
  </si>
  <si>
    <t>afventer udbud</t>
  </si>
  <si>
    <t>T25442</t>
  </si>
  <si>
    <t>Bygherrerådgivning - Ishøj</t>
  </si>
  <si>
    <t>T25443</t>
  </si>
  <si>
    <t>Lundbeck kontorrenovering i Valby, bygning D</t>
  </si>
  <si>
    <t>Lundbeck</t>
  </si>
  <si>
    <t>Renovering 1.sal bygning D</t>
  </si>
  <si>
    <t>T25444</t>
  </si>
  <si>
    <t xml:space="preserve">Køge Bugt Strandpark - konkurrence </t>
  </si>
  <si>
    <t xml:space="preserve">Flere kommune </t>
  </si>
  <si>
    <t xml:space="preserve">Flere kommuner </t>
  </si>
  <si>
    <t xml:space="preserve">Indledes med konkurrence - donation 210 mio kr. </t>
  </si>
  <si>
    <t>Aaen, Amphi Consult, Volcano</t>
  </si>
  <si>
    <t>T25445</t>
  </si>
  <si>
    <t>Ny ridehal og hestestald Sdr. Hygum</t>
  </si>
  <si>
    <t>Sdr. Hygum Rideklub</t>
  </si>
  <si>
    <t>VAAG arkitekter</t>
  </si>
  <si>
    <t>Projektering t.o.m. myndighedsprojekt</t>
  </si>
  <si>
    <t>T25446</t>
  </si>
  <si>
    <t>Ny daginstitution Tinglev</t>
  </si>
  <si>
    <t>T25447</t>
  </si>
  <si>
    <t>Viby Børnehave</t>
  </si>
  <si>
    <t>T25448</t>
  </si>
  <si>
    <t>Bella kvarteret Børnehus</t>
  </si>
  <si>
    <t>T25449</t>
  </si>
  <si>
    <t>Tilbygning Netto Haderslev</t>
  </si>
  <si>
    <t>T25450</t>
  </si>
  <si>
    <t>Bådhavnsgade - Helhedsplan</t>
  </si>
  <si>
    <t>T25451</t>
  </si>
  <si>
    <t>Nordic Bio laboratorie</t>
  </si>
  <si>
    <t>Afventer bygherren</t>
  </si>
  <si>
    <t>T25452</t>
  </si>
  <si>
    <t>Nykredit Holbæk - større lejemål</t>
  </si>
  <si>
    <t>T25453</t>
  </si>
  <si>
    <t>Nykredit Høje Taastrup</t>
  </si>
  <si>
    <t>T25454</t>
  </si>
  <si>
    <t>Klimakammer SDU</t>
  </si>
  <si>
    <t>Opføres af BYGST</t>
  </si>
  <si>
    <t xml:space="preserve">112 m² </t>
  </si>
  <si>
    <t>T25455</t>
  </si>
  <si>
    <t>VCS Omlægning af ledninger ved E20</t>
  </si>
  <si>
    <t>Katrine Wikkelsø Knudsen</t>
  </si>
  <si>
    <t>Honorar gæt inden gennemlæsning af udbud</t>
  </si>
  <si>
    <t>T25456</t>
  </si>
  <si>
    <t>Ny Skole i Rebild</t>
  </si>
  <si>
    <t>Dorte Hovaldt, Adept, Schønherr</t>
  </si>
  <si>
    <t>Gade og Mortensen</t>
  </si>
  <si>
    <t>Skole i Støvring</t>
  </si>
  <si>
    <t>T25457</t>
  </si>
  <si>
    <t>Fåborggade 7B</t>
  </si>
  <si>
    <t>Emil Neckelmann, tlf. 23747359</t>
  </si>
  <si>
    <t>T25458</t>
  </si>
  <si>
    <t>Hafnia Hallen - Valby Idrætspark</t>
  </si>
  <si>
    <t>T25459</t>
  </si>
  <si>
    <t>Regionshospital Horsens - Ny dialyse</t>
  </si>
  <si>
    <t>T25460</t>
  </si>
  <si>
    <t>Gudenåboligerne, Randers</t>
  </si>
  <si>
    <t>NRE</t>
  </si>
  <si>
    <t>T25461</t>
  </si>
  <si>
    <t xml:space="preserve">Skovparken - Stirenovering </t>
  </si>
  <si>
    <t>Grundejerforening - Skovparken</t>
  </si>
  <si>
    <t>T25462</t>
  </si>
  <si>
    <t xml:space="preserve">BESS Balling </t>
  </si>
  <si>
    <t>DIS CREADIS</t>
  </si>
  <si>
    <t>T25463</t>
  </si>
  <si>
    <t>Hotel Norden Haderslev</t>
  </si>
  <si>
    <t>Tekt</t>
  </si>
  <si>
    <t>T25464</t>
  </si>
  <si>
    <t>CONRUM</t>
  </si>
  <si>
    <t>T25465</t>
  </si>
  <si>
    <t xml:space="preserve">Herning Fremad </t>
  </si>
  <si>
    <t xml:space="preserve">Bundgaard Byg </t>
  </si>
  <si>
    <t>T25466</t>
  </si>
  <si>
    <t>PLACEHOLDER</t>
  </si>
  <si>
    <t>MKJ</t>
  </si>
  <si>
    <t>T25467</t>
  </si>
  <si>
    <t>Origo Velkomstbygning DTU</t>
  </si>
  <si>
    <t>DTU</t>
  </si>
  <si>
    <t>Udbud ude nu</t>
  </si>
  <si>
    <t>T25468</t>
  </si>
  <si>
    <t>Kappa 10, Søften - Datacenter</t>
  </si>
  <si>
    <t>T25469</t>
  </si>
  <si>
    <t>SAU Tørring - Autismecenter</t>
  </si>
  <si>
    <t>T25470</t>
  </si>
  <si>
    <t>Nykredit Tårnby</t>
  </si>
  <si>
    <t>T25471</t>
  </si>
  <si>
    <t>Parkmuseerne København</t>
  </si>
  <si>
    <t>T25472</t>
  </si>
  <si>
    <t>Blåvandshug, parkering og toiletbygning</t>
  </si>
  <si>
    <t>T25473</t>
  </si>
  <si>
    <t>NRGI - træhus</t>
  </si>
  <si>
    <t>NRGI</t>
  </si>
  <si>
    <t>NCC</t>
  </si>
  <si>
    <t>Indbudt licitation</t>
  </si>
  <si>
    <t>Kuben - Bygherrerådgiver</t>
  </si>
  <si>
    <t>T25474</t>
  </si>
  <si>
    <t>Hadsten Plejecenter</t>
  </si>
  <si>
    <t>T25475</t>
  </si>
  <si>
    <t>Fabriksparken</t>
  </si>
  <si>
    <t>T25476</t>
  </si>
  <si>
    <t>dobbelt</t>
  </si>
  <si>
    <t>T26001</t>
  </si>
  <si>
    <t>T26002</t>
  </si>
  <si>
    <t>ALBOA Rammeaftaleudbud</t>
  </si>
  <si>
    <t>T26003</t>
  </si>
  <si>
    <t>Oksen Etape 4</t>
  </si>
  <si>
    <t>40 lejligheder</t>
  </si>
  <si>
    <t>T26004</t>
  </si>
  <si>
    <t>Fænøsund Friskole Tagrenovering</t>
  </si>
  <si>
    <t>Fænøsund Friskole</t>
  </si>
  <si>
    <t xml:space="preserve">Takkede nej </t>
  </si>
  <si>
    <t>T26005</t>
  </si>
  <si>
    <t>C&amp;D Foods Esbjerg</t>
  </si>
  <si>
    <t>T26006</t>
  </si>
  <si>
    <t>Dan-Foam Assens</t>
  </si>
  <si>
    <t xml:space="preserve">Dan-Foam </t>
  </si>
  <si>
    <t>Dan-Foam</t>
  </si>
  <si>
    <t>Tidligt stadie</t>
  </si>
  <si>
    <t>T26007</t>
  </si>
  <si>
    <t>Opførelse af butikker mv. Assens</t>
  </si>
  <si>
    <t>Hanssen Stagnum A/S</t>
  </si>
  <si>
    <t>T26008</t>
  </si>
  <si>
    <t>Ekstra multihaller Oure efterskole</t>
  </si>
  <si>
    <t>Oure</t>
  </si>
  <si>
    <t>i proces</t>
  </si>
  <si>
    <t>Forventeligt TE-udbud</t>
  </si>
  <si>
    <t>6.000 m²</t>
  </si>
  <si>
    <t>GRAA arkitekter</t>
  </si>
  <si>
    <t>T26009</t>
  </si>
  <si>
    <t>Svingbane på Vandværksvej ved Toften.</t>
  </si>
  <si>
    <t>T26010</t>
  </si>
  <si>
    <t>Bihuset Villestofte - Autismecenter</t>
  </si>
  <si>
    <t>Indledende rådgivning</t>
  </si>
  <si>
    <t>T26011</t>
  </si>
  <si>
    <t>Nyt Museum Vedbæk</t>
  </si>
  <si>
    <t>PHA rykke Thang / Mandrup</t>
  </si>
  <si>
    <t>Dorte Mandrup Arkitekter</t>
  </si>
  <si>
    <t>T26012</t>
  </si>
  <si>
    <t>Rybners - Pavilloner til undervisning</t>
  </si>
  <si>
    <t xml:space="preserve">Rybners  </t>
  </si>
  <si>
    <t>Rybners</t>
  </si>
  <si>
    <t>T26013</t>
  </si>
  <si>
    <t>VK_Hærvejen 218 Give</t>
  </si>
  <si>
    <t>T26014</t>
  </si>
  <si>
    <t>VK_Robertshus Egtved</t>
  </si>
  <si>
    <t>T26015</t>
  </si>
  <si>
    <t>Torsted Klubhus</t>
  </si>
  <si>
    <t>T26016</t>
  </si>
  <si>
    <t>Hyldager Daginstitution</t>
  </si>
  <si>
    <t>T26017</t>
  </si>
  <si>
    <t>Lillevangskolen afd. Skovvang fase 3 og 4</t>
  </si>
  <si>
    <t>T26018</t>
  </si>
  <si>
    <t>Ringe Syd - Boltingegårdvej</t>
  </si>
  <si>
    <t>Faaborg-Midtfyn Kommune</t>
  </si>
  <si>
    <t>T26019</t>
  </si>
  <si>
    <t>Teater «Filmtorvet» i Holbæk</t>
  </si>
  <si>
    <t>PHA rykke NORA / Reiulf Ramstad</t>
  </si>
  <si>
    <t>RRA</t>
  </si>
  <si>
    <t>T26020</t>
  </si>
  <si>
    <t xml:space="preserve">Limtræsrammer - bofællesskabet Bakkebyen  </t>
  </si>
  <si>
    <t xml:space="preserve">Lille Grundet Byg 1 ApS </t>
  </si>
  <si>
    <t>Lilleheden A/S</t>
  </si>
  <si>
    <t>Nordic Office of Architecture</t>
  </si>
  <si>
    <t>T26021</t>
  </si>
  <si>
    <t>Billund Skolen</t>
  </si>
  <si>
    <t>T26022</t>
  </si>
  <si>
    <t>Lemberggade - Vægnedrivning</t>
  </si>
  <si>
    <t>Simone Løkke</t>
  </si>
  <si>
    <t>Simone Løkken</t>
  </si>
  <si>
    <t>T26023</t>
  </si>
  <si>
    <t>Brandstation, Sydhavnskvarteret Aarhus</t>
  </si>
  <si>
    <t>Gråkær</t>
  </si>
  <si>
    <t>T26024</t>
  </si>
  <si>
    <t>Engs Holm Højskole</t>
  </si>
  <si>
    <t>Graa arkitekter</t>
  </si>
  <si>
    <t>Anlægsbudget 60.000.000</t>
  </si>
  <si>
    <t>T26025</t>
  </si>
  <si>
    <t>Viby efterskole v. Middelfart</t>
  </si>
  <si>
    <t>Anlægsbudget 28.000.000</t>
  </si>
  <si>
    <t>T26026</t>
  </si>
  <si>
    <t>Arena X Herning Sportsefterskole</t>
  </si>
  <si>
    <t>Anlægsbudget 12.000.000</t>
  </si>
  <si>
    <t>T26027</t>
  </si>
  <si>
    <t>Baeshøjgårdvej 6</t>
  </si>
  <si>
    <t xml:space="preserve">PHA rykke KHR  </t>
  </si>
  <si>
    <t>T26028</t>
  </si>
  <si>
    <t>AAB - Afd. 65 Æblelunden</t>
  </si>
  <si>
    <t>AAB, Aarhus</t>
  </si>
  <si>
    <t>Anlægsbudget 2.200.000</t>
  </si>
  <si>
    <t>T26029</t>
  </si>
  <si>
    <t>Svendborg Dagrenovation</t>
  </si>
  <si>
    <t>Svendborg Affald</t>
  </si>
  <si>
    <t>TC-anlæg</t>
  </si>
  <si>
    <t>500 m² + udeareal garage og vaskehal</t>
  </si>
  <si>
    <t>T26030</t>
  </si>
  <si>
    <t xml:space="preserve">Børnehuset Skovvænget </t>
  </si>
  <si>
    <t>T26031</t>
  </si>
  <si>
    <t>Daginstitutionen Æblegården</t>
  </si>
  <si>
    <t>T26032</t>
  </si>
  <si>
    <t>Teknisk bygherrerådgivning - Project Blue Village</t>
  </si>
  <si>
    <t>RUBIK Properties</t>
  </si>
  <si>
    <t>12.152 m2</t>
  </si>
  <si>
    <t>T26033</t>
  </si>
  <si>
    <t>Tarup Børnehus</t>
  </si>
  <si>
    <t>JJW + GRAA</t>
  </si>
  <si>
    <t>70 børn</t>
  </si>
  <si>
    <t>T26034</t>
  </si>
  <si>
    <t>Separatkloakering Lumby</t>
  </si>
  <si>
    <t>Fravalgt at gå med på PQ</t>
  </si>
  <si>
    <t>T26035</t>
  </si>
  <si>
    <t>Bygherrerådgivning Ishøj Rammeaftale</t>
  </si>
  <si>
    <t>ISHØJ Kommune</t>
  </si>
  <si>
    <t xml:space="preserve">PQ </t>
  </si>
  <si>
    <t>T26036</t>
  </si>
  <si>
    <t>Byggefelt 6.6 Nordhavn_Erhverv</t>
  </si>
  <si>
    <t>5E</t>
  </si>
  <si>
    <t>vedr. P-hus se sag nr. 266400</t>
  </si>
  <si>
    <t>7894 m² kontorhus</t>
  </si>
  <si>
    <t>T26037</t>
  </si>
  <si>
    <t>Ungdomsboliger Frederiksberg</t>
  </si>
  <si>
    <t>COPI</t>
  </si>
  <si>
    <t>Ombygning til ungdomsboliger</t>
  </si>
  <si>
    <t>7000 m²</t>
  </si>
  <si>
    <t>T26038</t>
  </si>
  <si>
    <t>Føtex Silkeborg</t>
  </si>
  <si>
    <t>Salling Group</t>
  </si>
  <si>
    <t>T26039</t>
  </si>
  <si>
    <t>Generisk IV - TDP Prinssesens Kvarter</t>
  </si>
  <si>
    <t>TDP</t>
  </si>
  <si>
    <t>Vi spørger NS og 5E</t>
  </si>
  <si>
    <t>CF Møller eller ingen</t>
  </si>
  <si>
    <t>T26040</t>
  </si>
  <si>
    <t>T26041</t>
  </si>
  <si>
    <t>Svanemølleholm Øst daginstitution</t>
  </si>
  <si>
    <t>Elindco</t>
  </si>
  <si>
    <t>T26042</t>
  </si>
  <si>
    <t>Bankdata</t>
  </si>
  <si>
    <t xml:space="preserve">TE -Nordstern </t>
  </si>
  <si>
    <t>T26043</t>
  </si>
  <si>
    <t>Daginstitution Strib</t>
  </si>
  <si>
    <t>T26044</t>
  </si>
  <si>
    <t>Rigets Skatkammer Rosenborg</t>
  </si>
  <si>
    <t>Kongehuset</t>
  </si>
  <si>
    <t>Henning Larsen</t>
  </si>
  <si>
    <t>PHA rykke KHR / VITA</t>
  </si>
  <si>
    <t>T26045</t>
  </si>
  <si>
    <t>T26046</t>
  </si>
  <si>
    <t>Lundbeck Bygning N (”Agora”) - Valby</t>
  </si>
  <si>
    <t>T26047</t>
  </si>
  <si>
    <t>Nærheden Daginstitution</t>
  </si>
  <si>
    <t>T26048</t>
  </si>
  <si>
    <t>Priorparken 400</t>
  </si>
  <si>
    <t>CBRE</t>
  </si>
  <si>
    <t>KON opgave</t>
  </si>
  <si>
    <t>T26049</t>
  </si>
  <si>
    <t>Force4</t>
  </si>
  <si>
    <t>PHA rykke Maria / Force4</t>
  </si>
  <si>
    <t>T26050</t>
  </si>
  <si>
    <t>Boligprojekt Lund</t>
  </si>
  <si>
    <t>Nørdal</t>
  </si>
  <si>
    <t>T26051</t>
  </si>
  <si>
    <t>Ombygning PLP ejendomme</t>
  </si>
  <si>
    <t>P. Lindegaard Poulsen</t>
  </si>
  <si>
    <t>ombygningsprojekter m. PLH</t>
  </si>
  <si>
    <t>T26052</t>
  </si>
  <si>
    <t>Arenaskolen - renovering</t>
  </si>
  <si>
    <t>T26053</t>
  </si>
  <si>
    <t>Vallekilde Højskole - spisesal</t>
  </si>
  <si>
    <t>Vallekilde Højskole</t>
  </si>
  <si>
    <t>PHA rykke Søren / AART</t>
  </si>
  <si>
    <t>T26054</t>
  </si>
  <si>
    <t>Grundtvighus - nyt hotel</t>
  </si>
  <si>
    <t>Grundtvighus</t>
  </si>
  <si>
    <t xml:space="preserve">Nyt hotel </t>
  </si>
  <si>
    <t>T26055</t>
  </si>
  <si>
    <t>Trælastholmen, Nordhavnen</t>
  </si>
  <si>
    <t>T26056</t>
  </si>
  <si>
    <t>Nykredit Hillerød</t>
  </si>
  <si>
    <t>KON</t>
  </si>
  <si>
    <t>T26057</t>
  </si>
  <si>
    <t>Næstved Arena</t>
  </si>
  <si>
    <t>T26058</t>
  </si>
  <si>
    <t>Ferrosan</t>
  </si>
  <si>
    <t>KON - Screening af pris</t>
  </si>
  <si>
    <t>T26059</t>
  </si>
  <si>
    <t>AMC Revner i gulv</t>
  </si>
  <si>
    <t>Amager Centeret</t>
  </si>
  <si>
    <t>Wava</t>
  </si>
  <si>
    <t>T26060</t>
  </si>
  <si>
    <t>Rødovrehallen - tilbygning</t>
  </si>
  <si>
    <t>T26061</t>
  </si>
  <si>
    <t>Lærkeskolen - renovering</t>
  </si>
  <si>
    <t>T26062</t>
  </si>
  <si>
    <t>Vognsbølhaverne - Etape 4</t>
  </si>
  <si>
    <t>Claus Sørensen Gruppen</t>
  </si>
  <si>
    <t>T26063</t>
  </si>
  <si>
    <t>Sundhedshus - Ballerup</t>
  </si>
  <si>
    <t>PHA rykke Gert / ERIK</t>
  </si>
  <si>
    <t>T26064</t>
  </si>
  <si>
    <t>Københavns Ejendomme Rammeaftale</t>
  </si>
  <si>
    <t>Afventer svar medio august / 2026. Føreløbigt afslag på delaftale C. SBN tjekker</t>
  </si>
  <si>
    <t>T26065</t>
  </si>
  <si>
    <t>Forum Faaborg, indskudt etage</t>
  </si>
  <si>
    <t>Idrætshal</t>
  </si>
  <si>
    <t>T26066</t>
  </si>
  <si>
    <t>Akseltorv og Nicolaiplads</t>
  </si>
  <si>
    <t>TJA</t>
  </si>
  <si>
    <t>T26067</t>
  </si>
  <si>
    <t>Saxild Skole</t>
  </si>
  <si>
    <t xml:space="preserve">Rum arkitekter </t>
  </si>
  <si>
    <t>Bygherrerådgivning under RUM</t>
  </si>
  <si>
    <t>T26068</t>
  </si>
  <si>
    <t>Fensmarkskolen</t>
  </si>
  <si>
    <t>PHA rykker Syreen / JJW 7/8 2026</t>
  </si>
  <si>
    <t>T26069</t>
  </si>
  <si>
    <t>Uvedkommende vand i Kærby</t>
  </si>
  <si>
    <t>Kalundborg Forsyning</t>
  </si>
  <si>
    <t>Skønnet honorar</t>
  </si>
  <si>
    <t>T26070</t>
  </si>
  <si>
    <t>Børnehuset Parcelvej</t>
  </si>
  <si>
    <t>Lyngby-Taarbæk</t>
  </si>
  <si>
    <t>T26071</t>
  </si>
  <si>
    <t>Afvanding og adhoc opgaver Nyt OUH</t>
  </si>
  <si>
    <t>Henrik Palm</t>
  </si>
  <si>
    <t>Honorar og udførelsesperiode hurtigt skøn</t>
  </si>
  <si>
    <t>T26072</t>
  </si>
  <si>
    <t>Odense Nye veje øst. Projektering</t>
  </si>
  <si>
    <t>T26073</t>
  </si>
  <si>
    <t>Bolværksrenovering ved Vedolkaj og Margretheholm</t>
  </si>
  <si>
    <t>T26074</t>
  </si>
  <si>
    <t>Naturbydelen Frederikshøj, Svenstrup</t>
  </si>
  <si>
    <t>T26075</t>
  </si>
  <si>
    <t>Renovering af kloak Skt. Jørgens Gade</t>
  </si>
  <si>
    <t>Patrick Andersen</t>
  </si>
  <si>
    <t>T26076</t>
  </si>
  <si>
    <t>Nyt Børnehus Bellinge</t>
  </si>
  <si>
    <t>Odense kommune - Velfærds fund.</t>
  </si>
  <si>
    <t>Aftale med JJW + GRAAA</t>
  </si>
  <si>
    <t>1200 m²</t>
  </si>
  <si>
    <t>udgået</t>
  </si>
  <si>
    <t>T26077</t>
  </si>
  <si>
    <t>Nyt Børnehus Skt. Klemens</t>
  </si>
  <si>
    <t>T26078</t>
  </si>
  <si>
    <t>Bosted Aarup</t>
  </si>
  <si>
    <t>Bernardshus + AP møller fonden</t>
  </si>
  <si>
    <t>T26079</t>
  </si>
  <si>
    <t>SEMCO - Telecom</t>
  </si>
  <si>
    <t>Semco Maritime</t>
  </si>
  <si>
    <t>T26080</t>
  </si>
  <si>
    <t>NN HI 24A Tørkøler på tag</t>
  </si>
  <si>
    <t>KON projekt ifm. SHV</t>
  </si>
  <si>
    <t>T26081</t>
  </si>
  <si>
    <t>Sim Skole</t>
  </si>
  <si>
    <t>T26082</t>
  </si>
  <si>
    <t>NREP - Project Monitoring 3x sager</t>
  </si>
  <si>
    <t>Project monitoring og 1x BH Tilsyn/mdr</t>
  </si>
  <si>
    <t>T26083</t>
  </si>
  <si>
    <t>Dagnæsskolen Musik og bevægelse</t>
  </si>
  <si>
    <t>Skal udbydes af HE</t>
  </si>
  <si>
    <t>T26084</t>
  </si>
  <si>
    <t>Ribe Fritidscenter - hal 4</t>
  </si>
  <si>
    <t>Ribe fritidscenter</t>
  </si>
  <si>
    <t>Direktør Claus Pedersen 29228051</t>
  </si>
  <si>
    <t>ja - bestyrelsesmedlem André</t>
  </si>
  <si>
    <t>T26085</t>
  </si>
  <si>
    <t>Ribe hytteby</t>
  </si>
  <si>
    <t>Luis Lund m.fl.</t>
  </si>
  <si>
    <t>CM Byg er medinvestor</t>
  </si>
  <si>
    <t>ja - Luis Lund og Jesper CM Byg</t>
  </si>
  <si>
    <t>T26086</t>
  </si>
  <si>
    <t>Sp. Møllevej 100</t>
  </si>
  <si>
    <t>Claus Sørensen Ejendomme</t>
  </si>
  <si>
    <t>Ombygning og renovering</t>
  </si>
  <si>
    <t>5000 M2</t>
  </si>
  <si>
    <t>Jacob Plet</t>
  </si>
  <si>
    <t>T26087</t>
  </si>
  <si>
    <t>Plejeboliger, Nørrestrand, Horsens</t>
  </si>
  <si>
    <t>HP Byg</t>
  </si>
  <si>
    <t xml:space="preserve">Erik Arkitekter </t>
  </si>
  <si>
    <t>T26088</t>
  </si>
  <si>
    <t>Vestergårdsmarken, Hornsyld</t>
  </si>
  <si>
    <t>Spørg MP</t>
  </si>
  <si>
    <t>MP har fået henvendelse fra Skala d. 16.02.</t>
  </si>
  <si>
    <t>T26089</t>
  </si>
  <si>
    <t>Specialskole i Elev</t>
  </si>
  <si>
    <t>Ombygning for 23 mio kr</t>
  </si>
  <si>
    <t>T26090</t>
  </si>
  <si>
    <t>Heimstaden - Undersøgelse af varmeanlæg</t>
  </si>
  <si>
    <t>Undersøgelse af 2 ejendomme</t>
  </si>
  <si>
    <t>T26091</t>
  </si>
  <si>
    <t>Kloakseparering Oksbøl</t>
  </si>
  <si>
    <t>Varde kommune</t>
  </si>
  <si>
    <t xml:space="preserve">13 enheder </t>
  </si>
  <si>
    <t>T26092</t>
  </si>
  <si>
    <t>Strandvej - omlæggelse af overløbsledning</t>
  </si>
  <si>
    <t>Lyngby-Taarbæk Forsyning</t>
  </si>
  <si>
    <t>T26093</t>
  </si>
  <si>
    <t>5 boliger Nansensvej Horsens</t>
  </si>
  <si>
    <t>MP Ejendomme</t>
  </si>
  <si>
    <t>Michael Pedersen</t>
  </si>
  <si>
    <t>T26094</t>
  </si>
  <si>
    <t>Skolen ved havet i Hundested</t>
  </si>
  <si>
    <t>Skolen ved havet</t>
  </si>
  <si>
    <t>Bundgaard Byg</t>
  </si>
  <si>
    <t>T26095</t>
  </si>
  <si>
    <t>Cykelsti mellem Ejby og Brenderup</t>
  </si>
  <si>
    <t>ca 4 km cykelsti</t>
  </si>
  <si>
    <t>T26096</t>
  </si>
  <si>
    <t>Uglegårdsskolen</t>
  </si>
  <si>
    <t>Solrød Kommune</t>
  </si>
  <si>
    <t>PHA rykket Camilla / RUM 7/8 2026. Camilla svar: Den skulle snart komme ud</t>
  </si>
  <si>
    <t>T26097</t>
  </si>
  <si>
    <t>Mindet 2 - Brandrådgivning</t>
  </si>
  <si>
    <t>T26098</t>
  </si>
  <si>
    <t>Vedligeholdelsesplan - Odder Svømmehal</t>
  </si>
  <si>
    <t>T26099</t>
  </si>
  <si>
    <t>Aars Skole</t>
  </si>
  <si>
    <t>Vesthimmerlands Kommune</t>
  </si>
  <si>
    <t>T26100</t>
  </si>
  <si>
    <t>Virklund, Nyt Børnehus</t>
  </si>
  <si>
    <t>T26101</t>
  </si>
  <si>
    <t>Multihus Husodde</t>
  </si>
  <si>
    <t>MF</t>
  </si>
  <si>
    <t>T26102</t>
  </si>
  <si>
    <t>Børkop Genbrugsplads</t>
  </si>
  <si>
    <t>T26103</t>
  </si>
  <si>
    <t>Nissens Kølefabrik udvidelse</t>
  </si>
  <si>
    <t xml:space="preserve">Nissens Kølefabrik </t>
  </si>
  <si>
    <t>Ginnerrup</t>
  </si>
  <si>
    <t>Højlager</t>
  </si>
  <si>
    <t>T26104</t>
  </si>
  <si>
    <t>Kløverparken Masterplankonkurrence</t>
  </si>
  <si>
    <t>NORD</t>
  </si>
  <si>
    <t>Nord Architects</t>
  </si>
  <si>
    <t>T26105</t>
  </si>
  <si>
    <t>Museum for havet</t>
  </si>
  <si>
    <t>Fravalgt pga. Mærskfonden</t>
  </si>
  <si>
    <t>Cobe &amp; Transform</t>
  </si>
  <si>
    <t>Fravalgt pga. Mærsk Fonden</t>
  </si>
  <si>
    <t>T26106</t>
  </si>
  <si>
    <t>Trindsøvej, Aarhus</t>
  </si>
  <si>
    <t>Ejendomsselskabet Olav de Linde</t>
  </si>
  <si>
    <t>T26107</t>
  </si>
  <si>
    <t>DDH, Næstved</t>
  </si>
  <si>
    <t>T26108</t>
  </si>
  <si>
    <t>Nymindegab Kro - Wellness</t>
  </si>
  <si>
    <t>Nymindegab Kro</t>
  </si>
  <si>
    <t>KON / Brand Indledende analyse</t>
  </si>
  <si>
    <t>T26109</t>
  </si>
  <si>
    <t>Børnehus i Vejen</t>
  </si>
  <si>
    <t>T26110</t>
  </si>
  <si>
    <t>Byggemodning ved Stenløkkevej 43</t>
  </si>
  <si>
    <t>T26111</t>
  </si>
  <si>
    <t>Byggemodning Vissenbjerg</t>
  </si>
  <si>
    <t>Assens kommune</t>
  </si>
  <si>
    <t>T26112</t>
  </si>
  <si>
    <t>Sydvestjysk sygehus - Brand</t>
  </si>
  <si>
    <t>Brandrådgivning ifm. overordnet BSR + DKV-plan</t>
  </si>
  <si>
    <t>T26113</t>
  </si>
  <si>
    <t xml:space="preserve">Møllegade 30 - Garagebygninger </t>
  </si>
  <si>
    <t>OdL</t>
  </si>
  <si>
    <t>T26114</t>
  </si>
  <si>
    <t>Evida - UDB + OPF</t>
  </si>
  <si>
    <t>Fortsættelse af Evida Aalborg</t>
  </si>
  <si>
    <t>T26115</t>
  </si>
  <si>
    <t>Burger King, Ikast</t>
  </si>
  <si>
    <t>VITA</t>
  </si>
  <si>
    <t>T26116</t>
  </si>
  <si>
    <t>Ny Brandstation Skrydstrup</t>
  </si>
  <si>
    <t>Flyvestation Skrydstrup, Terrænkommandoen</t>
  </si>
  <si>
    <t>Stor konkurrence om projektet. Vi lader den gå.</t>
  </si>
  <si>
    <t>T26117</t>
  </si>
  <si>
    <t>Svanemølleværket - Nyt Teknisk Museum</t>
  </si>
  <si>
    <t>Bygnings- og udviklingsfonden</t>
  </si>
  <si>
    <t>ARUP</t>
  </si>
  <si>
    <t>PHA rykker Mikael / ARUP</t>
  </si>
  <si>
    <t>T26118</t>
  </si>
  <si>
    <t>DTU Bygning 327,328 og 348</t>
  </si>
  <si>
    <t>PHA rykker UllaBrit</t>
  </si>
  <si>
    <t>T26119</t>
  </si>
  <si>
    <t>Nykredit Holbæk - Udvidelse af lejemål</t>
  </si>
  <si>
    <t>T26120</t>
  </si>
  <si>
    <t>Volvo Center - Ringsted</t>
  </si>
  <si>
    <t>T26121</t>
  </si>
  <si>
    <t>Slambuffertank, Middelfart</t>
  </si>
  <si>
    <t>Middelfart Spildevand</t>
  </si>
  <si>
    <t>Strib-Middelfart Entreprenør</t>
  </si>
  <si>
    <t>T26122</t>
  </si>
  <si>
    <t xml:space="preserve">Sundby Idrætspark </t>
  </si>
  <si>
    <t xml:space="preserve">LINK Arkitektur </t>
  </si>
  <si>
    <t xml:space="preserve">WE Architecture
Schønherr </t>
  </si>
  <si>
    <t xml:space="preserve">TBU på Anlæg. Honorar er alene for ideoplæg og byggeprogram </t>
  </si>
  <si>
    <t>T26123</t>
  </si>
  <si>
    <t>Modernisering af 7 plejehjem</t>
  </si>
  <si>
    <t>Forhåndsaftale H+</t>
  </si>
  <si>
    <t>T26124</t>
  </si>
  <si>
    <t>Bævervej 12, Højbjerg</t>
  </si>
  <si>
    <t>Mikkel Dissing</t>
  </si>
  <si>
    <t>T26125</t>
  </si>
  <si>
    <t>Hotel Nyborg Strand - analyse "Storebælt"</t>
  </si>
  <si>
    <t>SVOP/HKJ</t>
  </si>
  <si>
    <t xml:space="preserve">Hotel Nyborg Strand </t>
  </si>
  <si>
    <t>Sag nr. 263500</t>
  </si>
  <si>
    <t>analyse af 8200 m²</t>
  </si>
  <si>
    <t>T26126</t>
  </si>
  <si>
    <t>Fodboldens Hus Søholt - Ny omklædningsbygning</t>
  </si>
  <si>
    <t>T26127</t>
  </si>
  <si>
    <t>Svanemølleholmen nyt kontorhus</t>
  </si>
  <si>
    <t>Pension Danmark</t>
  </si>
  <si>
    <t>Danielsen Arcitech</t>
  </si>
  <si>
    <t>T26128</t>
  </si>
  <si>
    <t>Nørre Alle 25 og 27 i Skanderborg</t>
  </si>
  <si>
    <t>PI Invest ApS</t>
  </si>
  <si>
    <t>Lokato</t>
  </si>
  <si>
    <t>T26129</t>
  </si>
  <si>
    <t>Sejlgård Funder - Bygherrerådgivning</t>
  </si>
  <si>
    <t>Bramming Boligforening</t>
  </si>
  <si>
    <t>T26130</t>
  </si>
  <si>
    <t>Almene boliger</t>
  </si>
  <si>
    <t>T26131</t>
  </si>
  <si>
    <t>Lovliggørelse af bump og skiltning</t>
  </si>
  <si>
    <t>Rosengårdscenteret</t>
  </si>
  <si>
    <t>RGC Management</t>
  </si>
  <si>
    <t>T26132</t>
  </si>
  <si>
    <t>Afvanding af plads</t>
  </si>
  <si>
    <t>Munck Gruppen A/S</t>
  </si>
  <si>
    <t>T26133</t>
  </si>
  <si>
    <t>Campus Fountain House</t>
  </si>
  <si>
    <t>T26134</t>
  </si>
  <si>
    <t>Nyt OUH - forsyninger til nyt Kølehus</t>
  </si>
  <si>
    <t xml:space="preserve">Regionen </t>
  </si>
  <si>
    <t>T26135</t>
  </si>
  <si>
    <t>Vedbæk Hotel</t>
  </si>
  <si>
    <t>PHA rykker Mikael / Züblin</t>
  </si>
  <si>
    <t>T26136</t>
  </si>
  <si>
    <t>Pladsafvanding, Toftegårdsvej</t>
  </si>
  <si>
    <t>T26137</t>
  </si>
  <si>
    <t>Ny lade bygning - Bellevuevej 75 i Vejle</t>
  </si>
  <si>
    <t>SSK Ejendomme</t>
  </si>
  <si>
    <t>T26138</t>
  </si>
  <si>
    <t>Vejlbyparken A, Øst_byggeledelse</t>
  </si>
  <si>
    <t>Ejerforeningen er Vejlbyparken A, Øst</t>
  </si>
  <si>
    <t>60 boliger</t>
  </si>
  <si>
    <t>T26139</t>
  </si>
  <si>
    <t>Egebakkeskolen</t>
  </si>
  <si>
    <t xml:space="preserve">Base Erhverv </t>
  </si>
  <si>
    <t>T26140</t>
  </si>
  <si>
    <t>Brummersvej 1A</t>
  </si>
  <si>
    <t>Sygehus</t>
  </si>
  <si>
    <t>T26141</t>
  </si>
  <si>
    <t>Ambulancestationer</t>
  </si>
  <si>
    <t>T26142</t>
  </si>
  <si>
    <t>Selfinvest - Hitachi</t>
  </si>
  <si>
    <t>Kontor+lager</t>
  </si>
  <si>
    <t>T26143</t>
  </si>
  <si>
    <t>Lundager, Vissenbjerg</t>
  </si>
  <si>
    <t>T26144</t>
  </si>
  <si>
    <t>Bygherrerådgivning Nordfyns kommune</t>
  </si>
  <si>
    <t>Forhåndsaftale vedr. helhedsplan for Vesterbo</t>
  </si>
  <si>
    <t>T26145</t>
  </si>
  <si>
    <t>Forsvars samarbejde</t>
  </si>
  <si>
    <t>T26146</t>
  </si>
  <si>
    <t>Engskrænten, ombygning af plejehjem</t>
  </si>
  <si>
    <t>PHA rykker Camilla / ERIK</t>
  </si>
  <si>
    <t>T26147</t>
  </si>
  <si>
    <t>Engskrænten, nybyg 90 boliger</t>
  </si>
  <si>
    <t>T26148</t>
  </si>
  <si>
    <t>Munkebjergskolen</t>
  </si>
  <si>
    <t>Dynamisk indkøbssystem</t>
  </si>
  <si>
    <t>T26149</t>
  </si>
  <si>
    <t>Aarhus Amtssygehus - Kapel og værkstedsbygning</t>
  </si>
  <si>
    <t>Link Arkitektur</t>
  </si>
  <si>
    <t>T26150</t>
  </si>
  <si>
    <t>Rammeaftale Kalundborg</t>
  </si>
  <si>
    <t>Fravalgt at give bud</t>
  </si>
  <si>
    <t>Tilbud ikke afgivet</t>
  </si>
  <si>
    <t>T26151</t>
  </si>
  <si>
    <t>Skovly Birkebo Ældrecenter Silkeborg</t>
  </si>
  <si>
    <t>Skal måske ligge i Bryrup</t>
  </si>
  <si>
    <t>T26152</t>
  </si>
  <si>
    <t>TEST</t>
  </si>
  <si>
    <t>Kontekst</t>
  </si>
  <si>
    <t>T26153</t>
  </si>
  <si>
    <t>DAB Ejendomskontor</t>
  </si>
  <si>
    <t>OKI</t>
  </si>
  <si>
    <t>T26154</t>
  </si>
  <si>
    <t>Den Jyske Opera</t>
  </si>
  <si>
    <t>Ingen</t>
  </si>
  <si>
    <t>T26155</t>
  </si>
  <si>
    <t>Heimstaden - Tagrenovering Amiliegården</t>
  </si>
  <si>
    <t>T26156</t>
  </si>
  <si>
    <t>P-Dæk Børsen 2</t>
  </si>
  <si>
    <t>Børsen2</t>
  </si>
  <si>
    <t>T26157</t>
  </si>
  <si>
    <t>Hertugens Kvarter</t>
  </si>
  <si>
    <t>T26158</t>
  </si>
  <si>
    <t>Kolding Sundheds og omsorgspladser</t>
  </si>
  <si>
    <t>T26159</t>
  </si>
  <si>
    <t>SHORES Springet</t>
  </si>
  <si>
    <t>MHS</t>
  </si>
  <si>
    <t>Langeland Kommune</t>
  </si>
  <si>
    <t>GK Kaysen A/S</t>
  </si>
  <si>
    <t>T26160</t>
  </si>
  <si>
    <t>Plejecenter Anlægget, Favrskov</t>
  </si>
  <si>
    <t>T26161</t>
  </si>
  <si>
    <t>BESS civil partner</t>
  </si>
  <si>
    <t>Tilbud på medgået tid</t>
  </si>
  <si>
    <t>T26162</t>
  </si>
  <si>
    <t>Stenløse Syd kloakseparering</t>
  </si>
  <si>
    <t>T26163</t>
  </si>
  <si>
    <t>Sunds Skole - projektet</t>
  </si>
  <si>
    <t>Herning Kommune</t>
  </si>
  <si>
    <t>Omhandler 4 skoler</t>
  </si>
  <si>
    <t>GRAAA + PLH</t>
  </si>
  <si>
    <t>T26164</t>
  </si>
  <si>
    <t>Svendborg Bibliotek</t>
  </si>
  <si>
    <t xml:space="preserve">Renovering og udvidelse </t>
  </si>
  <si>
    <t>(64 mio.kr.)</t>
  </si>
  <si>
    <t>T26165</t>
  </si>
  <si>
    <t>Det tidligere Simac</t>
  </si>
  <si>
    <t>Boliger og erhverv</t>
  </si>
  <si>
    <t>(65 mio.kr.)</t>
  </si>
  <si>
    <t>T26166</t>
  </si>
  <si>
    <t>40 boliger Hjallese</t>
  </si>
  <si>
    <t xml:space="preserve">Asger Bøhnke </t>
  </si>
  <si>
    <t>Archidea arkitekter</t>
  </si>
  <si>
    <t>40 boliger</t>
  </si>
  <si>
    <t>T26167</t>
  </si>
  <si>
    <t>NEXT Nørrebro Skole</t>
  </si>
  <si>
    <t xml:space="preserve">NEXT  </t>
  </si>
  <si>
    <t>T26168</t>
  </si>
  <si>
    <t>HLU - Fit out</t>
  </si>
  <si>
    <t>RH</t>
  </si>
  <si>
    <t>T26169</t>
  </si>
  <si>
    <t>Badesø i Randers</t>
  </si>
  <si>
    <t>Randers Kommune</t>
  </si>
  <si>
    <t>Transform, Vega Landskab</t>
  </si>
  <si>
    <t>T26170</t>
  </si>
  <si>
    <t>Klimakammer</t>
  </si>
  <si>
    <t>120 m² klimakammer</t>
  </si>
  <si>
    <t>T26171</t>
  </si>
  <si>
    <t xml:space="preserve">Lavantparken </t>
  </si>
  <si>
    <t xml:space="preserve">Konkurrence </t>
  </si>
  <si>
    <t xml:space="preserve">SLA </t>
  </si>
  <si>
    <t>T26172</t>
  </si>
  <si>
    <t>Bryggergården</t>
  </si>
  <si>
    <t>Daginstitution NORD, - bygherrerådgivning</t>
  </si>
  <si>
    <t>Næstved</t>
  </si>
  <si>
    <t>T26173</t>
  </si>
  <si>
    <t>Om- og tilbygning til Daginstitution Rumlepotten</t>
  </si>
  <si>
    <t>Byggesum 26 mio. kr</t>
  </si>
  <si>
    <t>T26174</t>
  </si>
  <si>
    <t>Dyregårdsvej - P-anlæg</t>
  </si>
  <si>
    <t>PKA Ejendomme</t>
  </si>
  <si>
    <t>Cobe</t>
  </si>
  <si>
    <t>T26175</t>
  </si>
  <si>
    <t>Forsvarssamarbejde med Nordstern</t>
  </si>
  <si>
    <t>T26176</t>
  </si>
  <si>
    <t xml:space="preserve">Nyt OUH P-hus 1 (Øst) </t>
  </si>
  <si>
    <t>TC Anlæg</t>
  </si>
  <si>
    <t>T26177</t>
  </si>
  <si>
    <t xml:space="preserve">Nyt OUH P-hus 2 (Vest) </t>
  </si>
  <si>
    <t>T26178</t>
  </si>
  <si>
    <t>Majorparken Tønder</t>
  </si>
  <si>
    <t>Tønder Boligforening</t>
  </si>
  <si>
    <t>Valgt TE som har rammeaftale</t>
  </si>
  <si>
    <t>31 boliger</t>
  </si>
  <si>
    <t>T26179</t>
  </si>
  <si>
    <t>Esbjerg Gods tilbygning</t>
  </si>
  <si>
    <t>Esbjerg Gods</t>
  </si>
  <si>
    <t>T26180</t>
  </si>
  <si>
    <t>Nordsjællands vetrantog</t>
  </si>
  <si>
    <t>Nordsjællands vetrantog - Ebbe dal</t>
  </si>
  <si>
    <t>Bundgaard Byg A/S</t>
  </si>
  <si>
    <t>T26181</t>
  </si>
  <si>
    <t>AAB Varde afd. 2</t>
  </si>
  <si>
    <t xml:space="preserve">AAB Varde </t>
  </si>
  <si>
    <t xml:space="preserve">Erik </t>
  </si>
  <si>
    <t>T26182</t>
  </si>
  <si>
    <t>Grundfos - Ny lagerhal</t>
  </si>
  <si>
    <t>Grundfos</t>
  </si>
  <si>
    <t>Rasmus</t>
  </si>
  <si>
    <t>T26183</t>
  </si>
  <si>
    <t>Stævnen, Struer</t>
  </si>
  <si>
    <t>T26184</t>
  </si>
  <si>
    <t>Levantkaj</t>
  </si>
  <si>
    <t>T26185</t>
  </si>
  <si>
    <t>Tilbygning Kerteminde Forsyning</t>
  </si>
  <si>
    <t>DVM/SVOP</t>
  </si>
  <si>
    <t>Byggesum 14 mio. kr</t>
  </si>
  <si>
    <t>T26186</t>
  </si>
  <si>
    <t>Spildevandshåndtering fra vaskehal</t>
  </si>
  <si>
    <t>NEF Kerteminde</t>
  </si>
  <si>
    <t>T26187</t>
  </si>
  <si>
    <t>Hjerteparken afd. 508 - tilstandsvurdering</t>
  </si>
  <si>
    <t>SAB (Svendborg Almene Bolig)</t>
  </si>
  <si>
    <t>Ombygning/renovering  afd. 508</t>
  </si>
  <si>
    <t>T26188</t>
  </si>
  <si>
    <t>Capellavej 91C, Knebel</t>
  </si>
  <si>
    <t>Trige Tømrer- og Snedkerforretning</t>
  </si>
  <si>
    <t>T26189</t>
  </si>
  <si>
    <t xml:space="preserve">Fem rekreative byrum Ørestad Syd </t>
  </si>
  <si>
    <t>T26190</t>
  </si>
  <si>
    <t>Børnehave (privat)</t>
  </si>
  <si>
    <t>Kertemindeegnens Friskole</t>
  </si>
  <si>
    <t>120 m²</t>
  </si>
  <si>
    <t>T26191</t>
  </si>
  <si>
    <t>SKI-rammeaftale for ark og ing</t>
  </si>
  <si>
    <t>SKI</t>
  </si>
  <si>
    <t>Kommuner og regioner</t>
  </si>
  <si>
    <t>T26192</t>
  </si>
  <si>
    <t>Brabrand IF - Ny hal på Engdalsvej</t>
  </si>
  <si>
    <t>T26193</t>
  </si>
  <si>
    <t>Høje Bøge Stadion - ombygning</t>
  </si>
  <si>
    <t>Runøe &amp; Teil</t>
  </si>
  <si>
    <t>T26194</t>
  </si>
  <si>
    <t>Strandparkskolen</t>
  </si>
  <si>
    <t>T26195</t>
  </si>
  <si>
    <t>AAB Varde afdeling 2</t>
  </si>
  <si>
    <t>AAB Varde</t>
  </si>
  <si>
    <t>T26196</t>
  </si>
  <si>
    <t>Horsens Ting - og Arresthus</t>
  </si>
  <si>
    <t>xxx</t>
  </si>
  <si>
    <t>Carsten Aadahl Madsen</t>
  </si>
  <si>
    <t>Analyse</t>
  </si>
  <si>
    <t>T26197</t>
  </si>
  <si>
    <t>Ordrup Gymnasium</t>
  </si>
  <si>
    <t>Vi er for dyre og nu skal prisen væsentligt ned - afventer møde torsdag med Rønnow</t>
  </si>
  <si>
    <t>T26198</t>
  </si>
  <si>
    <t>Helikopterlandingsplads Nørre Alslev</t>
  </si>
  <si>
    <t>T26199</t>
  </si>
  <si>
    <t>Fælleshus på SES</t>
  </si>
  <si>
    <t xml:space="preserve">Sportsefterskolen Sjælsølund </t>
  </si>
  <si>
    <t>T26200</t>
  </si>
  <si>
    <t>Syntese - Køler på tag</t>
  </si>
  <si>
    <t>T26201</t>
  </si>
  <si>
    <t>Hvalsø Boligselskab afd. 16-3</t>
  </si>
  <si>
    <t>T26202</t>
  </si>
  <si>
    <t>5 byrum Ørestad Syd</t>
  </si>
  <si>
    <t xml:space="preserve">By og Havn </t>
  </si>
  <si>
    <t>T26203</t>
  </si>
  <si>
    <t>Tømmerupvej 56, Kastrup</t>
  </si>
  <si>
    <t>Hayden</t>
  </si>
  <si>
    <t>PHA rykker BH 7/8 2026</t>
  </si>
  <si>
    <t>T26204</t>
  </si>
  <si>
    <t>H60913_Cykelsti_Assensvej-Nørre Aaby</t>
  </si>
  <si>
    <t>T26205</t>
  </si>
  <si>
    <t>DAB Tinghøjen Badeværelsesrenovering</t>
  </si>
  <si>
    <t>51 badeværelser</t>
  </si>
  <si>
    <t>T26206</t>
  </si>
  <si>
    <t>Baltorpvej 20, Baltorp LIVA</t>
  </si>
  <si>
    <t>T26207</t>
  </si>
  <si>
    <t>Besøgscenter Sct. Bendts Kirke</t>
  </si>
  <si>
    <t>Ringsted Sogn</t>
  </si>
  <si>
    <t>Reiulf rykket for status 7/8 2026</t>
  </si>
  <si>
    <t>T26208</t>
  </si>
  <si>
    <t>Kaj Madsen Kolding</t>
  </si>
  <si>
    <t>Frode Laursen A/S</t>
  </si>
  <si>
    <t>T26209</t>
  </si>
  <si>
    <t>Byggemodning Hjelmdrupvej</t>
  </si>
  <si>
    <t>Anton Knudsen</t>
  </si>
  <si>
    <t>Byggemodning af 20-40 grunde</t>
  </si>
  <si>
    <t>T26210</t>
  </si>
  <si>
    <t>KLP - NN E4</t>
  </si>
  <si>
    <t>MST udarbejder ATR 2 - pågår</t>
  </si>
  <si>
    <t>T26211</t>
  </si>
  <si>
    <t>Regionshospitalet Viborg - Udvidelse af parkeringshus P4</t>
  </si>
  <si>
    <t>Kaj Bech</t>
  </si>
  <si>
    <t>T26212</t>
  </si>
  <si>
    <t>FEAS Universitetsbyen AiU - Etape 4 -</t>
  </si>
  <si>
    <t>MP/MWK</t>
  </si>
  <si>
    <t>T26213</t>
  </si>
  <si>
    <t>Byggefelt 6.5 Nordhavnen - Erhverv</t>
  </si>
  <si>
    <t>som BF. 6.7</t>
  </si>
  <si>
    <t>Lundgaard &amp; Tranberg</t>
  </si>
  <si>
    <t>T26214</t>
  </si>
  <si>
    <t>MTR</t>
  </si>
  <si>
    <t>T26215</t>
  </si>
  <si>
    <t>Nordstjernen Botilbud</t>
  </si>
  <si>
    <t>PQ ansøgning er sendt - afventer svar ultimo august 2026</t>
  </si>
  <si>
    <t>T26216</t>
  </si>
  <si>
    <t>Ny børnehave ved Tinglev Skole</t>
  </si>
  <si>
    <t>T26217</t>
  </si>
  <si>
    <t>Ny frikadellefabrik i Sabro</t>
  </si>
  <si>
    <t>T26218</t>
  </si>
  <si>
    <t>Sjælsølund Sportsefterskole Fælleshus</t>
  </si>
  <si>
    <t>Sjælsølund Sportsefterskole</t>
  </si>
  <si>
    <t>T26219</t>
  </si>
  <si>
    <t>Køge Bugt Strandpark</t>
  </si>
  <si>
    <t>PHA+TBU deltager i opstartsmødet onsdag d. 12. august kl. 11. Sidste frist for spørgsmål er 29. september</t>
  </si>
  <si>
    <t>T26220</t>
  </si>
  <si>
    <t>Kromann Reumert 1års gennemgang</t>
  </si>
  <si>
    <t>T26221</t>
  </si>
  <si>
    <t>Danske Diakonhjem - Næstved</t>
  </si>
  <si>
    <t>T26222</t>
  </si>
  <si>
    <t>Genopretning af tag - Det Gule Palæ</t>
  </si>
  <si>
    <t>HS</t>
  </si>
  <si>
    <t>SLKS</t>
  </si>
  <si>
    <t>SLKS Tegnestue</t>
  </si>
  <si>
    <t>T26223</t>
  </si>
  <si>
    <t>Valdemars Have - Etape 1</t>
  </si>
  <si>
    <t>Vald. Birn Holding A/S/CIVICA</t>
  </si>
  <si>
    <t>Skala architecture</t>
  </si>
  <si>
    <t>T26224</t>
  </si>
  <si>
    <t>Normal Skanderborg</t>
  </si>
  <si>
    <t>Normal</t>
  </si>
  <si>
    <t>T26225</t>
  </si>
  <si>
    <t>NL Sankt Annæ Plads ladestation</t>
  </si>
  <si>
    <t>Kemp &amp; Lauritzen</t>
  </si>
  <si>
    <t>Norlys</t>
  </si>
  <si>
    <t>T26226</t>
  </si>
  <si>
    <t>Renovering af 254 badeværelser</t>
  </si>
  <si>
    <t>Boligforening i Horsens</t>
  </si>
  <si>
    <t>T26227</t>
  </si>
  <si>
    <t>Lejerbo, Afd 1275, Spentrup - 36 Boliger</t>
  </si>
  <si>
    <t>Lejerbo, Randers</t>
  </si>
  <si>
    <t>HMC</t>
  </si>
  <si>
    <t>T26228</t>
  </si>
  <si>
    <t>Forsvaret, rammeaftale med ERIK / ETK ØST 0-40 mio</t>
  </si>
  <si>
    <t>Forsvaret, ETK</t>
  </si>
  <si>
    <t>Afv. KSR</t>
  </si>
  <si>
    <t>Viborg Ingeniørerne</t>
  </si>
  <si>
    <t>T26229</t>
  </si>
  <si>
    <t>Bent Falch Ovesen, spær</t>
  </si>
  <si>
    <t>Bent Falch Ovesen</t>
  </si>
  <si>
    <t>T26230</t>
  </si>
  <si>
    <t>DEN02 Data Center</t>
  </si>
  <si>
    <t>Hitachi</t>
  </si>
  <si>
    <t>2x350 m2</t>
  </si>
  <si>
    <t>T26231</t>
  </si>
  <si>
    <t>Københavns Lufthavn - BHR</t>
  </si>
  <si>
    <t xml:space="preserve">Københavns Lufthavn </t>
  </si>
  <si>
    <t>Københavns Lufthavn</t>
  </si>
  <si>
    <t>Bauherr</t>
  </si>
  <si>
    <t>T26232</t>
  </si>
  <si>
    <t>Gigtforeningen - BHR</t>
  </si>
  <si>
    <t xml:space="preserve">Gigtforeningen </t>
  </si>
  <si>
    <t>T26233</t>
  </si>
  <si>
    <t>Gl. Færgevej, Esbjerg - 41 familieboliger</t>
  </si>
  <si>
    <t>Ungdomsbo, Esbjerg</t>
  </si>
  <si>
    <t>T26234</t>
  </si>
  <si>
    <t>Ribe Jernindustri - 60 Familieboliger</t>
  </si>
  <si>
    <t>Ribe Boligforening</t>
  </si>
  <si>
    <t>T26235</t>
  </si>
  <si>
    <t>DAB Esbjerg Tinghøjen</t>
  </si>
  <si>
    <t>Helhedsplan</t>
  </si>
  <si>
    <t>T26236</t>
  </si>
  <si>
    <t>DAB Esbjerg Præstebakken</t>
  </si>
  <si>
    <t>T26237</t>
  </si>
  <si>
    <t>Føtex_Netto Silkeborg</t>
  </si>
  <si>
    <t>Salling</t>
  </si>
  <si>
    <t>T26238</t>
  </si>
  <si>
    <t>Lidl Buddinge</t>
  </si>
  <si>
    <t>T26239</t>
  </si>
  <si>
    <t>Jysk_Ilva</t>
  </si>
  <si>
    <t>T26240</t>
  </si>
  <si>
    <t xml:space="preserve">Kristrup Skole, Randers </t>
  </si>
  <si>
    <t>T26241</t>
  </si>
  <si>
    <t>Brøndby Strand Bymidte infrastruktur</t>
  </si>
  <si>
    <t>Brøndby kommune</t>
  </si>
  <si>
    <t>BOGL</t>
  </si>
  <si>
    <t>T26242</t>
  </si>
  <si>
    <t>T26243</t>
  </si>
  <si>
    <t>Ny Politistation Odense</t>
  </si>
  <si>
    <t>Fyns Politi</t>
  </si>
  <si>
    <t>T26244</t>
  </si>
  <si>
    <t>Autoværksted, Almegaards Kaserne</t>
  </si>
  <si>
    <t>ETK</t>
  </si>
  <si>
    <t>Afv. ERIK arkitekter</t>
  </si>
  <si>
    <t>T26245</t>
  </si>
  <si>
    <t>Frederiksborgvej 131C</t>
  </si>
  <si>
    <t>Privat bygherre</t>
  </si>
  <si>
    <t>Afventer Philip Dam (AHARK)</t>
  </si>
  <si>
    <t>T26246</t>
  </si>
  <si>
    <t>Domea Vest - Rammeaftale</t>
  </si>
  <si>
    <t>T26247</t>
  </si>
  <si>
    <t>Ideal Combi, Tilst</t>
  </si>
  <si>
    <t>T26248</t>
  </si>
  <si>
    <t>Nordpil - Rammeaftale</t>
  </si>
  <si>
    <t>Nordpil Arkitekter</t>
  </si>
  <si>
    <t>T26249</t>
  </si>
  <si>
    <t>EU udbud Separatkloakering Vissenbjerg mfl</t>
  </si>
  <si>
    <t>Q4-2032</t>
  </si>
  <si>
    <t>EU udbud - fravalgt at byde</t>
  </si>
  <si>
    <t>T26250</t>
  </si>
  <si>
    <t>Nyt vandværk Kerteminde</t>
  </si>
  <si>
    <t>Vi har ikke reference</t>
  </si>
  <si>
    <t>T26251</t>
  </si>
  <si>
    <t>Byggemodning Grøftebjergvej i Vissenbjerg</t>
  </si>
  <si>
    <t>Assens Kommune &amp; Assens Spildevand</t>
  </si>
  <si>
    <t>T26252</t>
  </si>
  <si>
    <t>Forsvaret, indeklima notat</t>
  </si>
  <si>
    <t xml:space="preserve">Forsvaret </t>
  </si>
  <si>
    <t>T26253</t>
  </si>
  <si>
    <t>LEGO, rammeaftale Billund</t>
  </si>
  <si>
    <t xml:space="preserve">LEGO </t>
  </si>
  <si>
    <t>Afv. Malene fra LEGO for besitigelse</t>
  </si>
  <si>
    <t>T26254</t>
  </si>
  <si>
    <t>Lyngby Hovedgade 49a</t>
  </si>
  <si>
    <t>Cafe Korn</t>
  </si>
  <si>
    <t>KON projekt (eksisterende tilbygning)</t>
  </si>
  <si>
    <t>100m2</t>
  </si>
  <si>
    <t>T26255</t>
  </si>
  <si>
    <t>Høvelte Kaserne, ERIK rammeaftale</t>
  </si>
  <si>
    <t>Afv. HS / ERIK</t>
  </si>
  <si>
    <t>T26256</t>
  </si>
  <si>
    <t>Tingløkke udearealer</t>
  </si>
  <si>
    <t xml:space="preserve">Sag oprettet for at holde styr på timerne </t>
  </si>
  <si>
    <t>T26257</t>
  </si>
  <si>
    <t xml:space="preserve">Renovering af afd. 202 i Aarup </t>
  </si>
  <si>
    <t>58 mio. kr</t>
  </si>
  <si>
    <t>T26258</t>
  </si>
  <si>
    <t>Udvidelse af Rise Plejehjen</t>
  </si>
  <si>
    <t>Frost Larsen arkitekter</t>
  </si>
  <si>
    <t>Byggesum 35 mio</t>
  </si>
  <si>
    <t>T26259</t>
  </si>
  <si>
    <t>Parkeringsplads Amager Strandvej</t>
  </si>
  <si>
    <t>T26260</t>
  </si>
  <si>
    <t xml:space="preserve">Godkendelse af Løget Center 6 </t>
  </si>
  <si>
    <t xml:space="preserve">Sharif </t>
  </si>
  <si>
    <t>T26261</t>
  </si>
  <si>
    <t>Kollegievej 9 - Facade og tag renovering</t>
  </si>
  <si>
    <t>DOMEA</t>
  </si>
  <si>
    <t>T26262</t>
  </si>
  <si>
    <t>Arkil - Korsvej 1 Kolding</t>
  </si>
  <si>
    <t>Arkil</t>
  </si>
  <si>
    <t>T26263</t>
  </si>
  <si>
    <t>LIDL Lyngby</t>
  </si>
  <si>
    <t>LIDL</t>
  </si>
  <si>
    <t>C-1</t>
  </si>
  <si>
    <t>DOMUS Arkitekter</t>
  </si>
  <si>
    <t>T26264</t>
  </si>
  <si>
    <t>BESS - Afvandingsplan Kolind</t>
  </si>
  <si>
    <t>T26265</t>
  </si>
  <si>
    <t>Byggemodning Kolding Nord</t>
  </si>
  <si>
    <t>147 ha</t>
  </si>
  <si>
    <t>T26266</t>
  </si>
  <si>
    <t>Cykelsti Kolding</t>
  </si>
  <si>
    <t>T26267</t>
  </si>
  <si>
    <t>Rødovre Skole- BHR</t>
  </si>
  <si>
    <t>T26268</t>
  </si>
  <si>
    <t>Nordpil - Septembervej 2</t>
  </si>
  <si>
    <t>Marie og Peter Skouboe</t>
  </si>
  <si>
    <t>Nordpil</t>
  </si>
  <si>
    <t>Ja. MSO</t>
  </si>
  <si>
    <t>T26269</t>
  </si>
  <si>
    <t>Nordpil - Fensmark Alle 9</t>
  </si>
  <si>
    <t>Trine og Christian</t>
  </si>
  <si>
    <t>T26270</t>
  </si>
  <si>
    <t>41 Tryghedsboliger Anderup</t>
  </si>
  <si>
    <t>3125 m²</t>
  </si>
  <si>
    <t>T26271</t>
  </si>
  <si>
    <t>Vonsild - Opførelse af almene boliger</t>
  </si>
  <si>
    <t>Alfabo</t>
  </si>
  <si>
    <t>84 boliger + Fælleshus</t>
  </si>
  <si>
    <t>T26272</t>
  </si>
  <si>
    <t>T26273</t>
  </si>
  <si>
    <t>Porsche Aarhus Fase II</t>
  </si>
  <si>
    <t xml:space="preserve">Porsche Aarhus </t>
  </si>
  <si>
    <t>VVS og ventilation</t>
  </si>
  <si>
    <t>T26274</t>
  </si>
  <si>
    <t>Renovering af Bolbroparken afd. 5, Odense</t>
  </si>
  <si>
    <t>Arbejdernes Boligforening Odense</t>
  </si>
  <si>
    <t>162 lejligheder (3 etager)</t>
  </si>
  <si>
    <t>T26275</t>
  </si>
  <si>
    <t>Kontor, lager og værksted Kolding</t>
  </si>
  <si>
    <t>Charlotte og Christian Trillingsgaard</t>
  </si>
  <si>
    <t>T26276</t>
  </si>
  <si>
    <t>Grindsted Retail - Billig Blomst</t>
  </si>
  <si>
    <t>T26277</t>
  </si>
  <si>
    <t>Brandtrappe Albani Torv</t>
  </si>
  <si>
    <t>TASFO selskaberne</t>
  </si>
  <si>
    <t>Brandtrappe 3 etager</t>
  </si>
  <si>
    <t>T26278</t>
  </si>
  <si>
    <t>Bech-Bruun Aarhus, nyt produktionskøkken</t>
  </si>
  <si>
    <t>Bech-Bruun</t>
  </si>
  <si>
    <t>T26279</t>
  </si>
  <si>
    <t>BM_Skovhusevej Stensved</t>
  </si>
  <si>
    <t>T26280</t>
  </si>
  <si>
    <t>Boligselskabet Sjælland, Kasernen</t>
  </si>
  <si>
    <t>T26281</t>
  </si>
  <si>
    <t>Børnehuset Nexus</t>
  </si>
  <si>
    <t>PQ proces pågår. Alt er sendt til PLH. Svar forventes snarest (30.08.2026)</t>
  </si>
  <si>
    <t>T26282</t>
  </si>
  <si>
    <t>Ny idrætshal Gerbrandtsskolen</t>
  </si>
  <si>
    <t>PQ proces pågår. VITA går med Ishøj Børneteater. SBN beder Daniel M om hjælp til udtalelse. SBN skaffer rigtige fotos fra Svendborg ARK</t>
  </si>
  <si>
    <t>T26283</t>
  </si>
  <si>
    <t>Pier 3 - Århus Havn</t>
  </si>
  <si>
    <t>T26284</t>
  </si>
  <si>
    <t>T26285</t>
  </si>
  <si>
    <t>Fremrykning af Tobiskaj</t>
  </si>
  <si>
    <t>T26286</t>
  </si>
  <si>
    <t>Nyt Ungekulturhus, Vallensbæk Kommune</t>
  </si>
  <si>
    <t>Vallensbæk Kommune</t>
  </si>
  <si>
    <t>PQ proces pågår. SBN sender materiale senest 12. august til COBE</t>
  </si>
  <si>
    <t>T26287</t>
  </si>
  <si>
    <t>NytOUH - Delopgave 3</t>
  </si>
  <si>
    <t>T26288</t>
  </si>
  <si>
    <t>Byggemodning, Haughus 2</t>
  </si>
  <si>
    <t>Lillebæltgruppen</t>
  </si>
  <si>
    <t>T26289</t>
  </si>
  <si>
    <t>Botilbud Lille Veum - 36 boliger</t>
  </si>
  <si>
    <t>2000 m2, 65 mio i TE</t>
  </si>
  <si>
    <t>Vallentin &amp;Haugland</t>
  </si>
  <si>
    <t>T26290</t>
  </si>
  <si>
    <t>Afdeling 62 - Odder Øst - 104 boliger</t>
  </si>
  <si>
    <t>Domi Bolig</t>
  </si>
  <si>
    <t>T26291</t>
  </si>
  <si>
    <t>ETK Jægerspris</t>
  </si>
  <si>
    <t>T26292</t>
  </si>
  <si>
    <t>Overskudsvarme fra Datacenter</t>
  </si>
  <si>
    <t>T26293</t>
  </si>
  <si>
    <t>Porten til Omø</t>
  </si>
  <si>
    <t>Slagelse Kommune</t>
  </si>
  <si>
    <t>PT. kun KON projekt</t>
  </si>
  <si>
    <t>T26294</t>
  </si>
  <si>
    <t>Marbjergvej 21</t>
  </si>
  <si>
    <t>Privat BH</t>
  </si>
  <si>
    <t>BH rådgivning + byggeledelse + KON + (HVAC)</t>
  </si>
  <si>
    <t>350m2</t>
  </si>
  <si>
    <t>T26295</t>
  </si>
  <si>
    <t>Nyt virologisk center</t>
  </si>
  <si>
    <t>Københavns Universitet</t>
  </si>
  <si>
    <t>T26296</t>
  </si>
  <si>
    <t>TDD - Bisiddervej 31-39</t>
  </si>
  <si>
    <t>Rubik Properties</t>
  </si>
  <si>
    <t>TDD - alle fag</t>
  </si>
  <si>
    <t>5700m2</t>
  </si>
  <si>
    <t>T26297</t>
  </si>
  <si>
    <t>T26298</t>
  </si>
  <si>
    <t>Bellinge Fælled - 56 almene boliger</t>
  </si>
  <si>
    <t>56 boliger + fælleshus</t>
  </si>
  <si>
    <t>Valentin &amp; H</t>
  </si>
  <si>
    <t>Afventer Skjøde</t>
  </si>
  <si>
    <t>T26299</t>
  </si>
  <si>
    <t>Ny kaserne, Livgarden</t>
  </si>
  <si>
    <t>Øllgaard ingeniører</t>
  </si>
  <si>
    <t>Ny kaserne, 1,2 mia i anlægssum. Hold med COBE, ERIK, ARUP og ØLLGAARD. Afv. Udbudsmateriale</t>
  </si>
  <si>
    <t>Entreprisesum 1,2 mia</t>
  </si>
  <si>
    <t>Øllgaard</t>
  </si>
  <si>
    <t>T26300</t>
  </si>
  <si>
    <t>Plejecenter Rudbækshøj nye boliger</t>
  </si>
  <si>
    <t>T26301</t>
  </si>
  <si>
    <t>Aalborg Universitet - Rammeaftale for totalrådgivning</t>
  </si>
  <si>
    <t>Aalborg Universitet</t>
  </si>
  <si>
    <t>T26302</t>
  </si>
  <si>
    <t>KU Rammeaftale - ING</t>
  </si>
  <si>
    <t>VITA er lead og vi har møde 12. august med ARUP og Øllgaard og beslutter endelige referencer</t>
  </si>
  <si>
    <t>ARUP, Øllgaard</t>
  </si>
  <si>
    <t>T26303</t>
  </si>
  <si>
    <t>Bredalsvej (24 almene boliger)</t>
  </si>
  <si>
    <t>Totalentreprise m. MAB</t>
  </si>
  <si>
    <t>24 boliger</t>
  </si>
  <si>
    <t>TE pågår</t>
  </si>
  <si>
    <t>T26304</t>
  </si>
  <si>
    <t>Højby (25 almene boliger)</t>
  </si>
  <si>
    <t>25 boliger</t>
  </si>
  <si>
    <t>T26305</t>
  </si>
  <si>
    <t>Bakkeskolen</t>
  </si>
  <si>
    <t>Underrådgiver i totalrådgivning</t>
  </si>
  <si>
    <t>Renovering af eksisterende skole</t>
  </si>
  <si>
    <t>T26306</t>
  </si>
  <si>
    <t>Søndre Strandvej 40 - Brand</t>
  </si>
  <si>
    <t>Jan Strandli</t>
  </si>
  <si>
    <t>AH arkitekter</t>
  </si>
  <si>
    <t>Brandrådgiver</t>
  </si>
  <si>
    <t>Eksisterende bolig</t>
  </si>
  <si>
    <t>T26307</t>
  </si>
  <si>
    <t>Renovering Damgården Plejecenter</t>
  </si>
  <si>
    <t>Energirenovering 16 mio</t>
  </si>
  <si>
    <t>T26308</t>
  </si>
  <si>
    <t>Renovering Stenstrup Plejecenter</t>
  </si>
  <si>
    <t>Energirenovering 7 mio</t>
  </si>
  <si>
    <t>T26309</t>
  </si>
  <si>
    <t>Renovering Tåsinge Plejecenter</t>
  </si>
  <si>
    <t>Energirenovering 12 mio</t>
  </si>
  <si>
    <t>T26310</t>
  </si>
  <si>
    <t>Søndre Strandvej 40</t>
  </si>
  <si>
    <t>Anders Hede</t>
  </si>
  <si>
    <t>Brandrådgivning</t>
  </si>
  <si>
    <t>T26311</t>
  </si>
  <si>
    <t>Bryggen - Odense Havn</t>
  </si>
  <si>
    <t>indbudt til at afgive tilbud</t>
  </si>
  <si>
    <t>50.000 m² boliger</t>
  </si>
  <si>
    <t>T26312</t>
  </si>
  <si>
    <t>Strømmen</t>
  </si>
  <si>
    <t>Skanska</t>
  </si>
  <si>
    <t>Vi rykker for at måtte pitche for Skanska</t>
  </si>
  <si>
    <t>30.000 m² boliger</t>
  </si>
  <si>
    <t>T26337</t>
  </si>
  <si>
    <t xml:space="preserve">Albanitorv </t>
  </si>
  <si>
    <t xml:space="preserve">Totalrådgivning </t>
  </si>
  <si>
    <t>MASU Planning</t>
  </si>
  <si>
    <t>T26313</t>
  </si>
  <si>
    <t>Naturkraft, Aarhus</t>
  </si>
  <si>
    <t>2000m2 kontor</t>
  </si>
  <si>
    <t>T26314</t>
  </si>
  <si>
    <t>Jydeholmen, Boliger</t>
  </si>
  <si>
    <t>5000 m2 boliger + kælder</t>
  </si>
  <si>
    <t>T26315</t>
  </si>
  <si>
    <t>ETK - Rammeaftale TR Øst fra 2028</t>
  </si>
  <si>
    <t xml:space="preserve">ETK  </t>
  </si>
  <si>
    <t>Q2-2030</t>
  </si>
  <si>
    <t>T26316</t>
  </si>
  <si>
    <t>ETK - Rammeaftale TR Vest fra 2028</t>
  </si>
  <si>
    <t>T26317</t>
  </si>
  <si>
    <t>ETK - Rammeaftale TR National fra 2028</t>
  </si>
  <si>
    <t>T26318</t>
  </si>
  <si>
    <t>ETK - Rammeaftale BHR National fra 2027</t>
  </si>
  <si>
    <t>T26319</t>
  </si>
  <si>
    <t>Leto Leasning</t>
  </si>
  <si>
    <t>Palle Johansen</t>
  </si>
  <si>
    <t>T26320</t>
  </si>
  <si>
    <t>Skærvej 14</t>
  </si>
  <si>
    <t>Spira forsikring</t>
  </si>
  <si>
    <t>Skadeprojekt</t>
  </si>
  <si>
    <t>T26321</t>
  </si>
  <si>
    <t>Renovering af dokken på dokøen</t>
  </si>
  <si>
    <t>APM Fonden</t>
  </si>
  <si>
    <t>Alt løsning</t>
  </si>
  <si>
    <t>T26322</t>
  </si>
  <si>
    <t>Miljøsanering af Voldsmosecenteret</t>
  </si>
  <si>
    <t>screening og prissætning</t>
  </si>
  <si>
    <t>T26323</t>
  </si>
  <si>
    <t>Marslev Byudvikling</t>
  </si>
  <si>
    <t>Kerteminde Kommune</t>
  </si>
  <si>
    <t>T26324</t>
  </si>
  <si>
    <t xml:space="preserve">Nyt kultur- og undervisningsbyggeri </t>
  </si>
  <si>
    <t>Tidlig TR holddannelse (vi har ikke en TE-aftale)</t>
  </si>
  <si>
    <t>3000 m² (70 mio. kr.)</t>
  </si>
  <si>
    <t>Forsøger TE aftale med CCC</t>
  </si>
  <si>
    <t>T26325</t>
  </si>
  <si>
    <t>Københavns Åbne Gymnasium - Rammeaftale</t>
  </si>
  <si>
    <t>Københavns Åbne Gymnasium</t>
  </si>
  <si>
    <t>Udbud</t>
  </si>
  <si>
    <t xml:space="preserve">ERIK </t>
  </si>
  <si>
    <t>T26326</t>
  </si>
  <si>
    <t>Baldersgade, Botilbud</t>
  </si>
  <si>
    <t>T26327</t>
  </si>
  <si>
    <t>NEXT - erhvervsskole - TR</t>
  </si>
  <si>
    <t>SLA, Reiulf</t>
  </si>
  <si>
    <t>T26328</t>
  </si>
  <si>
    <t>Afs. 77 - Boldbanen Sønderborg</t>
  </si>
  <si>
    <t>Jungebyg</t>
  </si>
  <si>
    <t>108 mio kr. 7220 m2 - 76 boliger</t>
  </si>
  <si>
    <t>Jungebyg er TE</t>
  </si>
  <si>
    <t>T26329</t>
  </si>
  <si>
    <t>Taastrup Hovedgade 123</t>
  </si>
  <si>
    <t>Jakob Martin Andersen</t>
  </si>
  <si>
    <t>Nova 5</t>
  </si>
  <si>
    <t>Tilbud sendt - afventer TE</t>
  </si>
  <si>
    <t>T26330</t>
  </si>
  <si>
    <t>T26331</t>
  </si>
  <si>
    <t>BM Langeskov Syd - Majstoften</t>
  </si>
  <si>
    <t>T26332</t>
  </si>
  <si>
    <t xml:space="preserve">Højlager - Mobilex </t>
  </si>
  <si>
    <t>Mobilex</t>
  </si>
  <si>
    <t xml:space="preserve">Bundgaard Byg A/S </t>
  </si>
  <si>
    <t>T26333</t>
  </si>
  <si>
    <t>T-Hansen Esbjerg</t>
  </si>
  <si>
    <t>Hansen Ejendomme</t>
  </si>
  <si>
    <t>T26334</t>
  </si>
  <si>
    <t>Fregatten Jylland</t>
  </si>
  <si>
    <t>D.S.I. Fregatten Jylland</t>
  </si>
  <si>
    <t>T26335</t>
  </si>
  <si>
    <t>Skolen ved Søerne</t>
  </si>
  <si>
    <t xml:space="preserve">RUM </t>
  </si>
  <si>
    <t>T26336</t>
  </si>
  <si>
    <t>Arne Jacobsens Allé 13</t>
  </si>
  <si>
    <t>Sandoz</t>
  </si>
  <si>
    <t>Albani Torv</t>
  </si>
  <si>
    <t>MASU</t>
  </si>
  <si>
    <t>T26338</t>
  </si>
  <si>
    <t>Kongevej - 20 almene boliger i Gram</t>
  </si>
  <si>
    <t>2177 m2 og 35 mill</t>
  </si>
  <si>
    <t>T26339</t>
  </si>
  <si>
    <t>Naturhistorisk Museum Århus</t>
  </si>
  <si>
    <t>Q3-2030</t>
  </si>
  <si>
    <t>Aftale med L&amp;T og ARUP</t>
  </si>
  <si>
    <t>900 mio. kr. i anlæg</t>
  </si>
  <si>
    <t>T26340</t>
  </si>
  <si>
    <t>Opførelse af plejehjem Odense</t>
  </si>
  <si>
    <t>Højby Skovvej</t>
  </si>
  <si>
    <t>175 mio. kr.  (7.610 m²)</t>
  </si>
  <si>
    <t>evt. CC Contractor</t>
  </si>
  <si>
    <t>T26341</t>
  </si>
  <si>
    <t>Tryllefløjten - lovliggørelse</t>
  </si>
  <si>
    <t>Børnehuset Tryllefløjten</t>
  </si>
  <si>
    <t xml:space="preserve"> -</t>
  </si>
  <si>
    <t>Mette Marie Guldberg Hyldgaard - Odense Kommune - BYG</t>
  </si>
  <si>
    <t>T26342</t>
  </si>
  <si>
    <t>xxxx - fejloprettet</t>
  </si>
  <si>
    <t>T26343</t>
  </si>
  <si>
    <t>Hegn - E15</t>
  </si>
  <si>
    <t>T26344</t>
  </si>
  <si>
    <t>Navervej 1, Hinnerup - 5 års gennemgang</t>
  </si>
  <si>
    <t>Ejendomsselskabet Navervej 1, ApS</t>
  </si>
  <si>
    <t>T26345</t>
  </si>
  <si>
    <t>TKMS - Ny produktionshal</t>
  </si>
  <si>
    <t xml:space="preserve">TKMS  </t>
  </si>
  <si>
    <t>TKMS</t>
  </si>
  <si>
    <t>T26346</t>
  </si>
  <si>
    <t>Lille Torv 12, Rønne</t>
  </si>
  <si>
    <t>Jens Aaberg</t>
  </si>
  <si>
    <t>T26347</t>
  </si>
  <si>
    <t>FSB - Skolevangen - renoveringsprojekt</t>
  </si>
  <si>
    <t xml:space="preserve">FSB  </t>
  </si>
  <si>
    <t>Kun VITA</t>
  </si>
  <si>
    <t>T26348</t>
  </si>
  <si>
    <t>Platanvej - Züblin</t>
  </si>
  <si>
    <t>Frederik Widau</t>
  </si>
  <si>
    <t xml:space="preserve">Züblin og måske 5e, CG Jensen m.fl. </t>
  </si>
  <si>
    <t>T26349</t>
  </si>
  <si>
    <t>Rammeaftale arkitektydelser SDU</t>
  </si>
  <si>
    <t>PLH har behov for Certificering KON + BRAND</t>
  </si>
  <si>
    <t>T26350</t>
  </si>
  <si>
    <t>Vor Frue Byrum</t>
  </si>
  <si>
    <t>Sweco på trafik</t>
  </si>
  <si>
    <t>T26351</t>
  </si>
  <si>
    <t>Lille Torv 12 - Rønne</t>
  </si>
  <si>
    <t>KON projekt</t>
  </si>
  <si>
    <t>T26352</t>
  </si>
  <si>
    <t>Cibicom - Bygherrens byggeledelse og tilsyn</t>
  </si>
  <si>
    <t>SBJ</t>
  </si>
  <si>
    <t>Cibicom</t>
  </si>
  <si>
    <t>T26353</t>
  </si>
  <si>
    <t>Virup Skole - Faglokaler</t>
  </si>
  <si>
    <t xml:space="preserve">Aarhus Kommune </t>
  </si>
  <si>
    <t>T26354</t>
  </si>
  <si>
    <t>Petrowsky domicil ombygning</t>
  </si>
  <si>
    <t xml:space="preserve">Petrowsky </t>
  </si>
  <si>
    <t>Petrowsky</t>
  </si>
  <si>
    <t>T26355</t>
  </si>
  <si>
    <t>Lidl Hedehusene</t>
  </si>
  <si>
    <t>Lidl Danmark</t>
  </si>
  <si>
    <t>T26356</t>
  </si>
  <si>
    <t>Sikringsprojekt</t>
  </si>
  <si>
    <t>CIBICOM</t>
  </si>
  <si>
    <t>T26357</t>
  </si>
  <si>
    <t>T26358</t>
  </si>
  <si>
    <t>TDD for Bilsby Ejendomme</t>
  </si>
  <si>
    <t>Bilsby Ejendomme</t>
  </si>
  <si>
    <t>T26359</t>
  </si>
  <si>
    <t>Skomagergade 8 - ombygning</t>
  </si>
  <si>
    <t>Anders Heede</t>
  </si>
  <si>
    <t>Dorte Mandrup</t>
  </si>
  <si>
    <t>Hold med ARUP</t>
  </si>
  <si>
    <t>T26360</t>
  </si>
  <si>
    <t>Jagthytte i Vorbasse</t>
  </si>
  <si>
    <t>Jeppe Seerup</t>
  </si>
  <si>
    <t>T26361</t>
  </si>
  <si>
    <t>Vognsbølhaverne etape 5</t>
  </si>
  <si>
    <t>Claus Sørensen Ejendomm</t>
  </si>
  <si>
    <t>T26362</t>
  </si>
  <si>
    <t>Vognsbølhaverne Højhus</t>
  </si>
  <si>
    <t>T26363</t>
  </si>
  <si>
    <t>Bakkevejens Skole Faglokaler</t>
  </si>
  <si>
    <t>T26364</t>
  </si>
  <si>
    <t>Nyt Plejecenter Odense</t>
  </si>
  <si>
    <t>TE-aftale med Nordstern</t>
  </si>
  <si>
    <t>175 mio. kr</t>
  </si>
  <si>
    <t>T26365</t>
  </si>
  <si>
    <t>Gyvelvænget 2</t>
  </si>
  <si>
    <t>Jesper Toft Mathiasen</t>
  </si>
  <si>
    <t>Forsikringssag</t>
  </si>
  <si>
    <t>T26366</t>
  </si>
  <si>
    <t>BM - Højager 25</t>
  </si>
  <si>
    <t>T26367</t>
  </si>
  <si>
    <t>Frederiksberg Kommune Rammeaftale Anlæg</t>
  </si>
  <si>
    <t>T26368</t>
  </si>
  <si>
    <t>Samlingssted Gadstrup</t>
  </si>
  <si>
    <t>T26369</t>
  </si>
  <si>
    <t>Ny Lindely Plejeboliger - TR</t>
  </si>
  <si>
    <t>NORDSTERN</t>
  </si>
  <si>
    <t>T26370</t>
  </si>
  <si>
    <t>Nyt Sundheds- og kvartershus</t>
  </si>
  <si>
    <t>Cornelius Vöge</t>
  </si>
  <si>
    <t>T26371</t>
  </si>
  <si>
    <t>Østerbro Østergade 200 boliger Thorborg</t>
  </si>
  <si>
    <t>Niels Thorborg og Dansk Metal</t>
  </si>
  <si>
    <t xml:space="preserve">Tidligt hold </t>
  </si>
  <si>
    <t>Archidea</t>
  </si>
  <si>
    <t>T26372</t>
  </si>
  <si>
    <t>Nyt børnehus Odense S</t>
  </si>
  <si>
    <t>Hold hvis ikke den udbydes inder Vælfærd F</t>
  </si>
  <si>
    <t>Frost Larsen (hvis ikke den udbydes u VF)</t>
  </si>
  <si>
    <t>T26373</t>
  </si>
  <si>
    <t>Alboa - Galten, afd. 28</t>
  </si>
  <si>
    <t>jwr</t>
  </si>
  <si>
    <t>Alboa</t>
  </si>
  <si>
    <t>T26374</t>
  </si>
  <si>
    <t>Nordhavnskaj</t>
  </si>
  <si>
    <t>T26376</t>
  </si>
  <si>
    <t>Cykelbaner - Sønderborg</t>
  </si>
  <si>
    <t>MKU</t>
  </si>
  <si>
    <t>T26377</t>
  </si>
  <si>
    <t>Sct. Anna Park 2</t>
  </si>
  <si>
    <t xml:space="preserve">Bogense Boligforening </t>
  </si>
  <si>
    <t>Bogense Boligforening</t>
  </si>
  <si>
    <t>Totalentreprise - MAB</t>
  </si>
  <si>
    <t>20 boliger (1850m2)</t>
  </si>
  <si>
    <t>MAB</t>
  </si>
  <si>
    <t>T26378</t>
  </si>
  <si>
    <t>Børnehaven ved Bøgehøjgård</t>
  </si>
  <si>
    <t>TE Bo Michelsen</t>
  </si>
  <si>
    <t>T26379</t>
  </si>
  <si>
    <t>Tagudskiftning afd. 312 Rismarken</t>
  </si>
  <si>
    <t>170 rækkehuse</t>
  </si>
  <si>
    <t>T26380</t>
  </si>
  <si>
    <t>Netto Fårvang</t>
  </si>
  <si>
    <t>Netto</t>
  </si>
  <si>
    <t>1200 m2 ny butik</t>
  </si>
  <si>
    <t>T26381</t>
  </si>
  <si>
    <t>Netto Snejbjerg</t>
  </si>
  <si>
    <t>T26382</t>
  </si>
  <si>
    <t>Odense Skøjtehal</t>
  </si>
  <si>
    <t>T26383</t>
  </si>
  <si>
    <t>Orifarm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</si>
</sst>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kr.&quot;;[Red]\-#,##0\ &quot;kr.&quot;"/>
    <numFmt numFmtId="164" formatCode="_-* #,##0\ &quot;kr.&quot;_-;\-* #,##0\ &quot;kr.&quot;_-;_-* &quot;-&quot;??\ &quot;kr.&quot;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444444"/>
      <name val="Arial-regular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horizontal="center" vertical="top" wrapText="1"/>
    </xf>
    <xf numFmtId="9" fontId="2" fillId="0" borderId="0" xfId="0" applyNumberFormat="1" applyFont="1" applyAlignment="1">
      <alignment horizontal="center" vertical="top" wrapText="1"/>
    </xf>
    <xf numFmtId="22" fontId="2" fillId="0" borderId="0" xfId="0" applyNumberFormat="1" applyFont="1" applyAlignment="1">
      <alignment horizontal="center" vertical="top" wrapText="1"/>
    </xf>
    <xf numFmtId="1" fontId="2" fillId="0" borderId="0" xfId="0" applyNumberFormat="1" applyFont="1" applyAlignment="1">
      <alignment horizontal="center" vertical="top" wrapText="1"/>
    </xf>
    <xf numFmtId="14" fontId="2" fillId="0" borderId="0" xfId="0" applyNumberFormat="1" applyFont="1" applyAlignment="1" applyProtection="1">
      <alignment horizontal="center" vertical="top" wrapText="1"/>
      <protection locked="0"/>
    </xf>
    <xf numFmtId="0" fontId="2" fillId="2" borderId="0" xfId="0" applyFont="1" applyFill="1" applyAlignment="1">
      <alignment horizontal="center" vertical="top" wrapText="1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14" fontId="0" fillId="0" borderId="0" xfId="0" applyNumberFormat="1" applyAlignment="1" applyProtection="1">
      <alignment horizontal="center"/>
      <protection locked="0"/>
    </xf>
    <xf numFmtId="9" fontId="0" fillId="0" borderId="0" xfId="1" applyFont="1" applyAlignment="1" applyProtection="1">
      <alignment horizontal="center"/>
      <protection locked="0"/>
    </xf>
    <xf numFmtId="1" fontId="0" fillId="0" borderId="0" xfId="0" applyNumberFormat="1"/>
    <xf numFmtId="14" fontId="0" fillId="0" borderId="0" xfId="0" applyNumberFormat="1" applyProtection="1">
      <protection locked="0"/>
    </xf>
    <xf numFmtId="22" fontId="0" fillId="0" borderId="0" xfId="0" applyNumberFormat="1" applyAlignment="1" applyProtection="1">
      <alignment horizontal="center"/>
      <protection locked="0"/>
    </xf>
    <xf numFmtId="3" fontId="0" fillId="0" borderId="0" xfId="0" applyNumberFormat="1" applyAlignment="1" applyProtection="1">
      <alignment horizontal="center"/>
      <protection locked="0"/>
    </xf>
    <xf numFmtId="164" fontId="0" fillId="0" borderId="0" xfId="0" applyNumberFormat="1"/>
    <xf numFmtId="0" fontId="0" fillId="0" borderId="0" xfId="0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1" fontId="0" fillId="0" borderId="0" xfId="0" applyNumberFormat="1" applyAlignment="1">
      <alignment wrapText="1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wrapText="1"/>
      <protection locked="0"/>
    </xf>
    <xf numFmtId="0" fontId="0" fillId="0" borderId="0" xfId="0" applyAlignment="1">
      <alignment horizontal="center"/>
    </xf>
    <xf numFmtId="9" fontId="0" fillId="0" borderId="0" xfId="1" applyFont="1" applyAlignment="1" applyProtection="1">
      <alignment horizontal="center"/>
    </xf>
    <xf numFmtId="22" fontId="0" fillId="0" borderId="0" xfId="0" applyNumberFormat="1" applyAlignment="1">
      <alignment horizontal="center"/>
    </xf>
    <xf numFmtId="6" fontId="0" fillId="0" borderId="0" xfId="0" applyNumberFormat="1" applyAlignment="1" applyProtection="1">
      <alignment horizontal="center"/>
      <protection locked="0"/>
    </xf>
    <xf numFmtId="9" fontId="0" fillId="0" borderId="0" xfId="0" applyNumberFormat="1" applyAlignment="1" applyProtection="1">
      <alignment horizontal="center"/>
      <protection locked="0"/>
    </xf>
  </cellXfs>
  <cellStyles count="2">
    <cellStyle name="Normal" xfId="0" builtinId="0"/>
    <cellStyle name="Pro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itaingdk.sharepoint.com/Salg/Salgs%20og%20tilbudsoverblik%20for%20potentielle%20sager.xlsm" TargetMode="External"/><Relationship Id="rId1" Type="http://schemas.openxmlformats.org/officeDocument/2006/relationships/externalLinkPath" Target="https://vitaingdk.sharepoint.com/Salg/Salgs%20og%20tilbudsoverblik%20for%20potentielle%20sage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ret tilbud"/>
      <sheetName val="Ark1"/>
      <sheetName val="Tabel"/>
      <sheetName val="Overblik - 15 største sager"/>
      <sheetName val="Overblik - Honorar pr. måned"/>
      <sheetName val="PQ Konkurenceaftaler"/>
      <sheetName val="Brugere"/>
      <sheetName val="Kontor specifik gns."/>
      <sheetName val="Hjælpefan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20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258AEF-5509-4576-BC19-CB19FC6BA6B9}">
  <we:reference id="wa200005502" version="1.0.0.12" store="da-DK" storeType="OMEX"/>
  <we:alternateReferences>
    <we:reference id="WA200005502" version="1.0.0.12" store="" storeType="OMEX"/>
  </we:alternateReferences>
  <we:properties>
    <we:property name="docId" value="&quot;Ewa5PxYPMSdTGdoiy_fXm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ACB0-896D-4C87-89DA-3F34FCBA87C3}">
  <dimension ref="A1:AP1907"/>
  <sheetViews>
    <sheetView tabSelected="1" topLeftCell="A709" workbookViewId="0">
      <selection activeCell="F6" sqref="F6"/>
    </sheetView>
  </sheetViews>
  <sheetFormatPr defaultRowHeight="15"/>
  <sheetData>
    <row r="1" spans="1:42" s="2" customFormat="1" ht="5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4" t="s">
        <v>14</v>
      </c>
      <c r="P1" s="4" t="s">
        <v>15</v>
      </c>
      <c r="Q1" s="2" t="s">
        <v>16</v>
      </c>
      <c r="R1" s="2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2" t="s">
        <v>31</v>
      </c>
      <c r="AG1" s="5" t="s">
        <v>32</v>
      </c>
      <c r="AH1" s="6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</row>
    <row r="2" spans="1:42">
      <c r="A2" t="s">
        <v>42</v>
      </c>
      <c r="B2" s="8"/>
      <c r="C2" s="8" t="s">
        <v>43</v>
      </c>
      <c r="D2" s="8" t="s">
        <v>44</v>
      </c>
      <c r="E2" s="8"/>
      <c r="F2" s="8"/>
      <c r="G2" s="8"/>
      <c r="H2" s="9"/>
      <c r="I2" s="9" t="e">
        <f>[1]!Tabel1[[#This Row],[Honorar]]*[1]!Tabel1[[#This Row],[Sandsynlighed]]</f>
        <v>#VALUE!</v>
      </c>
      <c r="J2" s="10"/>
      <c r="K2" s="1"/>
      <c r="L2" s="8" t="s">
        <v>45</v>
      </c>
      <c r="M2" s="11">
        <v>1</v>
      </c>
      <c r="N2" s="1"/>
      <c r="O2" s="10">
        <v>45433.387638888889</v>
      </c>
      <c r="P2" s="10"/>
      <c r="Q2" s="1" t="s">
        <v>46</v>
      </c>
      <c r="R2" s="8" t="s">
        <v>47</v>
      </c>
      <c r="S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" s="12" t="e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#VALUE!</v>
      </c>
      <c r="U2" s="12" t="e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#VALUE!</v>
      </c>
      <c r="V2" s="12" t="e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#VALUE!</v>
      </c>
      <c r="W2" s="12" t="e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#VALUE!</v>
      </c>
      <c r="X2" s="12" t="e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#VALUE!</v>
      </c>
      <c r="Y2" s="12" t="e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#VALUE!</v>
      </c>
      <c r="Z2" s="12" t="e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#VALUE!</v>
      </c>
      <c r="AA2" s="12" t="e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#VALUE!</v>
      </c>
      <c r="AB2" s="12" t="e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#VALUE!</v>
      </c>
      <c r="AC2" s="12" t="e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#VALUE!</v>
      </c>
      <c r="AD2" s="12" t="e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#VALUE!</v>
      </c>
      <c r="AE2" s="12" t="e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#VALUE!</v>
      </c>
      <c r="AF2" s="12" t="e">
        <f ca="1">[1]!Tabel1[[#This Row],[Vægtet Honorar]]*([1]!Tabel1[[#This Row],[Sidst redigeret]]&gt;TODAY()-40)*([1]!Tabel1[[#This Row],[Er i resplan?]]&lt;&gt;"Ja")*([1]!Tabel1[[#This Row],[Status]]="Pågår")</f>
        <v>#VALUE!</v>
      </c>
      <c r="AG2" s="12" t="e">
        <f ca="1">[1]!Tabel1[[#This Row],[Vægtet Honorar]]*([1]!Tabel1[[#This Row],[Sidst redigeret]]&gt;TODAY()-40)*([1]!Tabel1[[#This Row],[Status]]="Pågår")</f>
        <v>#VALUE!</v>
      </c>
      <c r="AH2" s="13"/>
      <c r="AI2" s="12"/>
      <c r="AJ2" s="12"/>
      <c r="AK2" s="12"/>
      <c r="AL2" s="12"/>
      <c r="AM2" s="12"/>
      <c r="AN2" s="12"/>
      <c r="AO2" s="12"/>
      <c r="AP2" s="12"/>
    </row>
    <row r="3" spans="1:42">
      <c r="A3" t="s">
        <v>42</v>
      </c>
      <c r="B3" s="8"/>
      <c r="C3" s="8" t="s">
        <v>48</v>
      </c>
      <c r="D3" s="8"/>
      <c r="E3" s="8"/>
      <c r="F3" s="8"/>
      <c r="G3" s="8"/>
      <c r="H3" s="9"/>
      <c r="I3" s="9" t="e">
        <f>[1]!Tabel1[[#This Row],[Honorar]]*[1]!Tabel1[[#This Row],[Sandsynlighed]]</f>
        <v>#VALUE!</v>
      </c>
      <c r="J3" s="10"/>
      <c r="K3" s="1"/>
      <c r="L3" s="8"/>
      <c r="M3" s="11"/>
      <c r="N3" s="1"/>
      <c r="O3" s="10">
        <v>45300.375613425924</v>
      </c>
      <c r="P3" s="10"/>
      <c r="Q3" s="1"/>
      <c r="R3" s="8" t="s">
        <v>49</v>
      </c>
      <c r="S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" s="12" t="e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#VALUE!</v>
      </c>
      <c r="U3" s="12" t="e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#VALUE!</v>
      </c>
      <c r="V3" s="12" t="e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#VALUE!</v>
      </c>
      <c r="W3" s="12" t="e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#VALUE!</v>
      </c>
      <c r="X3" s="12" t="e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#VALUE!</v>
      </c>
      <c r="Y3" s="12" t="e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#VALUE!</v>
      </c>
      <c r="Z3" s="12" t="e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#VALUE!</v>
      </c>
      <c r="AA3" s="12" t="e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#VALUE!</v>
      </c>
      <c r="AB3" s="12" t="e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#VALUE!</v>
      </c>
      <c r="AC3" s="12" t="e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#VALUE!</v>
      </c>
      <c r="AD3" s="12" t="e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#VALUE!</v>
      </c>
      <c r="AE3" s="12" t="e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#VALUE!</v>
      </c>
      <c r="AF3" s="12" t="e">
        <f ca="1">[1]!Tabel1[[#This Row],[Vægtet Honorar]]*([1]!Tabel1[[#This Row],[Sidst redigeret]]&gt;TODAY()-40)*([1]!Tabel1[[#This Row],[Er i resplan?]]&lt;&gt;"Ja")*([1]!Tabel1[[#This Row],[Status]]="Pågår")</f>
        <v>#VALUE!</v>
      </c>
      <c r="AG3" s="12" t="e">
        <f ca="1">[1]!Tabel1[[#This Row],[Vægtet Honorar]]*([1]!Tabel1[[#This Row],[Sidst redigeret]]&gt;TODAY()-40)*([1]!Tabel1[[#This Row],[Status]]="Pågår")</f>
        <v>#VALUE!</v>
      </c>
      <c r="AH3" s="13"/>
      <c r="AI3" s="12"/>
      <c r="AJ3" s="12"/>
      <c r="AK3" s="12"/>
      <c r="AL3" s="12"/>
      <c r="AM3" s="12"/>
      <c r="AN3" s="12"/>
      <c r="AO3" s="12"/>
      <c r="AP3" s="12"/>
    </row>
    <row r="4" spans="1:42">
      <c r="A4" t="s">
        <v>50</v>
      </c>
      <c r="B4" s="8"/>
      <c r="C4" s="8" t="s">
        <v>51</v>
      </c>
      <c r="D4" s="8" t="s">
        <v>44</v>
      </c>
      <c r="E4" s="8"/>
      <c r="F4" s="8"/>
      <c r="G4" s="8"/>
      <c r="H4" s="9"/>
      <c r="I4" s="9" t="e">
        <f>[1]!Tabel1[[#This Row],[Honorar]]*[1]!Tabel1[[#This Row],[Sandsynlighed]]</f>
        <v>#VALUE!</v>
      </c>
      <c r="J4" s="10"/>
      <c r="K4" s="1"/>
      <c r="L4" s="8" t="s">
        <v>52</v>
      </c>
      <c r="M4" s="11">
        <v>1</v>
      </c>
      <c r="N4" s="1"/>
      <c r="O4" s="10">
        <v>45308.454328703701</v>
      </c>
      <c r="P4" s="10"/>
      <c r="Q4" s="1" t="s">
        <v>46</v>
      </c>
      <c r="R4" s="8" t="s">
        <v>47</v>
      </c>
      <c r="S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" s="12" t="e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#VALUE!</v>
      </c>
      <c r="U4" s="12" t="e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#VALUE!</v>
      </c>
      <c r="V4" s="12" t="e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#VALUE!</v>
      </c>
      <c r="W4" s="12" t="e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#VALUE!</v>
      </c>
      <c r="X4" s="12" t="e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#VALUE!</v>
      </c>
      <c r="Y4" s="12" t="e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#VALUE!</v>
      </c>
      <c r="Z4" s="12" t="e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#VALUE!</v>
      </c>
      <c r="AA4" s="12" t="e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#VALUE!</v>
      </c>
      <c r="AB4" s="12" t="e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#VALUE!</v>
      </c>
      <c r="AC4" s="12" t="e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#VALUE!</v>
      </c>
      <c r="AD4" s="12" t="e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#VALUE!</v>
      </c>
      <c r="AE4" s="12" t="e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#VALUE!</v>
      </c>
      <c r="AF4" s="12" t="e">
        <f ca="1">[1]!Tabel1[[#This Row],[Vægtet Honorar]]*([1]!Tabel1[[#This Row],[Sidst redigeret]]&gt;TODAY()-40)*([1]!Tabel1[[#This Row],[Er i resplan?]]&lt;&gt;"Ja")*([1]!Tabel1[[#This Row],[Status]]="Pågår")</f>
        <v>#VALUE!</v>
      </c>
      <c r="AG4" s="12" t="e">
        <f ca="1">[1]!Tabel1[[#This Row],[Vægtet Honorar]]*([1]!Tabel1[[#This Row],[Sidst redigeret]]&gt;TODAY()-40)*([1]!Tabel1[[#This Row],[Status]]="Pågår")</f>
        <v>#VALUE!</v>
      </c>
      <c r="AH4" s="13"/>
      <c r="AI4" s="12"/>
      <c r="AJ4" s="12"/>
      <c r="AK4" s="12"/>
      <c r="AL4" s="12"/>
      <c r="AM4" s="12"/>
      <c r="AN4" s="12"/>
      <c r="AO4" s="12"/>
      <c r="AP4" s="12"/>
    </row>
    <row r="5" spans="1:42">
      <c r="A5" t="s">
        <v>53</v>
      </c>
      <c r="B5" s="8"/>
      <c r="C5" s="8" t="s">
        <v>54</v>
      </c>
      <c r="D5" s="8"/>
      <c r="E5" s="8"/>
      <c r="F5" s="8"/>
      <c r="G5" s="8"/>
      <c r="H5" s="9"/>
      <c r="I5" s="9" t="e">
        <f>[1]!Tabel1[[#This Row],[Honorar]]*[1]!Tabel1[[#This Row],[Sandsynlighed]]</f>
        <v>#VALUE!</v>
      </c>
      <c r="J5" s="10"/>
      <c r="K5" s="1"/>
      <c r="L5" s="8"/>
      <c r="M5" s="11"/>
      <c r="N5" s="1"/>
      <c r="O5" s="10">
        <v>46279.611076388886</v>
      </c>
      <c r="P5" s="10"/>
      <c r="Q5" s="1"/>
      <c r="R5" s="8" t="s">
        <v>49</v>
      </c>
      <c r="S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" s="12" t="e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#VALUE!</v>
      </c>
      <c r="U5" s="12" t="e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#VALUE!</v>
      </c>
      <c r="V5" s="12" t="e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#VALUE!</v>
      </c>
      <c r="W5" s="12" t="e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#VALUE!</v>
      </c>
      <c r="X5" s="12" t="e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#VALUE!</v>
      </c>
      <c r="Y5" s="12" t="e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#VALUE!</v>
      </c>
      <c r="Z5" s="12" t="e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#VALUE!</v>
      </c>
      <c r="AA5" s="12" t="e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#VALUE!</v>
      </c>
      <c r="AB5" s="12" t="e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#VALUE!</v>
      </c>
      <c r="AC5" s="12" t="e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#VALUE!</v>
      </c>
      <c r="AD5" s="12" t="e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#VALUE!</v>
      </c>
      <c r="AE5" s="12" t="e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#VALUE!</v>
      </c>
      <c r="AF5" s="12" t="e">
        <f ca="1">[1]!Tabel1[[#This Row],[Vægtet Honorar]]*([1]!Tabel1[[#This Row],[Sidst redigeret]]&gt;TODAY()-40)*([1]!Tabel1[[#This Row],[Er i resplan?]]&lt;&gt;"Ja")*([1]!Tabel1[[#This Row],[Status]]="Pågår")</f>
        <v>#VALUE!</v>
      </c>
      <c r="AG5" s="12" t="e">
        <f ca="1">[1]!Tabel1[[#This Row],[Vægtet Honorar]]*([1]!Tabel1[[#This Row],[Sidst redigeret]]&gt;TODAY()-40)*([1]!Tabel1[[#This Row],[Status]]="Pågår")</f>
        <v>#VALUE!</v>
      </c>
      <c r="AH5" s="13"/>
      <c r="AI5" s="12"/>
      <c r="AJ5" s="12"/>
      <c r="AK5" s="12"/>
      <c r="AL5" s="12"/>
      <c r="AM5" s="12"/>
      <c r="AN5" s="12"/>
      <c r="AO5" s="12"/>
      <c r="AP5" s="12"/>
    </row>
    <row r="6" spans="1:42">
      <c r="A6" t="s">
        <v>55</v>
      </c>
      <c r="B6" s="8"/>
      <c r="C6" s="8" t="s">
        <v>56</v>
      </c>
      <c r="D6" s="8" t="s">
        <v>57</v>
      </c>
      <c r="E6" s="8"/>
      <c r="F6" s="8"/>
      <c r="G6" s="8"/>
      <c r="H6" s="9"/>
      <c r="I6" s="9" t="e">
        <f>[1]!Tabel1[[#This Row],[Honorar]]*[1]!Tabel1[[#This Row],[Sandsynlighed]]</f>
        <v>#VALUE!</v>
      </c>
      <c r="J6" s="10"/>
      <c r="K6" s="1"/>
      <c r="L6" s="8" t="s">
        <v>58</v>
      </c>
      <c r="M6" s="11"/>
      <c r="N6" s="1"/>
      <c r="O6" s="10">
        <v>46279.611076388886</v>
      </c>
      <c r="P6" s="10"/>
      <c r="Q6" s="1"/>
      <c r="R6" s="8" t="s">
        <v>49</v>
      </c>
      <c r="S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" s="12" t="e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#VALUE!</v>
      </c>
      <c r="U6" s="12" t="e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#VALUE!</v>
      </c>
      <c r="V6" s="12" t="e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#VALUE!</v>
      </c>
      <c r="W6" s="12" t="e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#VALUE!</v>
      </c>
      <c r="X6" s="12" t="e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#VALUE!</v>
      </c>
      <c r="Y6" s="12" t="e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#VALUE!</v>
      </c>
      <c r="Z6" s="12" t="e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#VALUE!</v>
      </c>
      <c r="AA6" s="12" t="e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#VALUE!</v>
      </c>
      <c r="AB6" s="12" t="e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#VALUE!</v>
      </c>
      <c r="AC6" s="12" t="e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#VALUE!</v>
      </c>
      <c r="AD6" s="12" t="e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#VALUE!</v>
      </c>
      <c r="AE6" s="12" t="e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#VALUE!</v>
      </c>
      <c r="AF6" s="12" t="e">
        <f ca="1">[1]!Tabel1[[#This Row],[Vægtet Honorar]]*([1]!Tabel1[[#This Row],[Sidst redigeret]]&gt;TODAY()-40)*([1]!Tabel1[[#This Row],[Er i resplan?]]&lt;&gt;"Ja")*([1]!Tabel1[[#This Row],[Status]]="Pågår")</f>
        <v>#VALUE!</v>
      </c>
      <c r="AG6" s="12" t="e">
        <f ca="1">[1]!Tabel1[[#This Row],[Vægtet Honorar]]*([1]!Tabel1[[#This Row],[Sidst redigeret]]&gt;TODAY()-40)*([1]!Tabel1[[#This Row],[Status]]="Pågår")</f>
        <v>#VALUE!</v>
      </c>
      <c r="AH6" s="13"/>
      <c r="AI6" s="12"/>
      <c r="AJ6" s="12"/>
      <c r="AK6" s="12"/>
      <c r="AL6" s="12"/>
      <c r="AM6" s="12"/>
      <c r="AN6" s="12"/>
      <c r="AO6" s="12"/>
      <c r="AP6" s="12"/>
    </row>
    <row r="7" spans="1:42">
      <c r="A7" t="s">
        <v>59</v>
      </c>
      <c r="B7" s="8"/>
      <c r="C7" s="8" t="s">
        <v>60</v>
      </c>
      <c r="D7" s="8" t="s">
        <v>61</v>
      </c>
      <c r="E7" s="8"/>
      <c r="F7" s="8"/>
      <c r="G7" s="8"/>
      <c r="H7" s="9"/>
      <c r="I7" s="9">
        <f>[1]!Tabel1[[#This Row],[Honorar]]*[1]!Tabel1[[#This Row],[Sandsynlighed]]</f>
        <v>0</v>
      </c>
      <c r="J7" s="10"/>
      <c r="K7" s="1"/>
      <c r="L7" s="8" t="s">
        <v>62</v>
      </c>
      <c r="M7" s="11"/>
      <c r="N7" s="1"/>
      <c r="O7" s="10">
        <v>46279.611076388886</v>
      </c>
      <c r="P7" s="10"/>
      <c r="Q7" s="1"/>
      <c r="R7" s="8" t="s">
        <v>49</v>
      </c>
      <c r="S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7" s="12">
        <f ca="1">[1]!Tabel1[[#This Row],[Vægtet Honorar]]*([1]!Tabel1[[#This Row],[Sidst redigeret]]&gt;TODAY()-40)*([1]!Tabel1[[#This Row],[Er i resplan?]]&lt;&gt;"Ja")*([1]!Tabel1[[#This Row],[Status]]="Pågår")</f>
        <v>0</v>
      </c>
      <c r="AG7" s="12">
        <f ca="1">[1]!Tabel1[[#This Row],[Vægtet Honorar]]*([1]!Tabel1[[#This Row],[Sidst redigeret]]&gt;TODAY()-40)*([1]!Tabel1[[#This Row],[Status]]="Pågår")</f>
        <v>0</v>
      </c>
      <c r="AH7" s="13"/>
      <c r="AI7" s="12"/>
      <c r="AJ7" s="12"/>
      <c r="AK7" s="12"/>
      <c r="AL7" s="12"/>
      <c r="AM7" s="12"/>
      <c r="AN7" s="12"/>
      <c r="AO7" s="12"/>
      <c r="AP7" s="12"/>
    </row>
    <row r="8" spans="1:42">
      <c r="A8" t="s">
        <v>63</v>
      </c>
      <c r="B8" s="8"/>
      <c r="C8" s="8" t="s">
        <v>64</v>
      </c>
      <c r="D8" s="8" t="s">
        <v>65</v>
      </c>
      <c r="E8" s="8"/>
      <c r="F8" s="8"/>
      <c r="G8" s="8"/>
      <c r="H8" s="9"/>
      <c r="I8" s="9">
        <f>[1]!Tabel1[[#This Row],[Honorar]]*[1]!Tabel1[[#This Row],[Sandsynlighed]]</f>
        <v>0</v>
      </c>
      <c r="J8" s="10"/>
      <c r="K8" s="1"/>
      <c r="L8" s="8"/>
      <c r="M8" s="11"/>
      <c r="N8" s="1"/>
      <c r="O8" s="10">
        <v>46279.611076388886</v>
      </c>
      <c r="P8" s="10"/>
      <c r="Q8" s="1"/>
      <c r="R8" s="8" t="s">
        <v>49</v>
      </c>
      <c r="S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8" s="12">
        <f ca="1">[1]!Tabel1[[#This Row],[Vægtet Honorar]]*([1]!Tabel1[[#This Row],[Sidst redigeret]]&gt;TODAY()-40)*([1]!Tabel1[[#This Row],[Er i resplan?]]&lt;&gt;"Ja")*([1]!Tabel1[[#This Row],[Status]]="Pågår")</f>
        <v>0</v>
      </c>
      <c r="AG8" s="12">
        <f ca="1">[1]!Tabel1[[#This Row],[Vægtet Honorar]]*([1]!Tabel1[[#This Row],[Sidst redigeret]]&gt;TODAY()-40)*([1]!Tabel1[[#This Row],[Status]]="Pågår")</f>
        <v>0</v>
      </c>
      <c r="AH8" s="13"/>
      <c r="AI8" s="12"/>
      <c r="AJ8" s="12"/>
      <c r="AK8" s="12"/>
      <c r="AL8" s="12"/>
      <c r="AM8" s="12"/>
      <c r="AN8" s="12"/>
      <c r="AO8" s="12"/>
      <c r="AP8" s="12"/>
    </row>
    <row r="9" spans="1:42">
      <c r="A9" t="s">
        <v>66</v>
      </c>
      <c r="B9" s="8"/>
      <c r="C9" s="8" t="s">
        <v>67</v>
      </c>
      <c r="D9" s="8" t="s">
        <v>65</v>
      </c>
      <c r="E9" s="8"/>
      <c r="F9" s="8"/>
      <c r="G9" s="8"/>
      <c r="H9" s="9"/>
      <c r="I9" s="9">
        <f>[1]!Tabel1[[#This Row],[Honorar]]*[1]!Tabel1[[#This Row],[Sandsynlighed]]</f>
        <v>0</v>
      </c>
      <c r="J9" s="10"/>
      <c r="K9" s="1"/>
      <c r="L9" s="8"/>
      <c r="M9" s="11"/>
      <c r="N9" s="1"/>
      <c r="O9" s="10">
        <v>46279.611076388886</v>
      </c>
      <c r="P9" s="10"/>
      <c r="Q9" s="1"/>
      <c r="R9" s="8" t="s">
        <v>49</v>
      </c>
      <c r="S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9" s="12">
        <f ca="1">[1]!Tabel1[[#This Row],[Vægtet Honorar]]*([1]!Tabel1[[#This Row],[Sidst redigeret]]&gt;TODAY()-40)*([1]!Tabel1[[#This Row],[Er i resplan?]]&lt;&gt;"Ja")*([1]!Tabel1[[#This Row],[Status]]="Pågår")</f>
        <v>0</v>
      </c>
      <c r="AG9" s="12">
        <f ca="1">[1]!Tabel1[[#This Row],[Vægtet Honorar]]*([1]!Tabel1[[#This Row],[Sidst redigeret]]&gt;TODAY()-40)*([1]!Tabel1[[#This Row],[Status]]="Pågår")</f>
        <v>0</v>
      </c>
      <c r="AH9" s="13"/>
      <c r="AI9" s="12"/>
      <c r="AJ9" s="12"/>
      <c r="AK9" s="12"/>
      <c r="AL9" s="12"/>
      <c r="AM9" s="12"/>
      <c r="AN9" s="12"/>
      <c r="AO9" s="12"/>
      <c r="AP9" s="12"/>
    </row>
    <row r="10" spans="1:42">
      <c r="A10" t="s">
        <v>68</v>
      </c>
      <c r="B10" s="8"/>
      <c r="C10" s="8" t="s">
        <v>69</v>
      </c>
      <c r="D10" s="8" t="s">
        <v>70</v>
      </c>
      <c r="E10" s="8" t="s">
        <v>71</v>
      </c>
      <c r="F10" s="8"/>
      <c r="G10" s="8"/>
      <c r="H10" s="9"/>
      <c r="I10" s="9">
        <f>[1]!Tabel1[[#This Row],[Honorar]]*[1]!Tabel1[[#This Row],[Sandsynlighed]]</f>
        <v>0</v>
      </c>
      <c r="J10" s="10"/>
      <c r="K10" s="1"/>
      <c r="L10" s="8"/>
      <c r="M10" s="11"/>
      <c r="N10" s="1"/>
      <c r="O10" s="10">
        <v>46279.611076388886</v>
      </c>
      <c r="P10" s="10"/>
      <c r="Q10" s="1" t="s">
        <v>72</v>
      </c>
      <c r="R10" s="8" t="s">
        <v>49</v>
      </c>
      <c r="S1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0" s="12">
        <f ca="1">[1]!Tabel1[[#This Row],[Vægtet Honorar]]*([1]!Tabel1[[#This Row],[Sidst redigeret]]&gt;TODAY()-40)*([1]!Tabel1[[#This Row],[Er i resplan?]]&lt;&gt;"Ja")*([1]!Tabel1[[#This Row],[Status]]="Pågår")</f>
        <v>0</v>
      </c>
      <c r="AG10" s="12">
        <f ca="1">[1]!Tabel1[[#This Row],[Vægtet Honorar]]*([1]!Tabel1[[#This Row],[Sidst redigeret]]&gt;TODAY()-40)*([1]!Tabel1[[#This Row],[Status]]="Pågår")</f>
        <v>0</v>
      </c>
      <c r="AH10" s="13"/>
      <c r="AI10" s="12"/>
      <c r="AJ10" s="12"/>
      <c r="AK10" s="12"/>
      <c r="AL10" s="12"/>
      <c r="AM10" s="12"/>
      <c r="AN10" s="12"/>
      <c r="AO10" s="12"/>
      <c r="AP10" s="12"/>
    </row>
    <row r="11" spans="1:42">
      <c r="A11" t="s">
        <v>73</v>
      </c>
      <c r="B11" s="8"/>
      <c r="C11" s="8" t="s">
        <v>74</v>
      </c>
      <c r="D11" s="8" t="s">
        <v>70</v>
      </c>
      <c r="E11" s="8" t="s">
        <v>71</v>
      </c>
      <c r="F11" s="8"/>
      <c r="G11" s="8"/>
      <c r="H11" s="9"/>
      <c r="I11" s="9">
        <f>[1]!Tabel1[[#This Row],[Honorar]]*[1]!Tabel1[[#This Row],[Sandsynlighed]]</f>
        <v>0</v>
      </c>
      <c r="J11" s="10"/>
      <c r="K11" s="1"/>
      <c r="L11" s="8" t="s">
        <v>75</v>
      </c>
      <c r="M11" s="11"/>
      <c r="N11" s="1"/>
      <c r="O11" s="10">
        <v>46279.611076388886</v>
      </c>
      <c r="P11" s="10"/>
      <c r="Q11" s="1" t="s">
        <v>72</v>
      </c>
      <c r="R11" s="8" t="s">
        <v>75</v>
      </c>
      <c r="S1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1" s="12">
        <f ca="1">[1]!Tabel1[[#This Row],[Vægtet Honorar]]*([1]!Tabel1[[#This Row],[Sidst redigeret]]&gt;TODAY()-40)*([1]!Tabel1[[#This Row],[Er i resplan?]]&lt;&gt;"Ja")*([1]!Tabel1[[#This Row],[Status]]="Pågår")</f>
        <v>0</v>
      </c>
      <c r="AG11" s="12">
        <f ca="1">[1]!Tabel1[[#This Row],[Vægtet Honorar]]*([1]!Tabel1[[#This Row],[Sidst redigeret]]&gt;TODAY()-40)*([1]!Tabel1[[#This Row],[Status]]="Pågår")</f>
        <v>0</v>
      </c>
      <c r="AH11" s="13"/>
      <c r="AI11" s="12"/>
      <c r="AJ11" s="12"/>
      <c r="AK11" s="12"/>
      <c r="AL11" s="12"/>
      <c r="AM11" s="12"/>
      <c r="AN11" s="12"/>
      <c r="AO11" s="12"/>
      <c r="AP11" s="12"/>
    </row>
    <row r="12" spans="1:42">
      <c r="A12" t="s">
        <v>76</v>
      </c>
      <c r="B12" s="8"/>
      <c r="C12" s="8" t="s">
        <v>77</v>
      </c>
      <c r="D12" s="8"/>
      <c r="E12" s="8"/>
      <c r="F12" s="8"/>
      <c r="G12" s="8"/>
      <c r="H12" s="9"/>
      <c r="I12" s="9">
        <f>[1]!Tabel1[[#This Row],[Honorar]]*[1]!Tabel1[[#This Row],[Sandsynlighed]]</f>
        <v>0</v>
      </c>
      <c r="J12" s="10"/>
      <c r="K12" s="1"/>
      <c r="L12" s="8"/>
      <c r="M12" s="11"/>
      <c r="N12" s="1"/>
      <c r="O12" s="10">
        <v>46279.611076388886</v>
      </c>
      <c r="P12" s="10"/>
      <c r="Q12" s="1"/>
      <c r="R12" s="8" t="s">
        <v>49</v>
      </c>
      <c r="S1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2" s="12">
        <f ca="1">[1]!Tabel1[[#This Row],[Vægtet Honorar]]*([1]!Tabel1[[#This Row],[Sidst redigeret]]&gt;TODAY()-40)*([1]!Tabel1[[#This Row],[Er i resplan?]]&lt;&gt;"Ja")*([1]!Tabel1[[#This Row],[Status]]="Pågår")</f>
        <v>0</v>
      </c>
      <c r="AG12" s="12">
        <f ca="1">[1]!Tabel1[[#This Row],[Vægtet Honorar]]*([1]!Tabel1[[#This Row],[Sidst redigeret]]&gt;TODAY()-40)*([1]!Tabel1[[#This Row],[Status]]="Pågår")</f>
        <v>0</v>
      </c>
      <c r="AH12" s="13"/>
      <c r="AI12" s="12"/>
      <c r="AJ12" s="12"/>
      <c r="AK12" s="12"/>
      <c r="AL12" s="12"/>
      <c r="AM12" s="12"/>
      <c r="AN12" s="12"/>
      <c r="AO12" s="12"/>
      <c r="AP12" s="12"/>
    </row>
    <row r="13" spans="1:42">
      <c r="A13" t="s">
        <v>78</v>
      </c>
      <c r="B13" s="8"/>
      <c r="C13" s="8" t="s">
        <v>79</v>
      </c>
      <c r="D13" s="8" t="s">
        <v>57</v>
      </c>
      <c r="E13" s="8"/>
      <c r="F13" s="8"/>
      <c r="G13" s="8"/>
      <c r="H13" s="9"/>
      <c r="I13" s="9">
        <f>[1]!Tabel1[[#This Row],[Honorar]]*[1]!Tabel1[[#This Row],[Sandsynlighed]]</f>
        <v>0</v>
      </c>
      <c r="J13" s="10"/>
      <c r="K13" s="1"/>
      <c r="L13" s="8"/>
      <c r="M13" s="11"/>
      <c r="N13" s="1"/>
      <c r="O13" s="10">
        <v>46279.611076388886</v>
      </c>
      <c r="P13" s="10"/>
      <c r="Q13" s="1"/>
      <c r="R13" s="8" t="s">
        <v>49</v>
      </c>
      <c r="S1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3" s="12">
        <f ca="1">[1]!Tabel1[[#This Row],[Vægtet Honorar]]*([1]!Tabel1[[#This Row],[Sidst redigeret]]&gt;TODAY()-40)*([1]!Tabel1[[#This Row],[Er i resplan?]]&lt;&gt;"Ja")*([1]!Tabel1[[#This Row],[Status]]="Pågår")</f>
        <v>0</v>
      </c>
      <c r="AG13" s="12">
        <f ca="1">[1]!Tabel1[[#This Row],[Vægtet Honorar]]*([1]!Tabel1[[#This Row],[Sidst redigeret]]&gt;TODAY()-40)*([1]!Tabel1[[#This Row],[Status]]="Pågår")</f>
        <v>0</v>
      </c>
      <c r="AH13" s="13"/>
      <c r="AI13" s="12"/>
      <c r="AJ13" s="12"/>
      <c r="AK13" s="12"/>
      <c r="AL13" s="12"/>
      <c r="AM13" s="12"/>
      <c r="AN13" s="12"/>
      <c r="AO13" s="12"/>
      <c r="AP13" s="12"/>
    </row>
    <row r="14" spans="1:42">
      <c r="A14" t="s">
        <v>80</v>
      </c>
      <c r="B14" s="8"/>
      <c r="C14" s="8" t="s">
        <v>81</v>
      </c>
      <c r="D14" s="8" t="s">
        <v>57</v>
      </c>
      <c r="E14" s="8"/>
      <c r="F14" s="8"/>
      <c r="G14" s="8"/>
      <c r="H14" s="9"/>
      <c r="I14" s="9">
        <f>[1]!Tabel1[[#This Row],[Honorar]]*[1]!Tabel1[[#This Row],[Sandsynlighed]]</f>
        <v>0</v>
      </c>
      <c r="J14" s="10"/>
      <c r="K14" s="1"/>
      <c r="L14" s="8"/>
      <c r="M14" s="11"/>
      <c r="N14" s="1"/>
      <c r="O14" s="10">
        <v>46279.611076388886</v>
      </c>
      <c r="P14" s="10"/>
      <c r="Q14" s="1"/>
      <c r="R14" s="8" t="s">
        <v>49</v>
      </c>
      <c r="S1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4" s="12">
        <f ca="1">[1]!Tabel1[[#This Row],[Vægtet Honorar]]*([1]!Tabel1[[#This Row],[Sidst redigeret]]&gt;TODAY()-40)*([1]!Tabel1[[#This Row],[Er i resplan?]]&lt;&gt;"Ja")*([1]!Tabel1[[#This Row],[Status]]="Pågår")</f>
        <v>0</v>
      </c>
      <c r="AG14" s="12">
        <f ca="1">[1]!Tabel1[[#This Row],[Vægtet Honorar]]*([1]!Tabel1[[#This Row],[Sidst redigeret]]&gt;TODAY()-40)*([1]!Tabel1[[#This Row],[Status]]="Pågår")</f>
        <v>0</v>
      </c>
      <c r="AH14" s="13"/>
      <c r="AI14" s="12"/>
      <c r="AJ14" s="12"/>
      <c r="AK14" s="12"/>
      <c r="AL14" s="12"/>
      <c r="AM14" s="12"/>
      <c r="AN14" s="12"/>
      <c r="AO14" s="12"/>
      <c r="AP14" s="12"/>
    </row>
    <row r="15" spans="1:42">
      <c r="A15" t="s">
        <v>82</v>
      </c>
      <c r="B15" s="8"/>
      <c r="C15" s="8" t="s">
        <v>83</v>
      </c>
      <c r="D15" s="8" t="s">
        <v>84</v>
      </c>
      <c r="E15" s="8"/>
      <c r="F15" s="8"/>
      <c r="G15" s="8"/>
      <c r="H15" s="9"/>
      <c r="I15" s="9">
        <f>[1]!Tabel1[[#This Row],[Honorar]]*[1]!Tabel1[[#This Row],[Sandsynlighed]]</f>
        <v>0</v>
      </c>
      <c r="J15" s="10"/>
      <c r="K15" s="1"/>
      <c r="L15" s="8"/>
      <c r="M15" s="11"/>
      <c r="N15" s="1"/>
      <c r="O15" s="10">
        <v>46279.611076388886</v>
      </c>
      <c r="P15" s="10"/>
      <c r="Q15" s="1"/>
      <c r="R15" s="8" t="s">
        <v>49</v>
      </c>
      <c r="S1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5" s="12">
        <f ca="1">[1]!Tabel1[[#This Row],[Vægtet Honorar]]*([1]!Tabel1[[#This Row],[Sidst redigeret]]&gt;TODAY()-40)*([1]!Tabel1[[#This Row],[Er i resplan?]]&lt;&gt;"Ja")*([1]!Tabel1[[#This Row],[Status]]="Pågår")</f>
        <v>0</v>
      </c>
      <c r="AG15" s="12">
        <f ca="1">[1]!Tabel1[[#This Row],[Vægtet Honorar]]*([1]!Tabel1[[#This Row],[Sidst redigeret]]&gt;TODAY()-40)*([1]!Tabel1[[#This Row],[Status]]="Pågår")</f>
        <v>0</v>
      </c>
      <c r="AH15" s="13"/>
      <c r="AI15" s="12"/>
      <c r="AJ15" s="12"/>
      <c r="AK15" s="12"/>
      <c r="AL15" s="12"/>
      <c r="AM15" s="12"/>
      <c r="AN15" s="12"/>
      <c r="AO15" s="12"/>
      <c r="AP15" s="12"/>
    </row>
    <row r="16" spans="1:42">
      <c r="A16" t="s">
        <v>85</v>
      </c>
      <c r="B16" s="8"/>
      <c r="C16" s="8" t="s">
        <v>86</v>
      </c>
      <c r="D16" s="8" t="s">
        <v>87</v>
      </c>
      <c r="E16" s="8"/>
      <c r="F16" s="8"/>
      <c r="G16" s="8"/>
      <c r="H16" s="9"/>
      <c r="I16" s="9">
        <f>[1]!Tabel1[[#This Row],[Honorar]]*[1]!Tabel1[[#This Row],[Sandsynlighed]]</f>
        <v>0</v>
      </c>
      <c r="J16" s="10"/>
      <c r="K16" s="1"/>
      <c r="L16" s="8"/>
      <c r="M16" s="11"/>
      <c r="N16" s="1"/>
      <c r="O16" s="10">
        <v>46279.611076388886</v>
      </c>
      <c r="P16" s="10"/>
      <c r="Q16" s="1"/>
      <c r="R16" s="8" t="s">
        <v>49</v>
      </c>
      <c r="S1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6" s="12">
        <f ca="1">[1]!Tabel1[[#This Row],[Vægtet Honorar]]*([1]!Tabel1[[#This Row],[Sidst redigeret]]&gt;TODAY()-40)*([1]!Tabel1[[#This Row],[Er i resplan?]]&lt;&gt;"Ja")*([1]!Tabel1[[#This Row],[Status]]="Pågår")</f>
        <v>0</v>
      </c>
      <c r="AG16" s="12">
        <f ca="1">[1]!Tabel1[[#This Row],[Vægtet Honorar]]*([1]!Tabel1[[#This Row],[Sidst redigeret]]&gt;TODAY()-40)*([1]!Tabel1[[#This Row],[Status]]="Pågår")</f>
        <v>0</v>
      </c>
      <c r="AH16" s="13"/>
      <c r="AI16" s="12"/>
      <c r="AJ16" s="12"/>
      <c r="AK16" s="12"/>
      <c r="AL16" s="12"/>
      <c r="AM16" s="12"/>
      <c r="AN16" s="12"/>
      <c r="AO16" s="12"/>
      <c r="AP16" s="12"/>
    </row>
    <row r="17" spans="1:42">
      <c r="A17" t="s">
        <v>85</v>
      </c>
      <c r="B17" s="8"/>
      <c r="C17" s="8" t="s">
        <v>88</v>
      </c>
      <c r="D17" s="8"/>
      <c r="E17" s="8"/>
      <c r="F17" s="8"/>
      <c r="G17" s="8"/>
      <c r="H17" s="9"/>
      <c r="I17" s="9">
        <f>[1]!Tabel1[[#This Row],[Honorar]]*[1]!Tabel1[[#This Row],[Sandsynlighed]]</f>
        <v>0</v>
      </c>
      <c r="J17" s="10"/>
      <c r="K17" s="1"/>
      <c r="L17" s="8"/>
      <c r="M17" s="11"/>
      <c r="N17" s="1"/>
      <c r="O17" s="10">
        <v>46279.611076388886</v>
      </c>
      <c r="P17" s="10"/>
      <c r="Q17" s="1"/>
      <c r="R17" s="8" t="s">
        <v>49</v>
      </c>
      <c r="S1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7" s="12">
        <f ca="1">[1]!Tabel1[[#This Row],[Vægtet Honorar]]*([1]!Tabel1[[#This Row],[Sidst redigeret]]&gt;TODAY()-40)*([1]!Tabel1[[#This Row],[Er i resplan?]]&lt;&gt;"Ja")*([1]!Tabel1[[#This Row],[Status]]="Pågår")</f>
        <v>0</v>
      </c>
      <c r="AG17" s="12">
        <f ca="1">[1]!Tabel1[[#This Row],[Vægtet Honorar]]*([1]!Tabel1[[#This Row],[Sidst redigeret]]&gt;TODAY()-40)*([1]!Tabel1[[#This Row],[Status]]="Pågår")</f>
        <v>0</v>
      </c>
      <c r="AH17" s="13"/>
      <c r="AI17" s="12"/>
      <c r="AJ17" s="12"/>
      <c r="AK17" s="12"/>
      <c r="AL17" s="12"/>
      <c r="AM17" s="12"/>
      <c r="AN17" s="12"/>
      <c r="AO17" s="12"/>
      <c r="AP17" s="12"/>
    </row>
    <row r="18" spans="1:42">
      <c r="A18" t="s">
        <v>89</v>
      </c>
      <c r="B18" s="8"/>
      <c r="C18" s="8" t="s">
        <v>90</v>
      </c>
      <c r="D18" s="8"/>
      <c r="E18" s="8"/>
      <c r="F18" s="8"/>
      <c r="G18" s="8"/>
      <c r="H18" s="9"/>
      <c r="I18" s="9">
        <f>[1]!Tabel1[[#This Row],[Honorar]]*[1]!Tabel1[[#This Row],[Sandsynlighed]]</f>
        <v>0</v>
      </c>
      <c r="J18" s="10"/>
      <c r="K18" s="1"/>
      <c r="L18" s="8"/>
      <c r="M18" s="11"/>
      <c r="N18" s="1"/>
      <c r="O18" s="10">
        <v>46279.611076388886</v>
      </c>
      <c r="P18" s="10"/>
      <c r="Q18" s="1"/>
      <c r="R18" s="8" t="s">
        <v>49</v>
      </c>
      <c r="S1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8" s="12">
        <f ca="1">[1]!Tabel1[[#This Row],[Vægtet Honorar]]*([1]!Tabel1[[#This Row],[Sidst redigeret]]&gt;TODAY()-40)*([1]!Tabel1[[#This Row],[Er i resplan?]]&lt;&gt;"Ja")*([1]!Tabel1[[#This Row],[Status]]="Pågår")</f>
        <v>0</v>
      </c>
      <c r="AG18" s="12">
        <f ca="1">[1]!Tabel1[[#This Row],[Vægtet Honorar]]*([1]!Tabel1[[#This Row],[Sidst redigeret]]&gt;TODAY()-40)*([1]!Tabel1[[#This Row],[Status]]="Pågår")</f>
        <v>0</v>
      </c>
      <c r="AH18" s="13"/>
      <c r="AI18" s="12"/>
      <c r="AJ18" s="12"/>
      <c r="AK18" s="12"/>
      <c r="AL18" s="12"/>
      <c r="AM18" s="12"/>
      <c r="AN18" s="12"/>
      <c r="AO18" s="12"/>
      <c r="AP18" s="12"/>
    </row>
    <row r="19" spans="1:42">
      <c r="A19" t="s">
        <v>91</v>
      </c>
      <c r="B19" s="8"/>
      <c r="C19" s="8" t="s">
        <v>92</v>
      </c>
      <c r="D19" s="8" t="s">
        <v>93</v>
      </c>
      <c r="E19" s="8" t="s">
        <v>94</v>
      </c>
      <c r="F19" s="8" t="s">
        <v>95</v>
      </c>
      <c r="G19" s="8" t="s">
        <v>95</v>
      </c>
      <c r="H19" s="9">
        <v>2000000</v>
      </c>
      <c r="I19" s="9">
        <f>[1]!Tabel1[[#This Row],[Honorar]]*[1]!Tabel1[[#This Row],[Sandsynlighed]]</f>
        <v>0</v>
      </c>
      <c r="J19" s="10">
        <v>44927</v>
      </c>
      <c r="K19" s="10">
        <v>45291</v>
      </c>
      <c r="L19" s="8"/>
      <c r="M19" s="11">
        <v>1</v>
      </c>
      <c r="N19" s="14">
        <v>45171.514305555553</v>
      </c>
      <c r="O19" s="10">
        <v>46279.611076388886</v>
      </c>
      <c r="P19" s="1" t="s">
        <v>72</v>
      </c>
      <c r="Q19" s="1"/>
      <c r="R19" s="8" t="s">
        <v>47</v>
      </c>
      <c r="S1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9" s="12">
        <f ca="1">[1]!Tabel1[[#This Row],[Vægtet Honorar]]*([1]!Tabel1[[#This Row],[Sidst redigeret]]&gt;TODAY()-40)*([1]!Tabel1[[#This Row],[Er i resplan?]]&lt;&gt;"Ja")*([1]!Tabel1[[#This Row],[Status]]="Pågår")</f>
        <v>0</v>
      </c>
      <c r="AG19" s="12">
        <f ca="1">[1]!Tabel1[[#This Row],[Vægtet Honorar]]*([1]!Tabel1[[#This Row],[Sidst redigeret]]&gt;TODAY()-40)*([1]!Tabel1[[#This Row],[Status]]="Pågår")</f>
        <v>0</v>
      </c>
      <c r="AH19" s="13"/>
      <c r="AI19" s="12"/>
      <c r="AJ19" s="12"/>
      <c r="AK19" s="12"/>
      <c r="AL19" s="12"/>
      <c r="AM19" s="12"/>
      <c r="AN19" s="12"/>
      <c r="AO19" s="12"/>
      <c r="AP19" s="12"/>
    </row>
    <row r="20" spans="1:42">
      <c r="A20" t="s">
        <v>96</v>
      </c>
      <c r="B20" s="8"/>
      <c r="C20" s="8" t="s">
        <v>97</v>
      </c>
      <c r="D20" s="8"/>
      <c r="E20" s="8"/>
      <c r="F20" s="8"/>
      <c r="G20" s="8"/>
      <c r="H20" s="9"/>
      <c r="I20" s="9">
        <f>[1]!Tabel1[[#This Row],[Honorar]]*[1]!Tabel1[[#This Row],[Sandsynlighed]]</f>
        <v>0</v>
      </c>
      <c r="J20" s="10"/>
      <c r="K20" s="1"/>
      <c r="L20" s="8"/>
      <c r="M20" s="11"/>
      <c r="N20" s="1"/>
      <c r="O20" s="10">
        <v>46279.611076388886</v>
      </c>
      <c r="P20" s="10"/>
      <c r="Q20" s="1"/>
      <c r="R20" s="8" t="s">
        <v>49</v>
      </c>
      <c r="S2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0" s="12">
        <f ca="1">[1]!Tabel1[[#This Row],[Vægtet Honorar]]*([1]!Tabel1[[#This Row],[Sidst redigeret]]&gt;TODAY()-40)*([1]!Tabel1[[#This Row],[Er i resplan?]]&lt;&gt;"Ja")*([1]!Tabel1[[#This Row],[Status]]="Pågår")</f>
        <v>0</v>
      </c>
      <c r="AG20" s="12">
        <f ca="1">[1]!Tabel1[[#This Row],[Vægtet Honorar]]*([1]!Tabel1[[#This Row],[Sidst redigeret]]&gt;TODAY()-40)*([1]!Tabel1[[#This Row],[Status]]="Pågår")</f>
        <v>0</v>
      </c>
      <c r="AH20" s="13"/>
      <c r="AI20" s="12"/>
      <c r="AJ20" s="12"/>
      <c r="AK20" s="12"/>
      <c r="AL20" s="12"/>
      <c r="AM20" s="12"/>
      <c r="AN20" s="12"/>
      <c r="AO20" s="12"/>
      <c r="AP20" s="12"/>
    </row>
    <row r="21" spans="1:42">
      <c r="A21" t="s">
        <v>98</v>
      </c>
      <c r="B21" s="8"/>
      <c r="C21" s="8" t="s">
        <v>99</v>
      </c>
      <c r="D21" s="8"/>
      <c r="E21" s="8"/>
      <c r="F21" s="8"/>
      <c r="G21" s="8"/>
      <c r="H21" s="9"/>
      <c r="I21" s="9">
        <f>[1]!Tabel1[[#This Row],[Honorar]]*[1]!Tabel1[[#This Row],[Sandsynlighed]]</f>
        <v>0</v>
      </c>
      <c r="J21" s="10"/>
      <c r="K21" s="1"/>
      <c r="L21" s="8"/>
      <c r="M21" s="11"/>
      <c r="N21" s="1"/>
      <c r="O21" s="10">
        <v>46279.611076388886</v>
      </c>
      <c r="P21" s="10"/>
      <c r="Q21" s="1"/>
      <c r="R21" s="8" t="s">
        <v>49</v>
      </c>
      <c r="S2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1" s="12">
        <f ca="1">[1]!Tabel1[[#This Row],[Vægtet Honorar]]*([1]!Tabel1[[#This Row],[Sidst redigeret]]&gt;TODAY()-40)*([1]!Tabel1[[#This Row],[Er i resplan?]]&lt;&gt;"Ja")*([1]!Tabel1[[#This Row],[Status]]="Pågår")</f>
        <v>0</v>
      </c>
      <c r="AG21" s="12">
        <f ca="1">[1]!Tabel1[[#This Row],[Vægtet Honorar]]*([1]!Tabel1[[#This Row],[Sidst redigeret]]&gt;TODAY()-40)*([1]!Tabel1[[#This Row],[Status]]="Pågår")</f>
        <v>0</v>
      </c>
      <c r="AH21" s="13"/>
      <c r="AI21" s="12"/>
      <c r="AJ21" s="12"/>
      <c r="AK21" s="12"/>
      <c r="AL21" s="12"/>
      <c r="AM21" s="12"/>
      <c r="AN21" s="12"/>
      <c r="AO21" s="12"/>
      <c r="AP21" s="12"/>
    </row>
    <row r="22" spans="1:42">
      <c r="A22" t="s">
        <v>100</v>
      </c>
      <c r="B22" s="8"/>
      <c r="C22" s="8" t="s">
        <v>101</v>
      </c>
      <c r="D22" s="8" t="s">
        <v>70</v>
      </c>
      <c r="E22" s="8" t="s">
        <v>102</v>
      </c>
      <c r="F22" s="8"/>
      <c r="G22" s="8"/>
      <c r="H22" s="9">
        <v>800000</v>
      </c>
      <c r="I22" s="9">
        <f>[1]!Tabel1[[#This Row],[Honorar]]*[1]!Tabel1[[#This Row],[Sandsynlighed]]</f>
        <v>0</v>
      </c>
      <c r="J22" s="10" t="s">
        <v>103</v>
      </c>
      <c r="K22" s="1">
        <v>2023</v>
      </c>
      <c r="L22" s="8" t="s">
        <v>104</v>
      </c>
      <c r="M22" s="11">
        <v>1</v>
      </c>
      <c r="N22" s="1" t="s">
        <v>105</v>
      </c>
      <c r="O22" s="10">
        <v>46279.611076388886</v>
      </c>
      <c r="P22" s="10"/>
      <c r="Q22" s="1" t="s">
        <v>46</v>
      </c>
      <c r="R22" s="8" t="s">
        <v>47</v>
      </c>
      <c r="S2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2" s="12">
        <f ca="1">[1]!Tabel1[[#This Row],[Vægtet Honorar]]*([1]!Tabel1[[#This Row],[Sidst redigeret]]&gt;TODAY()-40)*([1]!Tabel1[[#This Row],[Er i resplan?]]&lt;&gt;"Ja")*([1]!Tabel1[[#This Row],[Status]]="Pågår")</f>
        <v>0</v>
      </c>
      <c r="AG22" s="12">
        <f ca="1">[1]!Tabel1[[#This Row],[Vægtet Honorar]]*([1]!Tabel1[[#This Row],[Sidst redigeret]]&gt;TODAY()-40)*([1]!Tabel1[[#This Row],[Status]]="Pågår")</f>
        <v>0</v>
      </c>
      <c r="AH22" s="13"/>
      <c r="AI22" s="12"/>
      <c r="AJ22" s="12"/>
      <c r="AK22" s="12"/>
      <c r="AL22" s="12"/>
      <c r="AM22" s="12"/>
      <c r="AN22" s="12"/>
      <c r="AO22" s="12"/>
      <c r="AP22" s="12"/>
    </row>
    <row r="23" spans="1:42">
      <c r="A23" t="s">
        <v>100</v>
      </c>
      <c r="B23" s="8"/>
      <c r="C23" s="8" t="s">
        <v>106</v>
      </c>
      <c r="D23" s="8"/>
      <c r="E23" s="8"/>
      <c r="F23" s="8"/>
      <c r="G23" s="8"/>
      <c r="H23" s="9"/>
      <c r="I23" s="9">
        <f>[1]!Tabel1[[#This Row],[Honorar]]*[1]!Tabel1[[#This Row],[Sandsynlighed]]</f>
        <v>0</v>
      </c>
      <c r="J23" s="10"/>
      <c r="K23" s="1"/>
      <c r="L23" s="8"/>
      <c r="M23" s="11"/>
      <c r="N23" s="1"/>
      <c r="O23" s="10">
        <v>46279.611076388886</v>
      </c>
      <c r="P23" s="10"/>
      <c r="Q23" s="1"/>
      <c r="R23" s="8" t="s">
        <v>49</v>
      </c>
      <c r="S2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3" s="12">
        <f ca="1">[1]!Tabel1[[#This Row],[Vægtet Honorar]]*([1]!Tabel1[[#This Row],[Sidst redigeret]]&gt;TODAY()-40)*([1]!Tabel1[[#This Row],[Er i resplan?]]&lt;&gt;"Ja")*([1]!Tabel1[[#This Row],[Status]]="Pågår")</f>
        <v>0</v>
      </c>
      <c r="AG23" s="12">
        <f ca="1">[1]!Tabel1[[#This Row],[Vægtet Honorar]]*([1]!Tabel1[[#This Row],[Sidst redigeret]]&gt;TODAY()-40)*([1]!Tabel1[[#This Row],[Status]]="Pågår")</f>
        <v>0</v>
      </c>
      <c r="AH23" s="13"/>
      <c r="AI23" s="12"/>
      <c r="AJ23" s="12"/>
      <c r="AK23" s="12"/>
      <c r="AL23" s="12"/>
      <c r="AM23" s="12"/>
      <c r="AN23" s="12"/>
      <c r="AO23" s="12"/>
      <c r="AP23" s="12"/>
    </row>
    <row r="24" spans="1:42">
      <c r="A24" t="s">
        <v>107</v>
      </c>
      <c r="B24" s="8"/>
      <c r="C24" s="8" t="s">
        <v>108</v>
      </c>
      <c r="D24" s="8" t="s">
        <v>65</v>
      </c>
      <c r="E24" s="8"/>
      <c r="F24" s="8"/>
      <c r="G24" s="8"/>
      <c r="H24" s="9"/>
      <c r="I24" s="9">
        <f>[1]!Tabel1[[#This Row],[Honorar]]*[1]!Tabel1[[#This Row],[Sandsynlighed]]</f>
        <v>2000000</v>
      </c>
      <c r="J24" s="10"/>
      <c r="K24" s="1"/>
      <c r="L24" s="8"/>
      <c r="M24" s="11"/>
      <c r="N24" s="1"/>
      <c r="O24" s="10">
        <v>46279.611076388886</v>
      </c>
      <c r="P24" s="10"/>
      <c r="Q24" s="1"/>
      <c r="R24" s="8" t="s">
        <v>49</v>
      </c>
      <c r="S2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4" s="12">
        <f ca="1">[1]!Tabel1[[#This Row],[Vægtet Honorar]]*([1]!Tabel1[[#This Row],[Sidst redigeret]]&gt;TODAY()-40)*([1]!Tabel1[[#This Row],[Er i resplan?]]&lt;&gt;"Ja")*([1]!Tabel1[[#This Row],[Status]]="Pågår")</f>
        <v>0</v>
      </c>
      <c r="AG24" s="12">
        <f ca="1">[1]!Tabel1[[#This Row],[Vægtet Honorar]]*([1]!Tabel1[[#This Row],[Sidst redigeret]]&gt;TODAY()-40)*([1]!Tabel1[[#This Row],[Status]]="Pågår")</f>
        <v>0</v>
      </c>
      <c r="AH24" s="13"/>
      <c r="AI24" s="12"/>
      <c r="AJ24" s="12"/>
      <c r="AK24" s="12"/>
      <c r="AL24" s="12"/>
      <c r="AM24" s="12"/>
      <c r="AN24" s="12"/>
      <c r="AO24" s="12"/>
      <c r="AP24" s="12"/>
    </row>
    <row r="25" spans="1:42">
      <c r="A25" t="s">
        <v>109</v>
      </c>
      <c r="B25" s="8"/>
      <c r="C25" s="8" t="s">
        <v>110</v>
      </c>
      <c r="D25" s="8" t="s">
        <v>70</v>
      </c>
      <c r="E25" s="8" t="s">
        <v>102</v>
      </c>
      <c r="F25" s="8" t="s">
        <v>111</v>
      </c>
      <c r="G25" s="8"/>
      <c r="H25" s="9">
        <v>250000</v>
      </c>
      <c r="I25" s="9">
        <f>[1]!Tabel1[[#This Row],[Honorar]]*[1]!Tabel1[[#This Row],[Sandsynlighed]]</f>
        <v>0</v>
      </c>
      <c r="J25" s="10" t="s">
        <v>103</v>
      </c>
      <c r="K25" s="1">
        <v>2023</v>
      </c>
      <c r="L25" s="8" t="s">
        <v>104</v>
      </c>
      <c r="M25" s="11">
        <v>1</v>
      </c>
      <c r="N25" s="1" t="s">
        <v>105</v>
      </c>
      <c r="O25" s="10">
        <v>46279.611076388886</v>
      </c>
      <c r="P25" s="10"/>
      <c r="Q25" s="1" t="s">
        <v>46</v>
      </c>
      <c r="R25" s="8" t="s">
        <v>47</v>
      </c>
      <c r="S2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5" s="12">
        <f ca="1">[1]!Tabel1[[#This Row],[Vægtet Honorar]]*([1]!Tabel1[[#This Row],[Sidst redigeret]]&gt;TODAY()-40)*([1]!Tabel1[[#This Row],[Er i resplan?]]&lt;&gt;"Ja")*([1]!Tabel1[[#This Row],[Status]]="Pågår")</f>
        <v>0</v>
      </c>
      <c r="AG25" s="12">
        <f ca="1">[1]!Tabel1[[#This Row],[Vægtet Honorar]]*([1]!Tabel1[[#This Row],[Sidst redigeret]]&gt;TODAY()-40)*([1]!Tabel1[[#This Row],[Status]]="Pågår")</f>
        <v>0</v>
      </c>
      <c r="AH25" s="13"/>
      <c r="AI25" s="12"/>
      <c r="AJ25" s="12"/>
      <c r="AK25" s="12"/>
      <c r="AL25" s="12"/>
      <c r="AM25" s="12"/>
      <c r="AN25" s="12"/>
      <c r="AO25" s="12"/>
      <c r="AP25" s="12"/>
    </row>
    <row r="26" spans="1:42">
      <c r="A26" t="s">
        <v>112</v>
      </c>
      <c r="B26" s="8"/>
      <c r="C26" s="8" t="s">
        <v>113</v>
      </c>
      <c r="D26" s="8" t="s">
        <v>65</v>
      </c>
      <c r="E26" s="8"/>
      <c r="F26" s="8"/>
      <c r="G26" s="8"/>
      <c r="H26" s="9"/>
      <c r="I26" s="9">
        <f>[1]!Tabel1[[#This Row],[Honorar]]*[1]!Tabel1[[#This Row],[Sandsynlighed]]</f>
        <v>0</v>
      </c>
      <c r="J26" s="10"/>
      <c r="K26" s="1"/>
      <c r="L26" s="8"/>
      <c r="M26" s="11"/>
      <c r="N26" s="1"/>
      <c r="O26" s="10">
        <v>46279.611076388886</v>
      </c>
      <c r="P26" s="10"/>
      <c r="Q26" s="1"/>
      <c r="R26" s="8" t="s">
        <v>49</v>
      </c>
      <c r="S2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6" s="12">
        <f ca="1">[1]!Tabel1[[#This Row],[Vægtet Honorar]]*([1]!Tabel1[[#This Row],[Sidst redigeret]]&gt;TODAY()-40)*([1]!Tabel1[[#This Row],[Er i resplan?]]&lt;&gt;"Ja")*([1]!Tabel1[[#This Row],[Status]]="Pågår")</f>
        <v>0</v>
      </c>
      <c r="AG26" s="12">
        <f ca="1">[1]!Tabel1[[#This Row],[Vægtet Honorar]]*([1]!Tabel1[[#This Row],[Sidst redigeret]]&gt;TODAY()-40)*([1]!Tabel1[[#This Row],[Status]]="Pågår")</f>
        <v>0</v>
      </c>
      <c r="AH26" s="13"/>
      <c r="AI26" s="12"/>
      <c r="AJ26" s="12"/>
      <c r="AK26" s="12"/>
      <c r="AL26" s="12"/>
      <c r="AM26" s="12"/>
      <c r="AN26" s="12"/>
      <c r="AO26" s="12"/>
      <c r="AP26" s="12"/>
    </row>
    <row r="27" spans="1:42">
      <c r="A27" t="s">
        <v>114</v>
      </c>
      <c r="B27" s="8"/>
      <c r="C27" s="8" t="s">
        <v>115</v>
      </c>
      <c r="D27" s="8" t="s">
        <v>116</v>
      </c>
      <c r="E27" s="8"/>
      <c r="F27" s="8"/>
      <c r="G27" s="8"/>
      <c r="H27" s="9"/>
      <c r="I27" s="9">
        <f>[1]!Tabel1[[#This Row],[Honorar]]*[1]!Tabel1[[#This Row],[Sandsynlighed]]</f>
        <v>800000</v>
      </c>
      <c r="J27" s="10"/>
      <c r="K27" s="1"/>
      <c r="L27" s="8" t="s">
        <v>75</v>
      </c>
      <c r="M27" s="11"/>
      <c r="N27" s="1"/>
      <c r="O27" s="10">
        <v>46279.611076388886</v>
      </c>
      <c r="P27" s="10"/>
      <c r="Q27" s="1" t="s">
        <v>72</v>
      </c>
      <c r="R27" s="8" t="s">
        <v>49</v>
      </c>
      <c r="S2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7" s="12">
        <f ca="1">[1]!Tabel1[[#This Row],[Vægtet Honorar]]*([1]!Tabel1[[#This Row],[Sidst redigeret]]&gt;TODAY()-40)*([1]!Tabel1[[#This Row],[Er i resplan?]]&lt;&gt;"Ja")*([1]!Tabel1[[#This Row],[Status]]="Pågår")</f>
        <v>0</v>
      </c>
      <c r="AG27" s="12">
        <f ca="1">[1]!Tabel1[[#This Row],[Vægtet Honorar]]*([1]!Tabel1[[#This Row],[Sidst redigeret]]&gt;TODAY()-40)*([1]!Tabel1[[#This Row],[Status]]="Pågår")</f>
        <v>0</v>
      </c>
      <c r="AH27" s="13"/>
      <c r="AI27" s="12"/>
      <c r="AJ27" s="12"/>
      <c r="AK27" s="12"/>
      <c r="AL27" s="12"/>
      <c r="AM27" s="12"/>
      <c r="AN27" s="12"/>
      <c r="AO27" s="12"/>
      <c r="AP27" s="12"/>
    </row>
    <row r="28" spans="1:42">
      <c r="A28" t="s">
        <v>117</v>
      </c>
      <c r="B28" s="8"/>
      <c r="C28" s="8" t="s">
        <v>118</v>
      </c>
      <c r="D28" s="8" t="s">
        <v>119</v>
      </c>
      <c r="E28" s="8" t="s">
        <v>120</v>
      </c>
      <c r="F28" s="8"/>
      <c r="G28" s="8"/>
      <c r="H28" s="9"/>
      <c r="I28" s="9">
        <f>[1]!Tabel1[[#This Row],[Honorar]]*[1]!Tabel1[[#This Row],[Sandsynlighed]]</f>
        <v>0</v>
      </c>
      <c r="J28" s="10"/>
      <c r="K28" s="1"/>
      <c r="L28" s="8" t="s">
        <v>104</v>
      </c>
      <c r="M28" s="11"/>
      <c r="N28" s="1"/>
      <c r="O28" s="10">
        <v>46279.611076388886</v>
      </c>
      <c r="P28" s="10"/>
      <c r="Q28" s="1"/>
      <c r="R28" s="8" t="s">
        <v>47</v>
      </c>
      <c r="S2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8" s="12">
        <f ca="1">[1]!Tabel1[[#This Row],[Vægtet Honorar]]*([1]!Tabel1[[#This Row],[Sidst redigeret]]&gt;TODAY()-40)*([1]!Tabel1[[#This Row],[Er i resplan?]]&lt;&gt;"Ja")*([1]!Tabel1[[#This Row],[Status]]="Pågår")</f>
        <v>0</v>
      </c>
      <c r="AG28" s="12">
        <f ca="1">[1]!Tabel1[[#This Row],[Vægtet Honorar]]*([1]!Tabel1[[#This Row],[Sidst redigeret]]&gt;TODAY()-40)*([1]!Tabel1[[#This Row],[Status]]="Pågår")</f>
        <v>0</v>
      </c>
      <c r="AH28" s="13"/>
      <c r="AI28" s="12"/>
      <c r="AJ28" s="12"/>
      <c r="AK28" s="12"/>
      <c r="AL28" s="12"/>
      <c r="AM28" s="12"/>
      <c r="AN28" s="12"/>
      <c r="AO28" s="12"/>
      <c r="AP28" s="12"/>
    </row>
    <row r="29" spans="1:42">
      <c r="A29" t="s">
        <v>121</v>
      </c>
      <c r="B29" s="8"/>
      <c r="C29" s="8" t="s">
        <v>122</v>
      </c>
      <c r="D29" s="8" t="s">
        <v>119</v>
      </c>
      <c r="E29" s="8" t="s">
        <v>120</v>
      </c>
      <c r="F29" s="8"/>
      <c r="G29" s="8"/>
      <c r="H29" s="9"/>
      <c r="I29" s="9">
        <f>[1]!Tabel1[[#This Row],[Honorar]]*[1]!Tabel1[[#This Row],[Sandsynlighed]]</f>
        <v>0</v>
      </c>
      <c r="J29" s="10"/>
      <c r="K29" s="1"/>
      <c r="L29" s="8" t="s">
        <v>104</v>
      </c>
      <c r="M29" s="11">
        <v>1</v>
      </c>
      <c r="N29" s="1"/>
      <c r="O29" s="10">
        <v>46279.611076388886</v>
      </c>
      <c r="P29" s="10"/>
      <c r="Q29" s="1"/>
      <c r="R29" s="8" t="s">
        <v>47</v>
      </c>
      <c r="S2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9" s="12">
        <f ca="1">[1]!Tabel1[[#This Row],[Vægtet Honorar]]*([1]!Tabel1[[#This Row],[Sidst redigeret]]&gt;TODAY()-40)*([1]!Tabel1[[#This Row],[Er i resplan?]]&lt;&gt;"Ja")*([1]!Tabel1[[#This Row],[Status]]="Pågår")</f>
        <v>0</v>
      </c>
      <c r="AG29" s="12">
        <f ca="1">[1]!Tabel1[[#This Row],[Vægtet Honorar]]*([1]!Tabel1[[#This Row],[Sidst redigeret]]&gt;TODAY()-40)*([1]!Tabel1[[#This Row],[Status]]="Pågår")</f>
        <v>0</v>
      </c>
      <c r="AH29" s="13"/>
      <c r="AI29" s="12"/>
      <c r="AJ29" s="12"/>
      <c r="AK29" s="12"/>
      <c r="AL29" s="12"/>
      <c r="AM29" s="12"/>
      <c r="AN29" s="12"/>
      <c r="AO29" s="12"/>
      <c r="AP29" s="12"/>
    </row>
    <row r="30" spans="1:42">
      <c r="A30" t="s">
        <v>123</v>
      </c>
      <c r="B30" s="8"/>
      <c r="C30" s="8" t="s">
        <v>124</v>
      </c>
      <c r="D30" s="8" t="s">
        <v>125</v>
      </c>
      <c r="E30" s="8" t="s">
        <v>71</v>
      </c>
      <c r="F30" s="8"/>
      <c r="G30" s="8"/>
      <c r="H30" s="9"/>
      <c r="I30" s="9">
        <f>[1]!Tabel1[[#This Row],[Honorar]]*[1]!Tabel1[[#This Row],[Sandsynlighed]]</f>
        <v>250000</v>
      </c>
      <c r="J30" s="10"/>
      <c r="K30" s="1"/>
      <c r="L30" s="8" t="s">
        <v>126</v>
      </c>
      <c r="M30" s="11"/>
      <c r="N30" s="1"/>
      <c r="O30" s="10">
        <v>46279.611076388886</v>
      </c>
      <c r="P30" s="10"/>
      <c r="Q30" s="1" t="s">
        <v>72</v>
      </c>
      <c r="R30" s="8" t="s">
        <v>75</v>
      </c>
      <c r="S3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0" s="12">
        <f ca="1">[1]!Tabel1[[#This Row],[Vægtet Honorar]]*([1]!Tabel1[[#This Row],[Sidst redigeret]]&gt;TODAY()-40)*([1]!Tabel1[[#This Row],[Er i resplan?]]&lt;&gt;"Ja")*([1]!Tabel1[[#This Row],[Status]]="Pågår")</f>
        <v>0</v>
      </c>
      <c r="AG30" s="12">
        <f ca="1">[1]!Tabel1[[#This Row],[Vægtet Honorar]]*([1]!Tabel1[[#This Row],[Sidst redigeret]]&gt;TODAY()-40)*([1]!Tabel1[[#This Row],[Status]]="Pågår")</f>
        <v>0</v>
      </c>
      <c r="AH30" s="13"/>
      <c r="AI30" s="12"/>
      <c r="AJ30" s="12"/>
      <c r="AK30" s="12"/>
      <c r="AL30" s="12"/>
      <c r="AM30" s="12"/>
      <c r="AN30" s="12"/>
      <c r="AO30" s="12"/>
      <c r="AP30" s="12"/>
    </row>
    <row r="31" spans="1:42">
      <c r="A31" t="s">
        <v>123</v>
      </c>
      <c r="B31" s="8"/>
      <c r="C31" s="8" t="s">
        <v>127</v>
      </c>
      <c r="D31" s="8" t="s">
        <v>57</v>
      </c>
      <c r="E31" s="8"/>
      <c r="F31" s="8"/>
      <c r="G31" s="8"/>
      <c r="H31" s="9"/>
      <c r="I31" s="9">
        <f>[1]!Tabel1[[#This Row],[Honorar]]*[1]!Tabel1[[#This Row],[Sandsynlighed]]</f>
        <v>0</v>
      </c>
      <c r="J31" s="10"/>
      <c r="K31" s="1"/>
      <c r="L31" s="8"/>
      <c r="M31" s="11"/>
      <c r="N31" s="1"/>
      <c r="O31" s="10">
        <v>46279.611076388886</v>
      </c>
      <c r="P31" s="10"/>
      <c r="Q31" s="1"/>
      <c r="R31" s="8" t="s">
        <v>49</v>
      </c>
      <c r="S3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1" s="12">
        <f ca="1">[1]!Tabel1[[#This Row],[Vægtet Honorar]]*([1]!Tabel1[[#This Row],[Sidst redigeret]]&gt;TODAY()-40)*([1]!Tabel1[[#This Row],[Er i resplan?]]&lt;&gt;"Ja")*([1]!Tabel1[[#This Row],[Status]]="Pågår")</f>
        <v>0</v>
      </c>
      <c r="AG31" s="12">
        <f ca="1">[1]!Tabel1[[#This Row],[Vægtet Honorar]]*([1]!Tabel1[[#This Row],[Sidst redigeret]]&gt;TODAY()-40)*([1]!Tabel1[[#This Row],[Status]]="Pågår")</f>
        <v>0</v>
      </c>
      <c r="AH31" s="13"/>
      <c r="AI31" s="12"/>
      <c r="AJ31" s="12"/>
      <c r="AK31" s="12"/>
      <c r="AL31" s="12"/>
      <c r="AM31" s="12"/>
      <c r="AN31" s="12"/>
      <c r="AO31" s="12"/>
      <c r="AP31" s="12"/>
    </row>
    <row r="32" spans="1:42">
      <c r="A32" t="s">
        <v>128</v>
      </c>
      <c r="B32" s="8"/>
      <c r="C32" s="8" t="s">
        <v>129</v>
      </c>
      <c r="D32" s="8" t="s">
        <v>93</v>
      </c>
      <c r="E32" s="8"/>
      <c r="F32" s="8"/>
      <c r="G32" s="8"/>
      <c r="H32" s="9"/>
      <c r="I32" s="9">
        <f>[1]!Tabel1[[#This Row],[Honorar]]*[1]!Tabel1[[#This Row],[Sandsynlighed]]</f>
        <v>0</v>
      </c>
      <c r="J32" s="10"/>
      <c r="K32" s="1"/>
      <c r="L32" s="8"/>
      <c r="M32" s="11">
        <v>1</v>
      </c>
      <c r="N32" s="14">
        <v>45171.510208333333</v>
      </c>
      <c r="O32" s="10">
        <v>46279.611076388886</v>
      </c>
      <c r="P32" s="10"/>
      <c r="Q32" s="1"/>
      <c r="R32" s="8" t="s">
        <v>47</v>
      </c>
      <c r="S3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2" s="12">
        <f ca="1">[1]!Tabel1[[#This Row],[Vægtet Honorar]]*([1]!Tabel1[[#This Row],[Sidst redigeret]]&gt;TODAY()-40)*([1]!Tabel1[[#This Row],[Er i resplan?]]&lt;&gt;"Ja")*([1]!Tabel1[[#This Row],[Status]]="Pågår")</f>
        <v>0</v>
      </c>
      <c r="AG32" s="12">
        <f ca="1">[1]!Tabel1[[#This Row],[Vægtet Honorar]]*([1]!Tabel1[[#This Row],[Sidst redigeret]]&gt;TODAY()-40)*([1]!Tabel1[[#This Row],[Status]]="Pågår")</f>
        <v>0</v>
      </c>
      <c r="AH32" s="13"/>
      <c r="AI32" s="12"/>
      <c r="AJ32" s="12"/>
      <c r="AK32" s="12"/>
      <c r="AL32" s="12"/>
      <c r="AM32" s="12"/>
      <c r="AN32" s="12"/>
      <c r="AO32" s="12"/>
      <c r="AP32" s="12"/>
    </row>
    <row r="33" spans="1:42">
      <c r="A33" t="s">
        <v>130</v>
      </c>
      <c r="B33" s="8"/>
      <c r="C33" s="8" t="s">
        <v>131</v>
      </c>
      <c r="D33" s="8"/>
      <c r="E33" s="8"/>
      <c r="F33" s="8"/>
      <c r="G33" s="8"/>
      <c r="H33" s="9"/>
      <c r="I33" s="9">
        <f>[1]!Tabel1[[#This Row],[Honorar]]*[1]!Tabel1[[#This Row],[Sandsynlighed]]</f>
        <v>0</v>
      </c>
      <c r="J33" s="10"/>
      <c r="K33" s="1"/>
      <c r="L33" s="8"/>
      <c r="M33" s="11"/>
      <c r="N33" s="1"/>
      <c r="O33" s="10">
        <v>46279.611076388886</v>
      </c>
      <c r="P33" s="10"/>
      <c r="Q33" s="1"/>
      <c r="R33" s="8" t="s">
        <v>49</v>
      </c>
      <c r="S3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3" s="12">
        <f ca="1">[1]!Tabel1[[#This Row],[Vægtet Honorar]]*([1]!Tabel1[[#This Row],[Sidst redigeret]]&gt;TODAY()-40)*([1]!Tabel1[[#This Row],[Er i resplan?]]&lt;&gt;"Ja")*([1]!Tabel1[[#This Row],[Status]]="Pågår")</f>
        <v>0</v>
      </c>
      <c r="AG33" s="12">
        <f ca="1">[1]!Tabel1[[#This Row],[Vægtet Honorar]]*([1]!Tabel1[[#This Row],[Sidst redigeret]]&gt;TODAY()-40)*([1]!Tabel1[[#This Row],[Status]]="Pågår")</f>
        <v>0</v>
      </c>
      <c r="AH33" s="13"/>
      <c r="AI33" s="12"/>
      <c r="AJ33" s="12"/>
      <c r="AK33" s="12"/>
      <c r="AL33" s="12"/>
      <c r="AM33" s="12"/>
      <c r="AN33" s="12"/>
      <c r="AO33" s="12"/>
      <c r="AP33" s="12"/>
    </row>
    <row r="34" spans="1:42">
      <c r="A34" t="s">
        <v>132</v>
      </c>
      <c r="B34" s="8"/>
      <c r="C34" s="8" t="s">
        <v>133</v>
      </c>
      <c r="D34" s="8" t="s">
        <v>134</v>
      </c>
      <c r="E34" s="8"/>
      <c r="F34" s="8"/>
      <c r="G34" s="8"/>
      <c r="H34" s="9"/>
      <c r="I34" s="9">
        <f>[1]!Tabel1[[#This Row],[Honorar]]*[1]!Tabel1[[#This Row],[Sandsynlighed]]</f>
        <v>0</v>
      </c>
      <c r="J34" s="10"/>
      <c r="K34" s="1"/>
      <c r="L34" s="8"/>
      <c r="M34" s="11"/>
      <c r="N34" s="1"/>
      <c r="O34" s="10">
        <v>46279.611076388886</v>
      </c>
      <c r="P34" s="10"/>
      <c r="Q34" s="1"/>
      <c r="R34" s="8" t="s">
        <v>49</v>
      </c>
      <c r="S3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4" s="12">
        <f ca="1">[1]!Tabel1[[#This Row],[Vægtet Honorar]]*([1]!Tabel1[[#This Row],[Sidst redigeret]]&gt;TODAY()-40)*([1]!Tabel1[[#This Row],[Er i resplan?]]&lt;&gt;"Ja")*([1]!Tabel1[[#This Row],[Status]]="Pågår")</f>
        <v>0</v>
      </c>
      <c r="AG34" s="12">
        <f ca="1">[1]!Tabel1[[#This Row],[Vægtet Honorar]]*([1]!Tabel1[[#This Row],[Sidst redigeret]]&gt;TODAY()-40)*([1]!Tabel1[[#This Row],[Status]]="Pågår")</f>
        <v>0</v>
      </c>
      <c r="AH34" s="13"/>
      <c r="AI34" s="12"/>
      <c r="AJ34" s="12"/>
      <c r="AK34" s="12"/>
      <c r="AL34" s="12"/>
      <c r="AM34" s="12"/>
      <c r="AN34" s="12"/>
      <c r="AO34" s="12"/>
      <c r="AP34" s="12"/>
    </row>
    <row r="35" spans="1:42">
      <c r="A35" t="s">
        <v>135</v>
      </c>
      <c r="B35" s="8"/>
      <c r="C35" s="8" t="s">
        <v>136</v>
      </c>
      <c r="D35" s="8" t="s">
        <v>57</v>
      </c>
      <c r="E35" s="8"/>
      <c r="F35" s="8"/>
      <c r="G35" s="8"/>
      <c r="H35" s="9"/>
      <c r="I35" s="9">
        <f>[1]!Tabel1[[#This Row],[Honorar]]*[1]!Tabel1[[#This Row],[Sandsynlighed]]</f>
        <v>0</v>
      </c>
      <c r="J35" s="10"/>
      <c r="K35" s="1"/>
      <c r="L35" s="8"/>
      <c r="M35" s="11"/>
      <c r="N35" s="1"/>
      <c r="O35" s="10">
        <v>46279.611076388886</v>
      </c>
      <c r="P35" s="10"/>
      <c r="Q35" s="1"/>
      <c r="R35" s="8" t="s">
        <v>49</v>
      </c>
      <c r="S3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5" s="12">
        <f ca="1">[1]!Tabel1[[#This Row],[Vægtet Honorar]]*([1]!Tabel1[[#This Row],[Sidst redigeret]]&gt;TODAY()-40)*([1]!Tabel1[[#This Row],[Er i resplan?]]&lt;&gt;"Ja")*([1]!Tabel1[[#This Row],[Status]]="Pågår")</f>
        <v>0</v>
      </c>
      <c r="AG35" s="12">
        <f ca="1">[1]!Tabel1[[#This Row],[Vægtet Honorar]]*([1]!Tabel1[[#This Row],[Sidst redigeret]]&gt;TODAY()-40)*([1]!Tabel1[[#This Row],[Status]]="Pågår")</f>
        <v>0</v>
      </c>
      <c r="AH35" s="13"/>
      <c r="AI35" s="12"/>
      <c r="AJ35" s="12"/>
      <c r="AK35" s="12"/>
      <c r="AL35" s="12"/>
      <c r="AM35" s="12"/>
      <c r="AN35" s="12"/>
      <c r="AO35" s="12"/>
      <c r="AP35" s="12"/>
    </row>
    <row r="36" spans="1:42">
      <c r="A36" t="s">
        <v>137</v>
      </c>
      <c r="B36" s="8"/>
      <c r="C36" s="8" t="s">
        <v>138</v>
      </c>
      <c r="D36" s="8" t="s">
        <v>61</v>
      </c>
      <c r="E36" s="8"/>
      <c r="F36" s="8"/>
      <c r="G36" s="8"/>
      <c r="H36" s="9"/>
      <c r="I36" s="9">
        <f>[1]!Tabel1[[#This Row],[Honorar]]*[1]!Tabel1[[#This Row],[Sandsynlighed]]</f>
        <v>0</v>
      </c>
      <c r="J36" s="10"/>
      <c r="K36" s="1"/>
      <c r="L36" s="8" t="s">
        <v>52</v>
      </c>
      <c r="M36" s="11"/>
      <c r="N36" s="1"/>
      <c r="O36" s="10">
        <v>46279.611076388886</v>
      </c>
      <c r="P36" s="10"/>
      <c r="Q36" s="1"/>
      <c r="R36" s="8" t="s">
        <v>49</v>
      </c>
      <c r="S3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6" s="12">
        <f ca="1">[1]!Tabel1[[#This Row],[Vægtet Honorar]]*([1]!Tabel1[[#This Row],[Sidst redigeret]]&gt;TODAY()-40)*([1]!Tabel1[[#This Row],[Er i resplan?]]&lt;&gt;"Ja")*([1]!Tabel1[[#This Row],[Status]]="Pågår")</f>
        <v>0</v>
      </c>
      <c r="AG36" s="12">
        <f ca="1">[1]!Tabel1[[#This Row],[Vægtet Honorar]]*([1]!Tabel1[[#This Row],[Sidst redigeret]]&gt;TODAY()-40)*([1]!Tabel1[[#This Row],[Status]]="Pågår")</f>
        <v>0</v>
      </c>
      <c r="AH36" s="13"/>
      <c r="AI36" s="12"/>
      <c r="AJ36" s="12"/>
      <c r="AK36" s="12"/>
      <c r="AL36" s="12"/>
      <c r="AM36" s="12"/>
      <c r="AN36" s="12"/>
      <c r="AO36" s="12"/>
      <c r="AP36" s="12"/>
    </row>
    <row r="37" spans="1:42">
      <c r="A37" t="s">
        <v>139</v>
      </c>
      <c r="B37" s="8"/>
      <c r="C37" s="8" t="s">
        <v>140</v>
      </c>
      <c r="D37" s="8" t="s">
        <v>44</v>
      </c>
      <c r="E37" s="8" t="s">
        <v>71</v>
      </c>
      <c r="F37" s="8" t="s">
        <v>141</v>
      </c>
      <c r="G37" s="8" t="s">
        <v>141</v>
      </c>
      <c r="H37" s="9">
        <v>625000</v>
      </c>
      <c r="I37" s="9">
        <f>[1]!Tabel1[[#This Row],[Honorar]]*[1]!Tabel1[[#This Row],[Sandsynlighed]]</f>
        <v>0</v>
      </c>
      <c r="J37" s="10" t="s">
        <v>142</v>
      </c>
      <c r="K37" s="1" t="s">
        <v>143</v>
      </c>
      <c r="L37" s="8" t="s">
        <v>126</v>
      </c>
      <c r="M37" s="11">
        <v>0</v>
      </c>
      <c r="N37" s="1"/>
      <c r="O37" s="10">
        <v>46279.611076388886</v>
      </c>
      <c r="P37" s="10"/>
      <c r="Q37" s="1" t="s">
        <v>72</v>
      </c>
      <c r="R37" s="8" t="s">
        <v>49</v>
      </c>
      <c r="S3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7" s="12">
        <f ca="1">[1]!Tabel1[[#This Row],[Vægtet Honorar]]*([1]!Tabel1[[#This Row],[Sidst redigeret]]&gt;TODAY()-40)*([1]!Tabel1[[#This Row],[Er i resplan?]]&lt;&gt;"Ja")*([1]!Tabel1[[#This Row],[Status]]="Pågår")</f>
        <v>0</v>
      </c>
      <c r="AG37" s="12">
        <f ca="1">[1]!Tabel1[[#This Row],[Vægtet Honorar]]*([1]!Tabel1[[#This Row],[Sidst redigeret]]&gt;TODAY()-40)*([1]!Tabel1[[#This Row],[Status]]="Pågår")</f>
        <v>0</v>
      </c>
      <c r="AH37" s="13"/>
      <c r="AI37" s="12"/>
      <c r="AJ37" s="12"/>
      <c r="AK37" s="12"/>
      <c r="AL37" s="12"/>
      <c r="AM37" s="12"/>
      <c r="AN37" s="12"/>
      <c r="AO37" s="12"/>
      <c r="AP37" s="12"/>
    </row>
    <row r="38" spans="1:42">
      <c r="A38" t="s">
        <v>144</v>
      </c>
      <c r="B38" s="8"/>
      <c r="C38" s="8" t="s">
        <v>145</v>
      </c>
      <c r="D38" s="8" t="s">
        <v>146</v>
      </c>
      <c r="E38" s="8"/>
      <c r="F38" s="8"/>
      <c r="G38" s="8"/>
      <c r="H38" s="9"/>
      <c r="I38" s="9">
        <f>[1]!Tabel1[[#This Row],[Honorar]]*[1]!Tabel1[[#This Row],[Sandsynlighed]]</f>
        <v>0</v>
      </c>
      <c r="J38" s="10"/>
      <c r="K38" s="1"/>
      <c r="L38" s="8"/>
      <c r="M38" s="11"/>
      <c r="N38" s="1"/>
      <c r="O38" s="10">
        <v>46279.611076388886</v>
      </c>
      <c r="P38" s="10"/>
      <c r="Q38" s="1"/>
      <c r="R38" s="8" t="s">
        <v>49</v>
      </c>
      <c r="S3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8" s="12">
        <f ca="1">[1]!Tabel1[[#This Row],[Vægtet Honorar]]*([1]!Tabel1[[#This Row],[Sidst redigeret]]&gt;TODAY()-40)*([1]!Tabel1[[#This Row],[Er i resplan?]]&lt;&gt;"Ja")*([1]!Tabel1[[#This Row],[Status]]="Pågår")</f>
        <v>0</v>
      </c>
      <c r="AG38" s="12">
        <f ca="1">[1]!Tabel1[[#This Row],[Vægtet Honorar]]*([1]!Tabel1[[#This Row],[Sidst redigeret]]&gt;TODAY()-40)*([1]!Tabel1[[#This Row],[Status]]="Pågår")</f>
        <v>0</v>
      </c>
      <c r="AH38" s="13"/>
      <c r="AI38" s="12"/>
      <c r="AJ38" s="12"/>
      <c r="AK38" s="12"/>
      <c r="AL38" s="12"/>
      <c r="AM38" s="12"/>
      <c r="AN38" s="12"/>
      <c r="AO38" s="12"/>
      <c r="AP38" s="12"/>
    </row>
    <row r="39" spans="1:42">
      <c r="A39" t="s">
        <v>147</v>
      </c>
      <c r="B39" s="8"/>
      <c r="C39" s="8" t="s">
        <v>148</v>
      </c>
      <c r="D39" s="8" t="s">
        <v>57</v>
      </c>
      <c r="E39" s="8"/>
      <c r="F39" s="8"/>
      <c r="G39" s="8"/>
      <c r="H39" s="9"/>
      <c r="I39" s="9">
        <f>[1]!Tabel1[[#This Row],[Honorar]]*[1]!Tabel1[[#This Row],[Sandsynlighed]]</f>
        <v>0</v>
      </c>
      <c r="J39" s="10"/>
      <c r="K39" s="1"/>
      <c r="L39" s="8"/>
      <c r="M39" s="11"/>
      <c r="N39" s="1"/>
      <c r="O39" s="10">
        <v>46279.611076388886</v>
      </c>
      <c r="P39" s="10"/>
      <c r="Q39" s="1"/>
      <c r="R39" s="8" t="s">
        <v>49</v>
      </c>
      <c r="S3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9" s="12">
        <f ca="1">[1]!Tabel1[[#This Row],[Vægtet Honorar]]*([1]!Tabel1[[#This Row],[Sidst redigeret]]&gt;TODAY()-40)*([1]!Tabel1[[#This Row],[Er i resplan?]]&lt;&gt;"Ja")*([1]!Tabel1[[#This Row],[Status]]="Pågår")</f>
        <v>0</v>
      </c>
      <c r="AG39" s="12">
        <f ca="1">[1]!Tabel1[[#This Row],[Vægtet Honorar]]*([1]!Tabel1[[#This Row],[Sidst redigeret]]&gt;TODAY()-40)*([1]!Tabel1[[#This Row],[Status]]="Pågår")</f>
        <v>0</v>
      </c>
      <c r="AH39" s="13"/>
      <c r="AI39" s="12"/>
      <c r="AJ39" s="12"/>
      <c r="AK39" s="12"/>
      <c r="AL39" s="12"/>
      <c r="AM39" s="12"/>
      <c r="AN39" s="12"/>
      <c r="AO39" s="12"/>
      <c r="AP39" s="12"/>
    </row>
    <row r="40" spans="1:42">
      <c r="A40" t="s">
        <v>149</v>
      </c>
      <c r="B40" s="8"/>
      <c r="C40" s="8" t="s">
        <v>150</v>
      </c>
      <c r="D40" s="8"/>
      <c r="E40" s="8"/>
      <c r="F40" s="8"/>
      <c r="G40" s="8"/>
      <c r="H40" s="9"/>
      <c r="I40" s="9">
        <f>[1]!Tabel1[[#This Row],[Honorar]]*[1]!Tabel1[[#This Row],[Sandsynlighed]]</f>
        <v>0</v>
      </c>
      <c r="J40" s="10"/>
      <c r="K40" s="1"/>
      <c r="L40" s="8"/>
      <c r="M40" s="11"/>
      <c r="N40" s="1"/>
      <c r="O40" s="10">
        <v>46279.611076388886</v>
      </c>
      <c r="P40" s="10"/>
      <c r="Q40" s="1"/>
      <c r="R40" s="8" t="s">
        <v>49</v>
      </c>
      <c r="S4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0" s="12">
        <f ca="1">[1]!Tabel1[[#This Row],[Vægtet Honorar]]*([1]!Tabel1[[#This Row],[Sidst redigeret]]&gt;TODAY()-40)*([1]!Tabel1[[#This Row],[Er i resplan?]]&lt;&gt;"Ja")*([1]!Tabel1[[#This Row],[Status]]="Pågår")</f>
        <v>0</v>
      </c>
      <c r="AG40" s="12">
        <f ca="1">[1]!Tabel1[[#This Row],[Vægtet Honorar]]*([1]!Tabel1[[#This Row],[Sidst redigeret]]&gt;TODAY()-40)*([1]!Tabel1[[#This Row],[Status]]="Pågår")</f>
        <v>0</v>
      </c>
      <c r="AH40" s="13"/>
      <c r="AI40" s="12"/>
      <c r="AJ40" s="12"/>
      <c r="AK40" s="12"/>
      <c r="AL40" s="12"/>
      <c r="AM40" s="12"/>
      <c r="AN40" s="12"/>
      <c r="AO40" s="12"/>
      <c r="AP40" s="12"/>
    </row>
    <row r="41" spans="1:42">
      <c r="A41" t="s">
        <v>151</v>
      </c>
      <c r="B41" s="8"/>
      <c r="C41" s="8" t="s">
        <v>152</v>
      </c>
      <c r="D41" s="8" t="s">
        <v>44</v>
      </c>
      <c r="E41" s="8"/>
      <c r="F41" s="8"/>
      <c r="G41" s="8"/>
      <c r="H41" s="9"/>
      <c r="I41" s="9">
        <f>[1]!Tabel1[[#This Row],[Honorar]]*[1]!Tabel1[[#This Row],[Sandsynlighed]]</f>
        <v>0</v>
      </c>
      <c r="J41" s="10"/>
      <c r="K41" s="1"/>
      <c r="L41" s="8" t="s">
        <v>52</v>
      </c>
      <c r="M41" s="11"/>
      <c r="N41" s="1"/>
      <c r="O41" s="10">
        <v>46279.611076388886</v>
      </c>
      <c r="P41" s="10"/>
      <c r="Q41" s="1"/>
      <c r="R41" s="8" t="s">
        <v>49</v>
      </c>
      <c r="S4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1" s="12">
        <f ca="1">[1]!Tabel1[[#This Row],[Vægtet Honorar]]*([1]!Tabel1[[#This Row],[Sidst redigeret]]&gt;TODAY()-40)*([1]!Tabel1[[#This Row],[Er i resplan?]]&lt;&gt;"Ja")*([1]!Tabel1[[#This Row],[Status]]="Pågår")</f>
        <v>0</v>
      </c>
      <c r="AG41" s="12">
        <f ca="1">[1]!Tabel1[[#This Row],[Vægtet Honorar]]*([1]!Tabel1[[#This Row],[Sidst redigeret]]&gt;TODAY()-40)*([1]!Tabel1[[#This Row],[Status]]="Pågår")</f>
        <v>0</v>
      </c>
      <c r="AH41" s="13"/>
      <c r="AI41" s="12"/>
      <c r="AJ41" s="12"/>
      <c r="AK41" s="12"/>
      <c r="AL41" s="12"/>
      <c r="AM41" s="12"/>
      <c r="AN41" s="12"/>
      <c r="AO41" s="12"/>
      <c r="AP41" s="12"/>
    </row>
    <row r="42" spans="1:42">
      <c r="A42" t="s">
        <v>153</v>
      </c>
      <c r="B42" s="8"/>
      <c r="C42" s="8" t="s">
        <v>154</v>
      </c>
      <c r="D42" s="8" t="s">
        <v>155</v>
      </c>
      <c r="E42" s="8"/>
      <c r="F42" s="8"/>
      <c r="G42" s="8"/>
      <c r="H42" s="9"/>
      <c r="I42" s="9">
        <f>[1]!Tabel1[[#This Row],[Honorar]]*[1]!Tabel1[[#This Row],[Sandsynlighed]]</f>
        <v>0</v>
      </c>
      <c r="J42" s="10"/>
      <c r="K42" s="1"/>
      <c r="L42" s="8"/>
      <c r="M42" s="11"/>
      <c r="N42" s="1"/>
      <c r="O42" s="10">
        <v>46279.611076388886</v>
      </c>
      <c r="P42" s="10"/>
      <c r="Q42" s="1"/>
      <c r="R42" s="8" t="s">
        <v>49</v>
      </c>
      <c r="S4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2" s="12">
        <f ca="1">[1]!Tabel1[[#This Row],[Vægtet Honorar]]*([1]!Tabel1[[#This Row],[Sidst redigeret]]&gt;TODAY()-40)*([1]!Tabel1[[#This Row],[Er i resplan?]]&lt;&gt;"Ja")*([1]!Tabel1[[#This Row],[Status]]="Pågår")</f>
        <v>0</v>
      </c>
      <c r="AG42" s="12">
        <f ca="1">[1]!Tabel1[[#This Row],[Vægtet Honorar]]*([1]!Tabel1[[#This Row],[Sidst redigeret]]&gt;TODAY()-40)*([1]!Tabel1[[#This Row],[Status]]="Pågår")</f>
        <v>0</v>
      </c>
      <c r="AH42" s="13"/>
      <c r="AI42" s="12"/>
      <c r="AJ42" s="12"/>
      <c r="AK42" s="12"/>
      <c r="AL42" s="12"/>
      <c r="AM42" s="12"/>
      <c r="AN42" s="12"/>
      <c r="AO42" s="12"/>
      <c r="AP42" s="12"/>
    </row>
    <row r="43" spans="1:42">
      <c r="A43" t="s">
        <v>156</v>
      </c>
      <c r="B43" s="8"/>
      <c r="C43" s="8" t="s">
        <v>157</v>
      </c>
      <c r="D43" s="8" t="s">
        <v>158</v>
      </c>
      <c r="E43" s="8"/>
      <c r="F43" s="8"/>
      <c r="G43" s="8"/>
      <c r="H43" s="9"/>
      <c r="I43" s="9">
        <f>[1]!Tabel1[[#This Row],[Honorar]]*[1]!Tabel1[[#This Row],[Sandsynlighed]]</f>
        <v>0</v>
      </c>
      <c r="J43" s="10"/>
      <c r="K43" s="1"/>
      <c r="L43" s="8"/>
      <c r="M43" s="11"/>
      <c r="N43" s="1"/>
      <c r="O43" s="10">
        <v>46279.611076388886</v>
      </c>
      <c r="P43" s="10"/>
      <c r="Q43" s="1"/>
      <c r="R43" s="8" t="s">
        <v>49</v>
      </c>
      <c r="S4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3" s="12">
        <f ca="1">[1]!Tabel1[[#This Row],[Vægtet Honorar]]*([1]!Tabel1[[#This Row],[Sidst redigeret]]&gt;TODAY()-40)*([1]!Tabel1[[#This Row],[Er i resplan?]]&lt;&gt;"Ja")*([1]!Tabel1[[#This Row],[Status]]="Pågår")</f>
        <v>0</v>
      </c>
      <c r="AG43" s="12">
        <f ca="1">[1]!Tabel1[[#This Row],[Vægtet Honorar]]*([1]!Tabel1[[#This Row],[Sidst redigeret]]&gt;TODAY()-40)*([1]!Tabel1[[#This Row],[Status]]="Pågår")</f>
        <v>0</v>
      </c>
      <c r="AH43" s="13"/>
      <c r="AI43" s="12"/>
      <c r="AJ43" s="12"/>
      <c r="AK43" s="12"/>
      <c r="AL43" s="12"/>
      <c r="AM43" s="12"/>
      <c r="AN43" s="12"/>
      <c r="AO43" s="12"/>
      <c r="AP43" s="12"/>
    </row>
    <row r="44" spans="1:42">
      <c r="A44" t="s">
        <v>159</v>
      </c>
      <c r="B44" s="8"/>
      <c r="C44" s="8" t="s">
        <v>160</v>
      </c>
      <c r="D44" s="8" t="s">
        <v>158</v>
      </c>
      <c r="E44" s="8"/>
      <c r="F44" s="8"/>
      <c r="G44" s="8"/>
      <c r="H44" s="9"/>
      <c r="I44" s="9">
        <f>[1]!Tabel1[[#This Row],[Honorar]]*[1]!Tabel1[[#This Row],[Sandsynlighed]]</f>
        <v>0</v>
      </c>
      <c r="J44" s="10"/>
      <c r="K44" s="1"/>
      <c r="L44" s="8"/>
      <c r="M44" s="11"/>
      <c r="N44" s="1"/>
      <c r="O44" s="10">
        <v>46279.611076388886</v>
      </c>
      <c r="P44" s="10"/>
      <c r="Q44" s="1"/>
      <c r="R44" s="8" t="s">
        <v>49</v>
      </c>
      <c r="S4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4" s="12">
        <f ca="1">[1]!Tabel1[[#This Row],[Vægtet Honorar]]*([1]!Tabel1[[#This Row],[Sidst redigeret]]&gt;TODAY()-40)*([1]!Tabel1[[#This Row],[Er i resplan?]]&lt;&gt;"Ja")*([1]!Tabel1[[#This Row],[Status]]="Pågår")</f>
        <v>0</v>
      </c>
      <c r="AG44" s="12">
        <f ca="1">[1]!Tabel1[[#This Row],[Vægtet Honorar]]*([1]!Tabel1[[#This Row],[Sidst redigeret]]&gt;TODAY()-40)*([1]!Tabel1[[#This Row],[Status]]="Pågår")</f>
        <v>0</v>
      </c>
      <c r="AH44" s="13"/>
      <c r="AI44" s="12"/>
      <c r="AJ44" s="12"/>
      <c r="AK44" s="12"/>
      <c r="AL44" s="12"/>
      <c r="AM44" s="12"/>
      <c r="AN44" s="12"/>
      <c r="AO44" s="12"/>
      <c r="AP44" s="12"/>
    </row>
    <row r="45" spans="1:42">
      <c r="A45" t="s">
        <v>161</v>
      </c>
      <c r="B45" s="8"/>
      <c r="C45" s="8" t="s">
        <v>162</v>
      </c>
      <c r="D45" s="8"/>
      <c r="E45" s="8"/>
      <c r="F45" s="8"/>
      <c r="G45" s="8"/>
      <c r="H45" s="9"/>
      <c r="I45" s="9">
        <f>[1]!Tabel1[[#This Row],[Honorar]]*[1]!Tabel1[[#This Row],[Sandsynlighed]]</f>
        <v>0</v>
      </c>
      <c r="J45" s="10"/>
      <c r="K45" s="1"/>
      <c r="L45" s="8"/>
      <c r="M45" s="11"/>
      <c r="N45" s="1"/>
      <c r="O45" s="10">
        <v>46279.611076388886</v>
      </c>
      <c r="P45" s="10"/>
      <c r="Q45" s="1"/>
      <c r="R45" s="8" t="s">
        <v>49</v>
      </c>
      <c r="S4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5" s="12">
        <f ca="1">[1]!Tabel1[[#This Row],[Vægtet Honorar]]*([1]!Tabel1[[#This Row],[Sidst redigeret]]&gt;TODAY()-40)*([1]!Tabel1[[#This Row],[Er i resplan?]]&lt;&gt;"Ja")*([1]!Tabel1[[#This Row],[Status]]="Pågår")</f>
        <v>0</v>
      </c>
      <c r="AG45" s="12">
        <f ca="1">[1]!Tabel1[[#This Row],[Vægtet Honorar]]*([1]!Tabel1[[#This Row],[Sidst redigeret]]&gt;TODAY()-40)*([1]!Tabel1[[#This Row],[Status]]="Pågår")</f>
        <v>0</v>
      </c>
      <c r="AH45" s="13"/>
      <c r="AI45" s="12"/>
      <c r="AJ45" s="12"/>
      <c r="AK45" s="12"/>
      <c r="AL45" s="12"/>
      <c r="AM45" s="12"/>
      <c r="AN45" s="12"/>
      <c r="AO45" s="12"/>
      <c r="AP45" s="12"/>
    </row>
    <row r="46" spans="1:42">
      <c r="A46" t="s">
        <v>163</v>
      </c>
      <c r="B46" s="8"/>
      <c r="C46" s="8" t="s">
        <v>164</v>
      </c>
      <c r="D46" s="8" t="s">
        <v>70</v>
      </c>
      <c r="E46" s="8" t="s">
        <v>102</v>
      </c>
      <c r="F46" s="8" t="s">
        <v>111</v>
      </c>
      <c r="G46" s="8"/>
      <c r="H46" s="9">
        <v>175000</v>
      </c>
      <c r="I46" s="9">
        <f>[1]!Tabel1[[#This Row],[Honorar]]*[1]!Tabel1[[#This Row],[Sandsynlighed]]</f>
        <v>0</v>
      </c>
      <c r="J46" s="10" t="s">
        <v>103</v>
      </c>
      <c r="K46" s="1">
        <v>2023</v>
      </c>
      <c r="L46" s="8" t="s">
        <v>104</v>
      </c>
      <c r="M46" s="11">
        <v>1</v>
      </c>
      <c r="N46" s="15" t="s">
        <v>105</v>
      </c>
      <c r="O46" s="10">
        <v>46279.611076388886</v>
      </c>
      <c r="P46" s="10"/>
      <c r="Q46" s="1" t="s">
        <v>46</v>
      </c>
      <c r="R46" s="8" t="s">
        <v>47</v>
      </c>
      <c r="S4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6" s="12">
        <f ca="1">[1]!Tabel1[[#This Row],[Vægtet Honorar]]*([1]!Tabel1[[#This Row],[Sidst redigeret]]&gt;TODAY()-40)*([1]!Tabel1[[#This Row],[Er i resplan?]]&lt;&gt;"Ja")*([1]!Tabel1[[#This Row],[Status]]="Pågår")</f>
        <v>0</v>
      </c>
      <c r="AG46" s="12">
        <f ca="1">[1]!Tabel1[[#This Row],[Vægtet Honorar]]*([1]!Tabel1[[#This Row],[Sidst redigeret]]&gt;TODAY()-40)*([1]!Tabel1[[#This Row],[Status]]="Pågår")</f>
        <v>0</v>
      </c>
      <c r="AH46" s="13"/>
      <c r="AI46" s="12"/>
      <c r="AJ46" s="12"/>
      <c r="AK46" s="12"/>
      <c r="AL46" s="12"/>
      <c r="AM46" s="12"/>
      <c r="AN46" s="12"/>
      <c r="AO46" s="12"/>
      <c r="AP46" s="12"/>
    </row>
    <row r="47" spans="1:42">
      <c r="A47" t="s">
        <v>165</v>
      </c>
      <c r="B47" s="8"/>
      <c r="C47" s="8" t="s">
        <v>166</v>
      </c>
      <c r="D47" s="8" t="s">
        <v>57</v>
      </c>
      <c r="E47" s="8" t="s">
        <v>167</v>
      </c>
      <c r="F47" s="8" t="s">
        <v>168</v>
      </c>
      <c r="G47" s="8" t="s">
        <v>168</v>
      </c>
      <c r="H47" s="9">
        <v>1000000</v>
      </c>
      <c r="I47" s="9">
        <f>[1]!Tabel1[[#This Row],[Honorar]]*[1]!Tabel1[[#This Row],[Sandsynlighed]]</f>
        <v>0</v>
      </c>
      <c r="J47" s="10"/>
      <c r="K47" s="1"/>
      <c r="L47" s="8"/>
      <c r="M47" s="11">
        <v>0.2</v>
      </c>
      <c r="N47" s="1"/>
      <c r="O47" s="10">
        <v>46279.611076388886</v>
      </c>
      <c r="P47" s="10"/>
      <c r="Q47" s="1"/>
      <c r="R47" s="8" t="s">
        <v>49</v>
      </c>
      <c r="S4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7" s="12">
        <f ca="1">[1]!Tabel1[[#This Row],[Vægtet Honorar]]*([1]!Tabel1[[#This Row],[Sidst redigeret]]&gt;TODAY()-40)*([1]!Tabel1[[#This Row],[Er i resplan?]]&lt;&gt;"Ja")*([1]!Tabel1[[#This Row],[Status]]="Pågår")</f>
        <v>0</v>
      </c>
      <c r="AG47" s="12">
        <f ca="1">[1]!Tabel1[[#This Row],[Vægtet Honorar]]*([1]!Tabel1[[#This Row],[Sidst redigeret]]&gt;TODAY()-40)*([1]!Tabel1[[#This Row],[Status]]="Pågår")</f>
        <v>0</v>
      </c>
      <c r="AH47" s="13"/>
      <c r="AI47" s="12"/>
      <c r="AJ47" s="12"/>
      <c r="AK47" s="12"/>
      <c r="AL47" s="12"/>
      <c r="AM47" s="12"/>
      <c r="AN47" s="12"/>
      <c r="AO47" s="12"/>
      <c r="AP47" s="12"/>
    </row>
    <row r="48" spans="1:42">
      <c r="A48" t="s">
        <v>169</v>
      </c>
      <c r="B48" s="8"/>
      <c r="C48" s="8" t="s">
        <v>170</v>
      </c>
      <c r="D48" s="8"/>
      <c r="E48" s="8"/>
      <c r="F48" s="8"/>
      <c r="G48" s="8"/>
      <c r="H48" s="9"/>
      <c r="I48" s="9">
        <f>[1]!Tabel1[[#This Row],[Honorar]]*[1]!Tabel1[[#This Row],[Sandsynlighed]]</f>
        <v>0</v>
      </c>
      <c r="J48" s="10"/>
      <c r="K48" s="1"/>
      <c r="L48" s="8"/>
      <c r="M48" s="11"/>
      <c r="N48" s="1"/>
      <c r="O48" s="10">
        <v>46279.611087962963</v>
      </c>
      <c r="P48" s="10"/>
      <c r="Q48" s="1"/>
      <c r="R48" s="8" t="s">
        <v>49</v>
      </c>
      <c r="S4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8" s="12">
        <f ca="1">[1]!Tabel1[[#This Row],[Vægtet Honorar]]*([1]!Tabel1[[#This Row],[Sidst redigeret]]&gt;TODAY()-40)*([1]!Tabel1[[#This Row],[Er i resplan?]]&lt;&gt;"Ja")*([1]!Tabel1[[#This Row],[Status]]="Pågår")</f>
        <v>0</v>
      </c>
      <c r="AG48" s="12">
        <f ca="1">[1]!Tabel1[[#This Row],[Vægtet Honorar]]*([1]!Tabel1[[#This Row],[Sidst redigeret]]&gt;TODAY()-40)*([1]!Tabel1[[#This Row],[Status]]="Pågår")</f>
        <v>0</v>
      </c>
      <c r="AH48" s="13"/>
      <c r="AI48" s="12"/>
      <c r="AJ48" s="12"/>
      <c r="AK48" s="12"/>
      <c r="AL48" s="12"/>
      <c r="AM48" s="12"/>
      <c r="AN48" s="12"/>
      <c r="AO48" s="12"/>
      <c r="AP48" s="12"/>
    </row>
    <row r="49" spans="1:42">
      <c r="A49" t="s">
        <v>171</v>
      </c>
      <c r="B49" s="8"/>
      <c r="C49" s="8" t="s">
        <v>172</v>
      </c>
      <c r="D49" s="8"/>
      <c r="E49" s="8"/>
      <c r="F49" s="8"/>
      <c r="G49" s="8"/>
      <c r="H49" s="9"/>
      <c r="I49" s="9">
        <f>[1]!Tabel1[[#This Row],[Honorar]]*[1]!Tabel1[[#This Row],[Sandsynlighed]]</f>
        <v>0</v>
      </c>
      <c r="J49" s="10"/>
      <c r="K49" s="1"/>
      <c r="L49" s="8"/>
      <c r="M49" s="11"/>
      <c r="N49" s="1"/>
      <c r="O49" s="10">
        <v>46279.611087962963</v>
      </c>
      <c r="P49" s="10"/>
      <c r="Q49" s="1"/>
      <c r="R49" s="8" t="s">
        <v>49</v>
      </c>
      <c r="S4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9" s="12">
        <f ca="1">[1]!Tabel1[[#This Row],[Vægtet Honorar]]*([1]!Tabel1[[#This Row],[Sidst redigeret]]&gt;TODAY()-40)*([1]!Tabel1[[#This Row],[Er i resplan?]]&lt;&gt;"Ja")*([1]!Tabel1[[#This Row],[Status]]="Pågår")</f>
        <v>0</v>
      </c>
      <c r="AG49" s="12">
        <f ca="1">[1]!Tabel1[[#This Row],[Vægtet Honorar]]*([1]!Tabel1[[#This Row],[Sidst redigeret]]&gt;TODAY()-40)*([1]!Tabel1[[#This Row],[Status]]="Pågår")</f>
        <v>0</v>
      </c>
      <c r="AH49" s="13"/>
      <c r="AI49" s="12"/>
      <c r="AJ49" s="12"/>
      <c r="AK49" s="12"/>
      <c r="AL49" s="12"/>
      <c r="AM49" s="12"/>
      <c r="AN49" s="12"/>
      <c r="AO49" s="12"/>
      <c r="AP49" s="12"/>
    </row>
    <row r="50" spans="1:42">
      <c r="A50" t="s">
        <v>173</v>
      </c>
      <c r="B50" s="8"/>
      <c r="C50" s="8" t="s">
        <v>174</v>
      </c>
      <c r="D50" s="8"/>
      <c r="E50" s="8"/>
      <c r="F50" s="8"/>
      <c r="G50" s="8"/>
      <c r="H50" s="9"/>
      <c r="I50" s="9">
        <f>[1]!Tabel1[[#This Row],[Honorar]]*[1]!Tabel1[[#This Row],[Sandsynlighed]]</f>
        <v>0</v>
      </c>
      <c r="J50" s="10"/>
      <c r="K50" s="1"/>
      <c r="L50" s="8"/>
      <c r="M50" s="11"/>
      <c r="N50" s="1"/>
      <c r="O50" s="10">
        <v>46279.611087962963</v>
      </c>
      <c r="P50" s="10"/>
      <c r="Q50" s="1"/>
      <c r="R50" s="8" t="s">
        <v>49</v>
      </c>
      <c r="S5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0" s="12">
        <f ca="1">[1]!Tabel1[[#This Row],[Vægtet Honorar]]*([1]!Tabel1[[#This Row],[Sidst redigeret]]&gt;TODAY()-40)*([1]!Tabel1[[#This Row],[Er i resplan?]]&lt;&gt;"Ja")*([1]!Tabel1[[#This Row],[Status]]="Pågår")</f>
        <v>0</v>
      </c>
      <c r="AG50" s="12">
        <f ca="1">[1]!Tabel1[[#This Row],[Vægtet Honorar]]*([1]!Tabel1[[#This Row],[Sidst redigeret]]&gt;TODAY()-40)*([1]!Tabel1[[#This Row],[Status]]="Pågår")</f>
        <v>0</v>
      </c>
      <c r="AH50" s="13"/>
      <c r="AI50" s="12"/>
      <c r="AJ50" s="12"/>
      <c r="AK50" s="12"/>
      <c r="AL50" s="12"/>
      <c r="AM50" s="12"/>
      <c r="AN50" s="12"/>
      <c r="AO50" s="12"/>
      <c r="AP50" s="12"/>
    </row>
    <row r="51" spans="1:42">
      <c r="A51" t="s">
        <v>175</v>
      </c>
      <c r="B51" s="8"/>
      <c r="C51" s="8" t="s">
        <v>176</v>
      </c>
      <c r="D51" s="8" t="s">
        <v>119</v>
      </c>
      <c r="E51" s="8" t="s">
        <v>120</v>
      </c>
      <c r="F51" s="8"/>
      <c r="G51" s="8"/>
      <c r="H51" s="9"/>
      <c r="I51" s="9">
        <f>[1]!Tabel1[[#This Row],[Honorar]]*[1]!Tabel1[[#This Row],[Sandsynlighed]]</f>
        <v>175000</v>
      </c>
      <c r="J51" s="10"/>
      <c r="K51" s="1"/>
      <c r="L51" s="8" t="s">
        <v>177</v>
      </c>
      <c r="M51" s="11"/>
      <c r="N51" s="1"/>
      <c r="O51" s="10">
        <v>46279.611087962963</v>
      </c>
      <c r="P51" s="10"/>
      <c r="Q51" s="1"/>
      <c r="R51" s="8" t="s">
        <v>49</v>
      </c>
      <c r="S5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1" s="12">
        <f ca="1">[1]!Tabel1[[#This Row],[Vægtet Honorar]]*([1]!Tabel1[[#This Row],[Sidst redigeret]]&gt;TODAY()-40)*([1]!Tabel1[[#This Row],[Er i resplan?]]&lt;&gt;"Ja")*([1]!Tabel1[[#This Row],[Status]]="Pågår")</f>
        <v>0</v>
      </c>
      <c r="AG51" s="12">
        <f ca="1">[1]!Tabel1[[#This Row],[Vægtet Honorar]]*([1]!Tabel1[[#This Row],[Sidst redigeret]]&gt;TODAY()-40)*([1]!Tabel1[[#This Row],[Status]]="Pågår")</f>
        <v>0</v>
      </c>
      <c r="AH51" s="13"/>
      <c r="AI51" s="12"/>
      <c r="AJ51" s="12"/>
      <c r="AK51" s="12"/>
      <c r="AL51" s="12"/>
      <c r="AM51" s="12"/>
      <c r="AN51" s="12"/>
      <c r="AO51" s="12"/>
      <c r="AP51" s="12"/>
    </row>
    <row r="52" spans="1:42">
      <c r="A52" t="s">
        <v>178</v>
      </c>
      <c r="B52" s="8"/>
      <c r="C52" s="8" t="s">
        <v>179</v>
      </c>
      <c r="D52" s="8" t="s">
        <v>119</v>
      </c>
      <c r="E52" s="8" t="s">
        <v>120</v>
      </c>
      <c r="F52" s="8"/>
      <c r="G52" s="8"/>
      <c r="H52" s="9"/>
      <c r="I52" s="9">
        <f>[1]!Tabel1[[#This Row],[Honorar]]*[1]!Tabel1[[#This Row],[Sandsynlighed]]</f>
        <v>200000</v>
      </c>
      <c r="J52" s="10"/>
      <c r="K52" s="1"/>
      <c r="L52" s="8" t="s">
        <v>104</v>
      </c>
      <c r="M52" s="11"/>
      <c r="N52" s="1"/>
      <c r="O52" s="10">
        <v>46279.611087962963</v>
      </c>
      <c r="P52" s="10"/>
      <c r="Q52" s="1"/>
      <c r="R52" s="8" t="s">
        <v>47</v>
      </c>
      <c r="S5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2" s="12">
        <f ca="1">[1]!Tabel1[[#This Row],[Vægtet Honorar]]*([1]!Tabel1[[#This Row],[Sidst redigeret]]&gt;TODAY()-40)*([1]!Tabel1[[#This Row],[Er i resplan?]]&lt;&gt;"Ja")*([1]!Tabel1[[#This Row],[Status]]="Pågår")</f>
        <v>0</v>
      </c>
      <c r="AG52" s="12">
        <f ca="1">[1]!Tabel1[[#This Row],[Vægtet Honorar]]*([1]!Tabel1[[#This Row],[Sidst redigeret]]&gt;TODAY()-40)*([1]!Tabel1[[#This Row],[Status]]="Pågår")</f>
        <v>0</v>
      </c>
      <c r="AH52" s="13"/>
      <c r="AI52" s="12"/>
      <c r="AJ52" s="12"/>
      <c r="AK52" s="12"/>
      <c r="AL52" s="12"/>
      <c r="AM52" s="12"/>
      <c r="AN52" s="12"/>
      <c r="AO52" s="12"/>
      <c r="AP52" s="12"/>
    </row>
    <row r="53" spans="1:42">
      <c r="A53" t="s">
        <v>180</v>
      </c>
      <c r="B53" s="8"/>
      <c r="C53" s="8" t="s">
        <v>181</v>
      </c>
      <c r="D53" s="8" t="s">
        <v>119</v>
      </c>
      <c r="E53" s="8" t="s">
        <v>120</v>
      </c>
      <c r="F53" s="8"/>
      <c r="G53" s="8"/>
      <c r="H53" s="9"/>
      <c r="I53" s="9">
        <f>[1]!Tabel1[[#This Row],[Honorar]]*[1]!Tabel1[[#This Row],[Sandsynlighed]]</f>
        <v>0</v>
      </c>
      <c r="J53" s="10"/>
      <c r="K53" s="1"/>
      <c r="L53" s="8" t="s">
        <v>104</v>
      </c>
      <c r="M53" s="11"/>
      <c r="N53" s="1"/>
      <c r="O53" s="10">
        <v>46279.611087962963</v>
      </c>
      <c r="P53" s="10"/>
      <c r="Q53" s="1"/>
      <c r="R53" s="8" t="s">
        <v>47</v>
      </c>
      <c r="S5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3" s="12">
        <f ca="1">[1]!Tabel1[[#This Row],[Vægtet Honorar]]*([1]!Tabel1[[#This Row],[Sidst redigeret]]&gt;TODAY()-40)*([1]!Tabel1[[#This Row],[Er i resplan?]]&lt;&gt;"Ja")*([1]!Tabel1[[#This Row],[Status]]="Pågår")</f>
        <v>0</v>
      </c>
      <c r="AG53" s="12">
        <f ca="1">[1]!Tabel1[[#This Row],[Vægtet Honorar]]*([1]!Tabel1[[#This Row],[Sidst redigeret]]&gt;TODAY()-40)*([1]!Tabel1[[#This Row],[Status]]="Pågår")</f>
        <v>0</v>
      </c>
      <c r="AH53" s="13"/>
      <c r="AI53" s="12"/>
      <c r="AJ53" s="12"/>
      <c r="AK53" s="12"/>
      <c r="AL53" s="12"/>
      <c r="AM53" s="12"/>
      <c r="AN53" s="12"/>
      <c r="AO53" s="12"/>
      <c r="AP53" s="12"/>
    </row>
    <row r="54" spans="1:42">
      <c r="A54" t="s">
        <v>182</v>
      </c>
      <c r="B54" s="8"/>
      <c r="C54" s="8" t="s">
        <v>183</v>
      </c>
      <c r="D54" s="8"/>
      <c r="E54" s="8"/>
      <c r="F54" s="8"/>
      <c r="G54" s="8"/>
      <c r="H54" s="9"/>
      <c r="I54" s="9">
        <f>[1]!Tabel1[[#This Row],[Honorar]]*[1]!Tabel1[[#This Row],[Sandsynlighed]]</f>
        <v>0</v>
      </c>
      <c r="J54" s="10"/>
      <c r="K54" s="1"/>
      <c r="L54" s="8"/>
      <c r="M54" s="11"/>
      <c r="N54" s="1"/>
      <c r="O54" s="10">
        <v>46279.611087962963</v>
      </c>
      <c r="P54" s="10"/>
      <c r="Q54" s="1"/>
      <c r="R54" s="8" t="s">
        <v>49</v>
      </c>
      <c r="S5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4" s="12">
        <f ca="1">[1]!Tabel1[[#This Row],[Vægtet Honorar]]*([1]!Tabel1[[#This Row],[Sidst redigeret]]&gt;TODAY()-40)*([1]!Tabel1[[#This Row],[Er i resplan?]]&lt;&gt;"Ja")*([1]!Tabel1[[#This Row],[Status]]="Pågår")</f>
        <v>0</v>
      </c>
      <c r="AG54" s="12">
        <f ca="1">[1]!Tabel1[[#This Row],[Vægtet Honorar]]*([1]!Tabel1[[#This Row],[Sidst redigeret]]&gt;TODAY()-40)*([1]!Tabel1[[#This Row],[Status]]="Pågår")</f>
        <v>0</v>
      </c>
      <c r="AH54" s="13"/>
      <c r="AI54" s="12"/>
      <c r="AJ54" s="12"/>
      <c r="AK54" s="12"/>
      <c r="AL54" s="12"/>
      <c r="AM54" s="12"/>
      <c r="AN54" s="12"/>
      <c r="AO54" s="12"/>
      <c r="AP54" s="12"/>
    </row>
    <row r="55" spans="1:42">
      <c r="A55" t="s">
        <v>182</v>
      </c>
      <c r="B55" s="8"/>
      <c r="C55" s="8" t="s">
        <v>183</v>
      </c>
      <c r="D55" s="8" t="s">
        <v>158</v>
      </c>
      <c r="E55" s="8"/>
      <c r="F55" s="8"/>
      <c r="G55" s="8"/>
      <c r="H55" s="9"/>
      <c r="I55" s="9">
        <f>[1]!Tabel1[[#This Row],[Honorar]]*[1]!Tabel1[[#This Row],[Sandsynlighed]]</f>
        <v>0</v>
      </c>
      <c r="J55" s="10"/>
      <c r="K55" s="1"/>
      <c r="L55" s="8"/>
      <c r="M55" s="11"/>
      <c r="N55" s="1"/>
      <c r="O55" s="10">
        <v>46279.611087962963</v>
      </c>
      <c r="P55" s="10"/>
      <c r="Q55" s="1"/>
      <c r="R55" s="8" t="s">
        <v>49</v>
      </c>
      <c r="S5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5" s="12">
        <f ca="1">[1]!Tabel1[[#This Row],[Vægtet Honorar]]*([1]!Tabel1[[#This Row],[Sidst redigeret]]&gt;TODAY()-40)*([1]!Tabel1[[#This Row],[Er i resplan?]]&lt;&gt;"Ja")*([1]!Tabel1[[#This Row],[Status]]="Pågår")</f>
        <v>0</v>
      </c>
      <c r="AG55" s="12">
        <f ca="1">[1]!Tabel1[[#This Row],[Vægtet Honorar]]*([1]!Tabel1[[#This Row],[Sidst redigeret]]&gt;TODAY()-40)*([1]!Tabel1[[#This Row],[Status]]="Pågår")</f>
        <v>0</v>
      </c>
      <c r="AH55" s="13"/>
      <c r="AI55" s="12"/>
      <c r="AJ55" s="12"/>
      <c r="AK55" s="12"/>
      <c r="AL55" s="12"/>
      <c r="AM55" s="12"/>
      <c r="AN55" s="12"/>
      <c r="AO55" s="12"/>
      <c r="AP55" s="12"/>
    </row>
    <row r="56" spans="1:42">
      <c r="A56" t="s">
        <v>184</v>
      </c>
      <c r="B56" s="8"/>
      <c r="C56" s="8" t="s">
        <v>185</v>
      </c>
      <c r="D56" s="8" t="s">
        <v>93</v>
      </c>
      <c r="E56" s="8"/>
      <c r="F56" s="8"/>
      <c r="G56" s="8"/>
      <c r="H56" s="9"/>
      <c r="I56" s="9">
        <f>[1]!Tabel1[[#This Row],[Honorar]]*[1]!Tabel1[[#This Row],[Sandsynlighed]]</f>
        <v>0</v>
      </c>
      <c r="J56" s="10"/>
      <c r="K56" s="1"/>
      <c r="L56" s="8"/>
      <c r="M56" s="11"/>
      <c r="N56" s="14">
        <v>45171.510243055556</v>
      </c>
      <c r="O56" s="10">
        <v>46279.611087962963</v>
      </c>
      <c r="P56" s="10"/>
      <c r="Q56" s="1"/>
      <c r="R56" s="8" t="s">
        <v>75</v>
      </c>
      <c r="S5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6" s="12">
        <f ca="1">[1]!Tabel1[[#This Row],[Vægtet Honorar]]*([1]!Tabel1[[#This Row],[Sidst redigeret]]&gt;TODAY()-40)*([1]!Tabel1[[#This Row],[Er i resplan?]]&lt;&gt;"Ja")*([1]!Tabel1[[#This Row],[Status]]="Pågår")</f>
        <v>0</v>
      </c>
      <c r="AG56" s="12">
        <f ca="1">[1]!Tabel1[[#This Row],[Vægtet Honorar]]*([1]!Tabel1[[#This Row],[Sidst redigeret]]&gt;TODAY()-40)*([1]!Tabel1[[#This Row],[Status]]="Pågår")</f>
        <v>0</v>
      </c>
      <c r="AH56" s="13"/>
      <c r="AI56" s="12"/>
      <c r="AJ56" s="12"/>
      <c r="AK56" s="12"/>
      <c r="AL56" s="12"/>
      <c r="AM56" s="12"/>
      <c r="AN56" s="12"/>
      <c r="AO56" s="12"/>
      <c r="AP56" s="12"/>
    </row>
    <row r="57" spans="1:42">
      <c r="A57" t="s">
        <v>186</v>
      </c>
      <c r="B57" s="8"/>
      <c r="C57" s="8" t="s">
        <v>187</v>
      </c>
      <c r="D57" s="8"/>
      <c r="E57" s="8"/>
      <c r="F57" s="8"/>
      <c r="G57" s="8"/>
      <c r="H57" s="9"/>
      <c r="I57" s="9">
        <f>[1]!Tabel1[[#This Row],[Honorar]]*[1]!Tabel1[[#This Row],[Sandsynlighed]]</f>
        <v>0</v>
      </c>
      <c r="J57" s="10"/>
      <c r="K57" s="1"/>
      <c r="L57" s="8"/>
      <c r="M57" s="11"/>
      <c r="N57" s="1"/>
      <c r="O57" s="10">
        <v>46279.611087962963</v>
      </c>
      <c r="P57" s="10"/>
      <c r="Q57" s="1"/>
      <c r="R57" s="8" t="s">
        <v>49</v>
      </c>
      <c r="S5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7" s="12">
        <f ca="1">[1]!Tabel1[[#This Row],[Vægtet Honorar]]*([1]!Tabel1[[#This Row],[Sidst redigeret]]&gt;TODAY()-40)*([1]!Tabel1[[#This Row],[Er i resplan?]]&lt;&gt;"Ja")*([1]!Tabel1[[#This Row],[Status]]="Pågår")</f>
        <v>0</v>
      </c>
      <c r="AG57" s="12">
        <f ca="1">[1]!Tabel1[[#This Row],[Vægtet Honorar]]*([1]!Tabel1[[#This Row],[Sidst redigeret]]&gt;TODAY()-40)*([1]!Tabel1[[#This Row],[Status]]="Pågår")</f>
        <v>0</v>
      </c>
      <c r="AH57" s="13"/>
      <c r="AI57" s="12"/>
      <c r="AJ57" s="12"/>
      <c r="AK57" s="12"/>
      <c r="AL57" s="12"/>
      <c r="AM57" s="12"/>
      <c r="AN57" s="12"/>
      <c r="AO57" s="12"/>
      <c r="AP57" s="12"/>
    </row>
    <row r="58" spans="1:42">
      <c r="A58" t="s">
        <v>188</v>
      </c>
      <c r="B58" s="8"/>
      <c r="C58" s="8" t="s">
        <v>189</v>
      </c>
      <c r="D58" s="8"/>
      <c r="E58" s="8"/>
      <c r="F58" s="8"/>
      <c r="G58" s="8"/>
      <c r="H58" s="9"/>
      <c r="I58" s="9">
        <f>[1]!Tabel1[[#This Row],[Honorar]]*[1]!Tabel1[[#This Row],[Sandsynlighed]]</f>
        <v>0</v>
      </c>
      <c r="J58" s="10"/>
      <c r="K58" s="1"/>
      <c r="L58" s="8"/>
      <c r="M58" s="11"/>
      <c r="N58" s="1"/>
      <c r="O58" s="10">
        <v>46279.611087962963</v>
      </c>
      <c r="P58" s="10"/>
      <c r="Q58" s="1"/>
      <c r="R58" s="8" t="s">
        <v>49</v>
      </c>
      <c r="S5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8" s="12">
        <f ca="1">[1]!Tabel1[[#This Row],[Vægtet Honorar]]*([1]!Tabel1[[#This Row],[Sidst redigeret]]&gt;TODAY()-40)*([1]!Tabel1[[#This Row],[Er i resplan?]]&lt;&gt;"Ja")*([1]!Tabel1[[#This Row],[Status]]="Pågår")</f>
        <v>0</v>
      </c>
      <c r="AG58" s="12">
        <f ca="1">[1]!Tabel1[[#This Row],[Vægtet Honorar]]*([1]!Tabel1[[#This Row],[Sidst redigeret]]&gt;TODAY()-40)*([1]!Tabel1[[#This Row],[Status]]="Pågår")</f>
        <v>0</v>
      </c>
      <c r="AH58" s="13"/>
      <c r="AI58" s="12"/>
      <c r="AJ58" s="12"/>
      <c r="AK58" s="12"/>
      <c r="AL58" s="12"/>
      <c r="AM58" s="12"/>
      <c r="AN58" s="12"/>
      <c r="AO58" s="12"/>
      <c r="AP58" s="12"/>
    </row>
    <row r="59" spans="1:42">
      <c r="A59" t="s">
        <v>190</v>
      </c>
      <c r="B59" s="8"/>
      <c r="C59" s="8" t="s">
        <v>191</v>
      </c>
      <c r="D59" s="8"/>
      <c r="E59" s="8"/>
      <c r="F59" s="8"/>
      <c r="G59" s="8"/>
      <c r="H59" s="9"/>
      <c r="I59" s="9">
        <f>[1]!Tabel1[[#This Row],[Honorar]]*[1]!Tabel1[[#This Row],[Sandsynlighed]]</f>
        <v>0</v>
      </c>
      <c r="J59" s="10"/>
      <c r="K59" s="1"/>
      <c r="L59" s="8"/>
      <c r="M59" s="11"/>
      <c r="N59" s="1"/>
      <c r="O59" s="10">
        <v>46279.611087962963</v>
      </c>
      <c r="P59" s="10"/>
      <c r="Q59" s="1"/>
      <c r="R59" s="8" t="s">
        <v>49</v>
      </c>
      <c r="S5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9" s="12">
        <f ca="1">[1]!Tabel1[[#This Row],[Vægtet Honorar]]*([1]!Tabel1[[#This Row],[Sidst redigeret]]&gt;TODAY()-40)*([1]!Tabel1[[#This Row],[Er i resplan?]]&lt;&gt;"Ja")*([1]!Tabel1[[#This Row],[Status]]="Pågår")</f>
        <v>0</v>
      </c>
      <c r="AG59" s="12">
        <f ca="1">[1]!Tabel1[[#This Row],[Vægtet Honorar]]*([1]!Tabel1[[#This Row],[Sidst redigeret]]&gt;TODAY()-40)*([1]!Tabel1[[#This Row],[Status]]="Pågår")</f>
        <v>0</v>
      </c>
      <c r="AH59" s="13"/>
      <c r="AI59" s="12"/>
      <c r="AJ59" s="12"/>
      <c r="AK59" s="12"/>
      <c r="AL59" s="12"/>
      <c r="AM59" s="12"/>
      <c r="AN59" s="12"/>
      <c r="AO59" s="12"/>
      <c r="AP59" s="12"/>
    </row>
    <row r="60" spans="1:42">
      <c r="A60" t="s">
        <v>192</v>
      </c>
      <c r="B60" s="8"/>
      <c r="C60" s="8" t="s">
        <v>193</v>
      </c>
      <c r="D60" s="8"/>
      <c r="E60" s="8"/>
      <c r="F60" s="8"/>
      <c r="G60" s="8"/>
      <c r="H60" s="9"/>
      <c r="I60" s="9">
        <f>[1]!Tabel1[[#This Row],[Honorar]]*[1]!Tabel1[[#This Row],[Sandsynlighed]]</f>
        <v>0</v>
      </c>
      <c r="J60" s="10"/>
      <c r="K60" s="1"/>
      <c r="L60" s="8"/>
      <c r="M60" s="11"/>
      <c r="N60" s="1"/>
      <c r="O60" s="10">
        <v>46279.611087962963</v>
      </c>
      <c r="P60" s="10"/>
      <c r="Q60" s="1"/>
      <c r="R60" s="8" t="s">
        <v>49</v>
      </c>
      <c r="S6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0" s="12">
        <f ca="1">[1]!Tabel1[[#This Row],[Vægtet Honorar]]*([1]!Tabel1[[#This Row],[Sidst redigeret]]&gt;TODAY()-40)*([1]!Tabel1[[#This Row],[Er i resplan?]]&lt;&gt;"Ja")*([1]!Tabel1[[#This Row],[Status]]="Pågår")</f>
        <v>0</v>
      </c>
      <c r="AG60" s="12">
        <f ca="1">[1]!Tabel1[[#This Row],[Vægtet Honorar]]*([1]!Tabel1[[#This Row],[Sidst redigeret]]&gt;TODAY()-40)*([1]!Tabel1[[#This Row],[Status]]="Pågår")</f>
        <v>0</v>
      </c>
      <c r="AH60" s="13"/>
      <c r="AI60" s="12"/>
      <c r="AJ60" s="12"/>
      <c r="AK60" s="12"/>
      <c r="AL60" s="12"/>
      <c r="AM60" s="12"/>
      <c r="AN60" s="12"/>
      <c r="AO60" s="12"/>
      <c r="AP60" s="12"/>
    </row>
    <row r="61" spans="1:42">
      <c r="A61" t="s">
        <v>194</v>
      </c>
      <c r="B61" s="8"/>
      <c r="C61" s="8" t="s">
        <v>195</v>
      </c>
      <c r="D61" s="8"/>
      <c r="E61" s="8"/>
      <c r="F61" s="8"/>
      <c r="G61" s="8"/>
      <c r="H61" s="9"/>
      <c r="I61" s="9">
        <f>[1]!Tabel1[[#This Row],[Honorar]]*[1]!Tabel1[[#This Row],[Sandsynlighed]]</f>
        <v>0</v>
      </c>
      <c r="J61" s="10"/>
      <c r="K61" s="1"/>
      <c r="L61" s="8"/>
      <c r="M61" s="11"/>
      <c r="N61" s="1"/>
      <c r="O61" s="10">
        <v>46279.611087962963</v>
      </c>
      <c r="P61" s="10"/>
      <c r="Q61" s="1"/>
      <c r="R61" s="8" t="s">
        <v>49</v>
      </c>
      <c r="S6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1" s="12">
        <f ca="1">[1]!Tabel1[[#This Row],[Vægtet Honorar]]*([1]!Tabel1[[#This Row],[Sidst redigeret]]&gt;TODAY()-40)*([1]!Tabel1[[#This Row],[Er i resplan?]]&lt;&gt;"Ja")*([1]!Tabel1[[#This Row],[Status]]="Pågår")</f>
        <v>0</v>
      </c>
      <c r="AG61" s="12">
        <f ca="1">[1]!Tabel1[[#This Row],[Vægtet Honorar]]*([1]!Tabel1[[#This Row],[Sidst redigeret]]&gt;TODAY()-40)*([1]!Tabel1[[#This Row],[Status]]="Pågår")</f>
        <v>0</v>
      </c>
      <c r="AH61" s="13"/>
      <c r="AI61" s="12"/>
      <c r="AJ61" s="12"/>
      <c r="AK61" s="12"/>
      <c r="AL61" s="12"/>
      <c r="AM61" s="12"/>
      <c r="AN61" s="12"/>
      <c r="AO61" s="12"/>
      <c r="AP61" s="12"/>
    </row>
    <row r="62" spans="1:42">
      <c r="A62" t="s">
        <v>194</v>
      </c>
      <c r="B62" s="8"/>
      <c r="C62" s="8" t="s">
        <v>196</v>
      </c>
      <c r="D62" s="8" t="s">
        <v>197</v>
      </c>
      <c r="E62" s="8" t="s">
        <v>167</v>
      </c>
      <c r="F62" s="8"/>
      <c r="G62" s="8"/>
      <c r="H62" s="9"/>
      <c r="I62" s="9">
        <f>[1]!Tabel1[[#This Row],[Honorar]]*[1]!Tabel1[[#This Row],[Sandsynlighed]]</f>
        <v>0</v>
      </c>
      <c r="J62" s="10"/>
      <c r="K62" s="1"/>
      <c r="L62" s="8"/>
      <c r="M62" s="11">
        <v>0</v>
      </c>
      <c r="N62" s="1"/>
      <c r="O62" s="10">
        <v>46279.611087962963</v>
      </c>
      <c r="P62" s="10"/>
      <c r="Q62" s="1"/>
      <c r="R62" s="8" t="s">
        <v>75</v>
      </c>
      <c r="S6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2" s="12">
        <f ca="1">[1]!Tabel1[[#This Row],[Vægtet Honorar]]*([1]!Tabel1[[#This Row],[Sidst redigeret]]&gt;TODAY()-40)*([1]!Tabel1[[#This Row],[Er i resplan?]]&lt;&gt;"Ja")*([1]!Tabel1[[#This Row],[Status]]="Pågår")</f>
        <v>0</v>
      </c>
      <c r="AG62" s="12">
        <f ca="1">[1]!Tabel1[[#This Row],[Vægtet Honorar]]*([1]!Tabel1[[#This Row],[Sidst redigeret]]&gt;TODAY()-40)*([1]!Tabel1[[#This Row],[Status]]="Pågår")</f>
        <v>0</v>
      </c>
      <c r="AH62" s="13"/>
      <c r="AI62" s="12"/>
      <c r="AJ62" s="12"/>
      <c r="AK62" s="12"/>
      <c r="AL62" s="12"/>
      <c r="AM62" s="12"/>
      <c r="AN62" s="12"/>
      <c r="AO62" s="12"/>
      <c r="AP62" s="12"/>
    </row>
    <row r="63" spans="1:42">
      <c r="A63" t="s">
        <v>198</v>
      </c>
      <c r="B63" s="8"/>
      <c r="C63" s="8" t="s">
        <v>199</v>
      </c>
      <c r="D63" s="8" t="s">
        <v>200</v>
      </c>
      <c r="E63" s="8" t="s">
        <v>120</v>
      </c>
      <c r="F63" s="8"/>
      <c r="G63" s="8"/>
      <c r="H63" s="9"/>
      <c r="I63" s="9">
        <f>[1]!Tabel1[[#This Row],[Honorar]]*[1]!Tabel1[[#This Row],[Sandsynlighed]]</f>
        <v>0</v>
      </c>
      <c r="J63" s="10"/>
      <c r="K63" s="1"/>
      <c r="L63" s="8" t="s">
        <v>49</v>
      </c>
      <c r="M63" s="11"/>
      <c r="N63" s="1"/>
      <c r="O63" s="10">
        <v>46279.611087962963</v>
      </c>
      <c r="P63" s="10"/>
      <c r="Q63" s="1"/>
      <c r="R63" s="8" t="s">
        <v>49</v>
      </c>
      <c r="S6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3" s="12">
        <f ca="1">[1]!Tabel1[[#This Row],[Vægtet Honorar]]*([1]!Tabel1[[#This Row],[Sidst redigeret]]&gt;TODAY()-40)*([1]!Tabel1[[#This Row],[Er i resplan?]]&lt;&gt;"Ja")*([1]!Tabel1[[#This Row],[Status]]="Pågår")</f>
        <v>0</v>
      </c>
      <c r="AG63" s="12">
        <f ca="1">[1]!Tabel1[[#This Row],[Vægtet Honorar]]*([1]!Tabel1[[#This Row],[Sidst redigeret]]&gt;TODAY()-40)*([1]!Tabel1[[#This Row],[Status]]="Pågår")</f>
        <v>0</v>
      </c>
      <c r="AH63" s="13"/>
      <c r="AI63" s="12"/>
      <c r="AJ63" s="12"/>
      <c r="AK63" s="12"/>
      <c r="AL63" s="12"/>
      <c r="AM63" s="12"/>
      <c r="AN63" s="12"/>
      <c r="AO63" s="12"/>
      <c r="AP63" s="12"/>
    </row>
    <row r="64" spans="1:42">
      <c r="A64" t="s">
        <v>201</v>
      </c>
      <c r="B64" s="8"/>
      <c r="C64" s="8" t="s">
        <v>202</v>
      </c>
      <c r="D64" s="8" t="s">
        <v>203</v>
      </c>
      <c r="E64" s="8"/>
      <c r="F64" s="8"/>
      <c r="G64" s="8"/>
      <c r="H64" s="9"/>
      <c r="I64" s="9">
        <f>[1]!Tabel1[[#This Row],[Honorar]]*[1]!Tabel1[[#This Row],[Sandsynlighed]]</f>
        <v>0</v>
      </c>
      <c r="J64" s="10"/>
      <c r="K64" s="1"/>
      <c r="L64" s="8"/>
      <c r="M64" s="11"/>
      <c r="N64" s="1"/>
      <c r="O64" s="10">
        <v>46279.611087962963</v>
      </c>
      <c r="P64" s="10"/>
      <c r="Q64" s="1"/>
      <c r="R64" s="8" t="s">
        <v>49</v>
      </c>
      <c r="S6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4" s="12">
        <f ca="1">[1]!Tabel1[[#This Row],[Vægtet Honorar]]*([1]!Tabel1[[#This Row],[Sidst redigeret]]&gt;TODAY()-40)*([1]!Tabel1[[#This Row],[Er i resplan?]]&lt;&gt;"Ja")*([1]!Tabel1[[#This Row],[Status]]="Pågår")</f>
        <v>0</v>
      </c>
      <c r="AG64" s="12">
        <f ca="1">[1]!Tabel1[[#This Row],[Vægtet Honorar]]*([1]!Tabel1[[#This Row],[Sidst redigeret]]&gt;TODAY()-40)*([1]!Tabel1[[#This Row],[Status]]="Pågår")</f>
        <v>0</v>
      </c>
      <c r="AH64" s="13"/>
      <c r="AI64" s="12"/>
      <c r="AJ64" s="12"/>
      <c r="AK64" s="12"/>
      <c r="AL64" s="12"/>
      <c r="AM64" s="12"/>
      <c r="AN64" s="12"/>
      <c r="AO64" s="12"/>
      <c r="AP64" s="12"/>
    </row>
    <row r="65" spans="1:42">
      <c r="A65" t="s">
        <v>204</v>
      </c>
      <c r="B65" s="8"/>
      <c r="C65" s="8" t="s">
        <v>205</v>
      </c>
      <c r="D65" s="8" t="s">
        <v>206</v>
      </c>
      <c r="E65" s="8" t="s">
        <v>94</v>
      </c>
      <c r="F65" s="8" t="s">
        <v>207</v>
      </c>
      <c r="G65" s="8" t="s">
        <v>207</v>
      </c>
      <c r="H65" s="9">
        <v>5000000</v>
      </c>
      <c r="I65" s="9">
        <f>[1]!Tabel1[[#This Row],[Honorar]]*[1]!Tabel1[[#This Row],[Sandsynlighed]]</f>
        <v>0</v>
      </c>
      <c r="J65" s="10"/>
      <c r="K65" s="1"/>
      <c r="L65" s="8" t="s">
        <v>208</v>
      </c>
      <c r="M65" s="11">
        <v>0.01</v>
      </c>
      <c r="N65" s="1"/>
      <c r="O65" s="10">
        <v>46279.611087962963</v>
      </c>
      <c r="P65" s="1" t="s">
        <v>72</v>
      </c>
      <c r="Q65" s="1" t="s">
        <v>72</v>
      </c>
      <c r="R65" s="8" t="s">
        <v>49</v>
      </c>
      <c r="S6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5" s="12">
        <f ca="1">[1]!Tabel1[[#This Row],[Vægtet Honorar]]*([1]!Tabel1[[#This Row],[Sidst redigeret]]&gt;TODAY()-40)*([1]!Tabel1[[#This Row],[Er i resplan?]]&lt;&gt;"Ja")*([1]!Tabel1[[#This Row],[Status]]="Pågår")</f>
        <v>0</v>
      </c>
      <c r="AG65" s="12">
        <f ca="1">[1]!Tabel1[[#This Row],[Vægtet Honorar]]*([1]!Tabel1[[#This Row],[Sidst redigeret]]&gt;TODAY()-40)*([1]!Tabel1[[#This Row],[Status]]="Pågår")</f>
        <v>0</v>
      </c>
      <c r="AH65" s="13"/>
      <c r="AI65" s="12"/>
      <c r="AJ65" s="12"/>
      <c r="AK65" s="12"/>
      <c r="AL65" s="12"/>
      <c r="AM65" s="12"/>
      <c r="AN65" s="12"/>
      <c r="AO65" s="12"/>
      <c r="AP65" s="12"/>
    </row>
    <row r="66" spans="1:42">
      <c r="A66" t="s">
        <v>209</v>
      </c>
      <c r="B66" s="8"/>
      <c r="C66" s="8" t="s">
        <v>210</v>
      </c>
      <c r="D66" s="8"/>
      <c r="E66" s="8"/>
      <c r="F66" s="8"/>
      <c r="G66" s="8"/>
      <c r="H66" s="9"/>
      <c r="I66" s="9">
        <f>[1]!Tabel1[[#This Row],[Honorar]]*[1]!Tabel1[[#This Row],[Sandsynlighed]]</f>
        <v>0</v>
      </c>
      <c r="J66" s="10"/>
      <c r="K66" s="1"/>
      <c r="L66" s="8"/>
      <c r="M66" s="11"/>
      <c r="N66" s="1"/>
      <c r="O66" s="10">
        <v>46279.611087962963</v>
      </c>
      <c r="P66" s="10"/>
      <c r="Q66" s="1"/>
      <c r="R66" s="8" t="s">
        <v>49</v>
      </c>
      <c r="S6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6" s="12">
        <f ca="1">[1]!Tabel1[[#This Row],[Vægtet Honorar]]*([1]!Tabel1[[#This Row],[Sidst redigeret]]&gt;TODAY()-40)*([1]!Tabel1[[#This Row],[Er i resplan?]]&lt;&gt;"Ja")*([1]!Tabel1[[#This Row],[Status]]="Pågår")</f>
        <v>0</v>
      </c>
      <c r="AG66" s="12">
        <f ca="1">[1]!Tabel1[[#This Row],[Vægtet Honorar]]*([1]!Tabel1[[#This Row],[Sidst redigeret]]&gt;TODAY()-40)*([1]!Tabel1[[#This Row],[Status]]="Pågår")</f>
        <v>0</v>
      </c>
      <c r="AH66" s="13"/>
      <c r="AI66" s="12"/>
      <c r="AJ66" s="12"/>
      <c r="AK66" s="12"/>
      <c r="AL66" s="12"/>
      <c r="AM66" s="12"/>
      <c r="AN66" s="12"/>
      <c r="AO66" s="12"/>
      <c r="AP66" s="12"/>
    </row>
    <row r="67" spans="1:42">
      <c r="A67" t="s">
        <v>211</v>
      </c>
      <c r="B67" s="8"/>
      <c r="C67" s="8" t="s">
        <v>212</v>
      </c>
      <c r="D67" s="8"/>
      <c r="E67" s="8"/>
      <c r="F67" s="8"/>
      <c r="G67" s="8"/>
      <c r="H67" s="9"/>
      <c r="I67" s="9">
        <f>[1]!Tabel1[[#This Row],[Honorar]]*[1]!Tabel1[[#This Row],[Sandsynlighed]]</f>
        <v>0</v>
      </c>
      <c r="J67" s="10"/>
      <c r="K67" s="1"/>
      <c r="L67" s="8"/>
      <c r="M67" s="11"/>
      <c r="N67" s="1"/>
      <c r="O67" s="10">
        <v>46279.611087962963</v>
      </c>
      <c r="P67" s="10"/>
      <c r="Q67" s="1"/>
      <c r="R67" s="8" t="s">
        <v>49</v>
      </c>
      <c r="S6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7" s="12">
        <f ca="1">[1]!Tabel1[[#This Row],[Vægtet Honorar]]*([1]!Tabel1[[#This Row],[Sidst redigeret]]&gt;TODAY()-40)*([1]!Tabel1[[#This Row],[Er i resplan?]]&lt;&gt;"Ja")*([1]!Tabel1[[#This Row],[Status]]="Pågår")</f>
        <v>0</v>
      </c>
      <c r="AG67" s="12">
        <f ca="1">[1]!Tabel1[[#This Row],[Vægtet Honorar]]*([1]!Tabel1[[#This Row],[Sidst redigeret]]&gt;TODAY()-40)*([1]!Tabel1[[#This Row],[Status]]="Pågår")</f>
        <v>0</v>
      </c>
      <c r="AH67" s="13"/>
      <c r="AI67" s="12"/>
      <c r="AJ67" s="12" t="s">
        <v>213</v>
      </c>
      <c r="AK67" s="12" t="s">
        <v>214</v>
      </c>
      <c r="AL67" s="12" t="s">
        <v>215</v>
      </c>
      <c r="AM67" s="12" t="s">
        <v>216</v>
      </c>
      <c r="AN67" s="12"/>
      <c r="AO67" s="12"/>
      <c r="AP67" s="12"/>
    </row>
    <row r="68" spans="1:42">
      <c r="A68" t="s">
        <v>217</v>
      </c>
      <c r="B68" s="8"/>
      <c r="C68" s="8" t="s">
        <v>218</v>
      </c>
      <c r="D68" s="8" t="s">
        <v>219</v>
      </c>
      <c r="E68" s="8"/>
      <c r="F68" s="8"/>
      <c r="G68" s="8"/>
      <c r="H68" s="9"/>
      <c r="I68" s="9">
        <f>[1]!Tabel1[[#This Row],[Honorar]]*[1]!Tabel1[[#This Row],[Sandsynlighed]]</f>
        <v>0</v>
      </c>
      <c r="J68" s="10"/>
      <c r="K68" s="1"/>
      <c r="L68" s="8"/>
      <c r="M68" s="11"/>
      <c r="N68" s="1"/>
      <c r="O68" s="10">
        <v>46279.611087962963</v>
      </c>
      <c r="P68" s="10"/>
      <c r="Q68" s="1"/>
      <c r="R68" s="8" t="s">
        <v>49</v>
      </c>
      <c r="S6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8" s="12">
        <f ca="1">[1]!Tabel1[[#This Row],[Vægtet Honorar]]*([1]!Tabel1[[#This Row],[Sidst redigeret]]&gt;TODAY()-40)*([1]!Tabel1[[#This Row],[Er i resplan?]]&lt;&gt;"Ja")*([1]!Tabel1[[#This Row],[Status]]="Pågår")</f>
        <v>0</v>
      </c>
      <c r="AG68" s="12">
        <f ca="1">[1]!Tabel1[[#This Row],[Vægtet Honorar]]*([1]!Tabel1[[#This Row],[Sidst redigeret]]&gt;TODAY()-40)*([1]!Tabel1[[#This Row],[Status]]="Pågår")</f>
        <v>0</v>
      </c>
      <c r="AH68" s="13"/>
      <c r="AI68" s="12"/>
      <c r="AJ68" s="12"/>
      <c r="AK68" s="12"/>
      <c r="AL68" s="12"/>
      <c r="AM68" s="12"/>
      <c r="AN68" s="12"/>
      <c r="AO68" s="12"/>
      <c r="AP68" s="12"/>
    </row>
    <row r="69" spans="1:42">
      <c r="A69" t="s">
        <v>220</v>
      </c>
      <c r="B69" s="8"/>
      <c r="C69" s="8" t="s">
        <v>221</v>
      </c>
      <c r="D69" s="8"/>
      <c r="E69" s="8"/>
      <c r="F69" s="8"/>
      <c r="G69" s="8"/>
      <c r="H69" s="9"/>
      <c r="I69" s="9">
        <f>[1]!Tabel1[[#This Row],[Honorar]]*[1]!Tabel1[[#This Row],[Sandsynlighed]]</f>
        <v>0</v>
      </c>
      <c r="J69" s="10"/>
      <c r="K69" s="1"/>
      <c r="L69" s="8"/>
      <c r="M69" s="11"/>
      <c r="N69" s="1"/>
      <c r="O69" s="10">
        <v>46279.611087962963</v>
      </c>
      <c r="P69" s="10"/>
      <c r="Q69" s="1"/>
      <c r="R69" s="8" t="s">
        <v>49</v>
      </c>
      <c r="S6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9" s="12">
        <f ca="1">[1]!Tabel1[[#This Row],[Vægtet Honorar]]*([1]!Tabel1[[#This Row],[Sidst redigeret]]&gt;TODAY()-40)*([1]!Tabel1[[#This Row],[Er i resplan?]]&lt;&gt;"Ja")*([1]!Tabel1[[#This Row],[Status]]="Pågår")</f>
        <v>0</v>
      </c>
      <c r="AG69" s="12">
        <f ca="1">[1]!Tabel1[[#This Row],[Vægtet Honorar]]*([1]!Tabel1[[#This Row],[Sidst redigeret]]&gt;TODAY()-40)*([1]!Tabel1[[#This Row],[Status]]="Pågår")</f>
        <v>0</v>
      </c>
      <c r="AH69" s="13"/>
      <c r="AI69" s="12"/>
      <c r="AJ69" s="12"/>
      <c r="AK69" s="12"/>
      <c r="AL69" s="12"/>
      <c r="AM69" s="12"/>
      <c r="AN69" s="12"/>
      <c r="AO69" s="12"/>
      <c r="AP69" s="12"/>
    </row>
    <row r="70" spans="1:42">
      <c r="A70" t="s">
        <v>222</v>
      </c>
      <c r="B70" s="8"/>
      <c r="C70" s="8" t="s">
        <v>223</v>
      </c>
      <c r="D70" s="8"/>
      <c r="E70" s="8"/>
      <c r="F70" s="8"/>
      <c r="G70" s="8"/>
      <c r="H70" s="9"/>
      <c r="I70" s="9">
        <f>[1]!Tabel1[[#This Row],[Honorar]]*[1]!Tabel1[[#This Row],[Sandsynlighed]]</f>
        <v>50000</v>
      </c>
      <c r="J70" s="10"/>
      <c r="K70" s="1"/>
      <c r="L70" s="8"/>
      <c r="M70" s="11"/>
      <c r="N70" s="1"/>
      <c r="O70" s="10">
        <v>46279.611087962963</v>
      </c>
      <c r="P70" s="10"/>
      <c r="Q70" s="1"/>
      <c r="R70" s="8" t="s">
        <v>49</v>
      </c>
      <c r="S7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7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7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7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7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7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7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7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7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7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7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7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7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70" s="12">
        <f ca="1">[1]!Tabel1[[#This Row],[Vægtet Honorar]]*([1]!Tabel1[[#This Row],[Sidst redigeret]]&gt;TODAY()-40)*([1]!Tabel1[[#This Row],[Er i resplan?]]&lt;&gt;"Ja")*([1]!Tabel1[[#This Row],[Status]]="Pågår")</f>
        <v>0</v>
      </c>
      <c r="AG70" s="12">
        <f ca="1">[1]!Tabel1[[#This Row],[Vægtet Honorar]]*([1]!Tabel1[[#This Row],[Sidst redigeret]]&gt;TODAY()-40)*([1]!Tabel1[[#This Row],[Status]]="Pågår")</f>
        <v>0</v>
      </c>
      <c r="AH70" s="13"/>
      <c r="AI70" s="12"/>
      <c r="AJ70" s="12"/>
      <c r="AK70" s="12"/>
      <c r="AL70" s="12"/>
      <c r="AM70" s="12"/>
      <c r="AN70" s="12"/>
      <c r="AO70" s="12"/>
      <c r="AP70" s="12"/>
    </row>
    <row r="71" spans="1:42">
      <c r="A71" t="s">
        <v>224</v>
      </c>
      <c r="B71" s="8"/>
      <c r="C71" s="8" t="s">
        <v>225</v>
      </c>
      <c r="D71" s="8"/>
      <c r="E71" s="8"/>
      <c r="F71" s="8"/>
      <c r="G71" s="8"/>
      <c r="H71" s="9"/>
      <c r="I71" s="9">
        <f>[1]!Tabel1[[#This Row],[Honorar]]*[1]!Tabel1[[#This Row],[Sandsynlighed]]</f>
        <v>0</v>
      </c>
      <c r="J71" s="10"/>
      <c r="K71" s="1"/>
      <c r="L71" s="8"/>
      <c r="M71" s="11"/>
      <c r="N71" s="1"/>
      <c r="O71" s="10">
        <v>46279.611087962963</v>
      </c>
      <c r="P71" s="10"/>
      <c r="Q71" s="1"/>
      <c r="R71" s="8" t="s">
        <v>49</v>
      </c>
      <c r="S7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7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7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7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7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7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7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7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7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7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7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7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7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71" s="12">
        <f ca="1">[1]!Tabel1[[#This Row],[Vægtet Honorar]]*([1]!Tabel1[[#This Row],[Sidst redigeret]]&gt;TODAY()-40)*([1]!Tabel1[[#This Row],[Er i resplan?]]&lt;&gt;"Ja")*([1]!Tabel1[[#This Row],[Status]]="Pågår")</f>
        <v>0</v>
      </c>
      <c r="AG71" s="12">
        <f ca="1">[1]!Tabel1[[#This Row],[Vægtet Honorar]]*([1]!Tabel1[[#This Row],[Sidst redigeret]]&gt;TODAY()-40)*([1]!Tabel1[[#This Row],[Status]]="Pågår")</f>
        <v>0</v>
      </c>
      <c r="AH71" s="13"/>
      <c r="AI71" s="12"/>
      <c r="AJ71" s="12"/>
      <c r="AK71" s="12"/>
      <c r="AL71" s="12"/>
      <c r="AM71" s="12"/>
      <c r="AN71" s="12"/>
      <c r="AO71" s="12"/>
      <c r="AP71" s="12"/>
    </row>
    <row r="72" spans="1:42">
      <c r="A72" t="s">
        <v>226</v>
      </c>
      <c r="B72" s="8"/>
      <c r="C72" s="8" t="s">
        <v>227</v>
      </c>
      <c r="D72" s="8"/>
      <c r="E72" s="8"/>
      <c r="F72" s="8"/>
      <c r="G72" s="8"/>
      <c r="H72" s="9"/>
      <c r="I72" s="9">
        <f>[1]!Tabel1[[#This Row],[Honorar]]*[1]!Tabel1[[#This Row],[Sandsynlighed]]</f>
        <v>0</v>
      </c>
      <c r="J72" s="10"/>
      <c r="K72" s="1"/>
      <c r="L72" s="8"/>
      <c r="M72" s="11"/>
      <c r="N72" s="1"/>
      <c r="O72" s="10">
        <v>46279.611087962963</v>
      </c>
      <c r="P72" s="10"/>
      <c r="Q72" s="1"/>
      <c r="R72" s="8" t="s">
        <v>49</v>
      </c>
      <c r="S7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7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7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7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7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7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7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7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7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7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7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7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7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72" s="12">
        <f ca="1">[1]!Tabel1[[#This Row],[Vægtet Honorar]]*([1]!Tabel1[[#This Row],[Sidst redigeret]]&gt;TODAY()-40)*([1]!Tabel1[[#This Row],[Er i resplan?]]&lt;&gt;"Ja")*([1]!Tabel1[[#This Row],[Status]]="Pågår")</f>
        <v>0</v>
      </c>
      <c r="AG72" s="12">
        <f ca="1">[1]!Tabel1[[#This Row],[Vægtet Honorar]]*([1]!Tabel1[[#This Row],[Sidst redigeret]]&gt;TODAY()-40)*([1]!Tabel1[[#This Row],[Status]]="Pågår")</f>
        <v>0</v>
      </c>
      <c r="AH72" s="13"/>
      <c r="AI72" s="12"/>
      <c r="AJ72" s="12"/>
      <c r="AK72" s="12"/>
      <c r="AL72" s="12"/>
      <c r="AM72" s="12"/>
      <c r="AN72" s="12"/>
      <c r="AO72" s="12"/>
      <c r="AP72" s="12"/>
    </row>
    <row r="73" spans="1:42">
      <c r="A73" t="s">
        <v>228</v>
      </c>
      <c r="B73" s="8"/>
      <c r="C73" s="8" t="s">
        <v>229</v>
      </c>
      <c r="D73" s="8" t="s">
        <v>70</v>
      </c>
      <c r="E73" s="8" t="s">
        <v>102</v>
      </c>
      <c r="F73" s="8" t="s">
        <v>111</v>
      </c>
      <c r="G73" s="8"/>
      <c r="H73" s="9">
        <v>175000</v>
      </c>
      <c r="I73" s="9">
        <f>[1]!Tabel1[[#This Row],[Honorar]]*[1]!Tabel1[[#This Row],[Sandsynlighed]]</f>
        <v>0</v>
      </c>
      <c r="J73" s="10" t="s">
        <v>103</v>
      </c>
      <c r="K73" s="1">
        <v>2023</v>
      </c>
      <c r="L73" s="8" t="s">
        <v>104</v>
      </c>
      <c r="M73" s="11">
        <v>1</v>
      </c>
      <c r="N73" s="1" t="s">
        <v>105</v>
      </c>
      <c r="O73" s="10">
        <v>46279.611087962963</v>
      </c>
      <c r="P73" s="10"/>
      <c r="Q73" s="1" t="s">
        <v>46</v>
      </c>
      <c r="R73" s="8" t="s">
        <v>47</v>
      </c>
      <c r="S7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7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7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7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7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7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7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7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7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7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7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7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7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73" s="12">
        <f ca="1">[1]!Tabel1[[#This Row],[Vægtet Honorar]]*([1]!Tabel1[[#This Row],[Sidst redigeret]]&gt;TODAY()-40)*([1]!Tabel1[[#This Row],[Er i resplan?]]&lt;&gt;"Ja")*([1]!Tabel1[[#This Row],[Status]]="Pågår")</f>
        <v>0</v>
      </c>
      <c r="AG73" s="12">
        <f ca="1">[1]!Tabel1[[#This Row],[Vægtet Honorar]]*([1]!Tabel1[[#This Row],[Sidst redigeret]]&gt;TODAY()-40)*([1]!Tabel1[[#This Row],[Status]]="Pågår")</f>
        <v>0</v>
      </c>
      <c r="AH73" s="13"/>
      <c r="AI73" s="12"/>
      <c r="AJ73" s="12"/>
      <c r="AK73" s="12"/>
      <c r="AL73" s="12"/>
      <c r="AM73" s="12"/>
      <c r="AN73" s="12"/>
      <c r="AO73" s="12"/>
      <c r="AP73" s="12"/>
    </row>
    <row r="74" spans="1:42">
      <c r="A74" t="s">
        <v>230</v>
      </c>
      <c r="B74" s="8"/>
      <c r="C74" s="8" t="s">
        <v>231</v>
      </c>
      <c r="D74" s="8" t="s">
        <v>119</v>
      </c>
      <c r="E74" s="8" t="s">
        <v>120</v>
      </c>
      <c r="F74" s="8"/>
      <c r="G74" s="8"/>
      <c r="H74" s="9">
        <v>35000</v>
      </c>
      <c r="I74" s="9">
        <f>[1]!Tabel1[[#This Row],[Honorar]]*[1]!Tabel1[[#This Row],[Sandsynlighed]]</f>
        <v>0</v>
      </c>
      <c r="J74" s="10">
        <v>45078</v>
      </c>
      <c r="K74" s="1">
        <v>2023</v>
      </c>
      <c r="L74" s="8" t="s">
        <v>232</v>
      </c>
      <c r="M74" s="11">
        <v>1</v>
      </c>
      <c r="N74" s="1"/>
      <c r="O74" s="10">
        <v>46279.611087962963</v>
      </c>
      <c r="P74" s="10"/>
      <c r="Q74" s="1" t="s">
        <v>46</v>
      </c>
      <c r="R74" s="8" t="s">
        <v>47</v>
      </c>
      <c r="S7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7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7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7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7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7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7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7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7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7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7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7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7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74" s="12">
        <f ca="1">[1]!Tabel1[[#This Row],[Vægtet Honorar]]*([1]!Tabel1[[#This Row],[Sidst redigeret]]&gt;TODAY()-40)*([1]!Tabel1[[#This Row],[Er i resplan?]]&lt;&gt;"Ja")*([1]!Tabel1[[#This Row],[Status]]="Pågår")</f>
        <v>0</v>
      </c>
      <c r="AG74" s="12">
        <f ca="1">[1]!Tabel1[[#This Row],[Vægtet Honorar]]*([1]!Tabel1[[#This Row],[Sidst redigeret]]&gt;TODAY()-40)*([1]!Tabel1[[#This Row],[Status]]="Pågår")</f>
        <v>0</v>
      </c>
      <c r="AH74" s="13"/>
      <c r="AI74" s="12"/>
      <c r="AJ74" s="12"/>
      <c r="AK74" s="12"/>
      <c r="AL74" s="12"/>
      <c r="AM74" s="12"/>
      <c r="AN74" s="12"/>
      <c r="AO74" s="12"/>
      <c r="AP74" s="12"/>
    </row>
    <row r="75" spans="1:42">
      <c r="A75" t="s">
        <v>233</v>
      </c>
      <c r="B75" s="8"/>
      <c r="C75" s="8" t="s">
        <v>234</v>
      </c>
      <c r="D75" s="8" t="s">
        <v>197</v>
      </c>
      <c r="E75" s="8" t="s">
        <v>167</v>
      </c>
      <c r="F75" s="8" t="s">
        <v>235</v>
      </c>
      <c r="G75" s="8" t="s">
        <v>236</v>
      </c>
      <c r="H75" s="9"/>
      <c r="I75" s="9">
        <f>[1]!Tabel1[[#This Row],[Honorar]]*[1]!Tabel1[[#This Row],[Sandsynlighed]]</f>
        <v>0</v>
      </c>
      <c r="J75" s="10"/>
      <c r="K75" s="1"/>
      <c r="L75" s="8" t="s">
        <v>237</v>
      </c>
      <c r="M75" s="11">
        <v>1</v>
      </c>
      <c r="N75" s="1"/>
      <c r="O75" s="10">
        <v>46279.611087962963</v>
      </c>
      <c r="P75" s="10"/>
      <c r="Q75" s="1"/>
      <c r="R75" s="8" t="s">
        <v>47</v>
      </c>
      <c r="S7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7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7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7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7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7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7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7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7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7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7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7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7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75" s="12">
        <f ca="1">[1]!Tabel1[[#This Row],[Vægtet Honorar]]*([1]!Tabel1[[#This Row],[Sidst redigeret]]&gt;TODAY()-40)*([1]!Tabel1[[#This Row],[Er i resplan?]]&lt;&gt;"Ja")*([1]!Tabel1[[#This Row],[Status]]="Pågår")</f>
        <v>0</v>
      </c>
      <c r="AG75" s="12">
        <f ca="1">[1]!Tabel1[[#This Row],[Vægtet Honorar]]*([1]!Tabel1[[#This Row],[Sidst redigeret]]&gt;TODAY()-40)*([1]!Tabel1[[#This Row],[Status]]="Pågår")</f>
        <v>0</v>
      </c>
      <c r="AH75" s="13"/>
      <c r="AI75" s="12"/>
      <c r="AJ75" s="12"/>
      <c r="AK75" s="12"/>
      <c r="AL75" s="12"/>
      <c r="AM75" s="12"/>
      <c r="AN75" s="12"/>
      <c r="AO75" s="12"/>
      <c r="AP75" s="12"/>
    </row>
    <row r="76" spans="1:42">
      <c r="A76" t="s">
        <v>238</v>
      </c>
      <c r="B76" s="8"/>
      <c r="C76" s="8" t="s">
        <v>239</v>
      </c>
      <c r="D76" s="8"/>
      <c r="E76" s="8"/>
      <c r="F76" s="8"/>
      <c r="G76" s="8"/>
      <c r="H76" s="9"/>
      <c r="I76" s="9">
        <f>[1]!Tabel1[[#This Row],[Honorar]]*[1]!Tabel1[[#This Row],[Sandsynlighed]]</f>
        <v>0</v>
      </c>
      <c r="J76" s="10"/>
      <c r="K76" s="1"/>
      <c r="L76" s="8"/>
      <c r="M76" s="11"/>
      <c r="N76" s="1"/>
      <c r="O76" s="10">
        <v>46279.611087962963</v>
      </c>
      <c r="P76" s="10"/>
      <c r="Q76" s="1"/>
      <c r="R76" s="8" t="s">
        <v>49</v>
      </c>
      <c r="S7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7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7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7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7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7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7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7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7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7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7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7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7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76" s="12">
        <f ca="1">[1]!Tabel1[[#This Row],[Vægtet Honorar]]*([1]!Tabel1[[#This Row],[Sidst redigeret]]&gt;TODAY()-40)*([1]!Tabel1[[#This Row],[Er i resplan?]]&lt;&gt;"Ja")*([1]!Tabel1[[#This Row],[Status]]="Pågår")</f>
        <v>0</v>
      </c>
      <c r="AG76" s="12">
        <f ca="1">[1]!Tabel1[[#This Row],[Vægtet Honorar]]*([1]!Tabel1[[#This Row],[Sidst redigeret]]&gt;TODAY()-40)*([1]!Tabel1[[#This Row],[Status]]="Pågår")</f>
        <v>0</v>
      </c>
      <c r="AH76" s="13"/>
      <c r="AI76" s="12"/>
      <c r="AJ76" s="12"/>
      <c r="AK76" s="12"/>
      <c r="AL76" s="12"/>
      <c r="AM76" s="12"/>
      <c r="AN76" s="12"/>
      <c r="AO76" s="12"/>
      <c r="AP76" s="12"/>
    </row>
    <row r="77" spans="1:42">
      <c r="A77" t="s">
        <v>240</v>
      </c>
      <c r="B77" s="8"/>
      <c r="C77" s="8" t="s">
        <v>241</v>
      </c>
      <c r="D77" s="8"/>
      <c r="E77" s="8"/>
      <c r="F77" s="8"/>
      <c r="G77" s="8"/>
      <c r="H77" s="9"/>
      <c r="I77" s="9">
        <f>[1]!Tabel1[[#This Row],[Honorar]]*[1]!Tabel1[[#This Row],[Sandsynlighed]]</f>
        <v>0</v>
      </c>
      <c r="J77" s="10"/>
      <c r="K77" s="1"/>
      <c r="L77" s="8"/>
      <c r="M77" s="11"/>
      <c r="N77" s="1"/>
      <c r="O77" s="10">
        <v>46279.611087962963</v>
      </c>
      <c r="P77" s="10"/>
      <c r="Q77" s="1"/>
      <c r="R77" s="8" t="s">
        <v>49</v>
      </c>
      <c r="S7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7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7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7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7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7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7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7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7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7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7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7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7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77" s="12">
        <f ca="1">[1]!Tabel1[[#This Row],[Vægtet Honorar]]*([1]!Tabel1[[#This Row],[Sidst redigeret]]&gt;TODAY()-40)*([1]!Tabel1[[#This Row],[Er i resplan?]]&lt;&gt;"Ja")*([1]!Tabel1[[#This Row],[Status]]="Pågår")</f>
        <v>0</v>
      </c>
      <c r="AG77" s="12">
        <f ca="1">[1]!Tabel1[[#This Row],[Vægtet Honorar]]*([1]!Tabel1[[#This Row],[Sidst redigeret]]&gt;TODAY()-40)*([1]!Tabel1[[#This Row],[Status]]="Pågår")</f>
        <v>0</v>
      </c>
      <c r="AH77" s="13"/>
      <c r="AI77" s="12"/>
      <c r="AJ77" s="12"/>
      <c r="AK77" s="12"/>
      <c r="AL77" s="12"/>
      <c r="AM77" s="12"/>
      <c r="AN77" s="12"/>
      <c r="AO77" s="12"/>
      <c r="AP77" s="12"/>
    </row>
    <row r="78" spans="1:42">
      <c r="A78" t="s">
        <v>242</v>
      </c>
      <c r="B78" s="8"/>
      <c r="C78" s="8" t="s">
        <v>243</v>
      </c>
      <c r="D78" s="8"/>
      <c r="E78" s="8"/>
      <c r="F78" s="8"/>
      <c r="G78" s="8"/>
      <c r="H78" s="9"/>
      <c r="I78" s="9">
        <f>[1]!Tabel1[[#This Row],[Honorar]]*[1]!Tabel1[[#This Row],[Sandsynlighed]]</f>
        <v>175000</v>
      </c>
      <c r="J78" s="10"/>
      <c r="K78" s="1"/>
      <c r="L78" s="8"/>
      <c r="M78" s="11"/>
      <c r="N78" s="1"/>
      <c r="O78" s="10">
        <v>46279.611087962963</v>
      </c>
      <c r="P78" s="10"/>
      <c r="Q78" s="1"/>
      <c r="R78" s="8" t="s">
        <v>49</v>
      </c>
      <c r="S7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7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7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7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7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7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7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7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7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7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7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7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7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78" s="12">
        <f ca="1">[1]!Tabel1[[#This Row],[Vægtet Honorar]]*([1]!Tabel1[[#This Row],[Sidst redigeret]]&gt;TODAY()-40)*([1]!Tabel1[[#This Row],[Er i resplan?]]&lt;&gt;"Ja")*([1]!Tabel1[[#This Row],[Status]]="Pågår")</f>
        <v>0</v>
      </c>
      <c r="AG78" s="12">
        <f ca="1">[1]!Tabel1[[#This Row],[Vægtet Honorar]]*([1]!Tabel1[[#This Row],[Sidst redigeret]]&gt;TODAY()-40)*([1]!Tabel1[[#This Row],[Status]]="Pågår")</f>
        <v>0</v>
      </c>
      <c r="AH78" s="13"/>
      <c r="AI78" s="12"/>
      <c r="AJ78" s="12"/>
      <c r="AK78" s="12"/>
      <c r="AL78" s="12"/>
      <c r="AM78" s="12"/>
      <c r="AN78" s="12"/>
      <c r="AO78" s="12"/>
      <c r="AP78" s="12"/>
    </row>
    <row r="79" spans="1:42">
      <c r="A79" t="s">
        <v>244</v>
      </c>
      <c r="B79" s="8"/>
      <c r="C79" s="8" t="s">
        <v>245</v>
      </c>
      <c r="D79" s="8" t="s">
        <v>246</v>
      </c>
      <c r="E79" s="8"/>
      <c r="F79" s="8"/>
      <c r="G79" s="8"/>
      <c r="H79" s="9">
        <v>400000</v>
      </c>
      <c r="I79" s="9">
        <f>[1]!Tabel1[[#This Row],[Honorar]]*[1]!Tabel1[[#This Row],[Sandsynlighed]]</f>
        <v>35000</v>
      </c>
      <c r="J79" s="10">
        <v>44927</v>
      </c>
      <c r="K79" s="10">
        <v>45231</v>
      </c>
      <c r="L79" s="8" t="s">
        <v>247</v>
      </c>
      <c r="M79" s="11">
        <v>1</v>
      </c>
      <c r="N79" s="1"/>
      <c r="O79" s="10">
        <v>46279.611087962963</v>
      </c>
      <c r="P79" s="10"/>
      <c r="Q79" s="1" t="s">
        <v>46</v>
      </c>
      <c r="R79" s="8" t="s">
        <v>47</v>
      </c>
      <c r="S7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7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7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7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7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7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7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7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7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7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7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7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7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79" s="12">
        <f ca="1">[1]!Tabel1[[#This Row],[Vægtet Honorar]]*([1]!Tabel1[[#This Row],[Sidst redigeret]]&gt;TODAY()-40)*([1]!Tabel1[[#This Row],[Er i resplan?]]&lt;&gt;"Ja")*([1]!Tabel1[[#This Row],[Status]]="Pågår")</f>
        <v>0</v>
      </c>
      <c r="AG79" s="12">
        <f ca="1">[1]!Tabel1[[#This Row],[Vægtet Honorar]]*([1]!Tabel1[[#This Row],[Sidst redigeret]]&gt;TODAY()-40)*([1]!Tabel1[[#This Row],[Status]]="Pågår")</f>
        <v>0</v>
      </c>
      <c r="AH79" s="13"/>
      <c r="AI79" s="12"/>
      <c r="AJ79" s="12"/>
      <c r="AK79" s="12"/>
      <c r="AL79" s="12"/>
      <c r="AM79" s="12"/>
      <c r="AN79" s="12"/>
      <c r="AO79" s="12"/>
      <c r="AP79" s="12"/>
    </row>
    <row r="80" spans="1:42">
      <c r="A80" t="s">
        <v>248</v>
      </c>
      <c r="B80" s="8"/>
      <c r="C80" s="8" t="s">
        <v>249</v>
      </c>
      <c r="D80" s="8" t="s">
        <v>246</v>
      </c>
      <c r="E80" s="8"/>
      <c r="F80" s="8"/>
      <c r="G80" s="8"/>
      <c r="H80" s="9"/>
      <c r="I80" s="9">
        <f>[1]!Tabel1[[#This Row],[Honorar]]*[1]!Tabel1[[#This Row],[Sandsynlighed]]</f>
        <v>0</v>
      </c>
      <c r="J80" s="10"/>
      <c r="K80" s="1"/>
      <c r="L80" s="8"/>
      <c r="M80" s="11"/>
      <c r="N80" s="1"/>
      <c r="O80" s="10">
        <v>46279.611087962963</v>
      </c>
      <c r="P80" s="10"/>
      <c r="Q80" s="1"/>
      <c r="R80" s="8" t="s">
        <v>49</v>
      </c>
      <c r="S8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8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8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8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8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8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8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8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8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8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8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8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8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80" s="12">
        <f ca="1">[1]!Tabel1[[#This Row],[Vægtet Honorar]]*([1]!Tabel1[[#This Row],[Sidst redigeret]]&gt;TODAY()-40)*([1]!Tabel1[[#This Row],[Er i resplan?]]&lt;&gt;"Ja")*([1]!Tabel1[[#This Row],[Status]]="Pågår")</f>
        <v>0</v>
      </c>
      <c r="AG80" s="12">
        <f ca="1">[1]!Tabel1[[#This Row],[Vægtet Honorar]]*([1]!Tabel1[[#This Row],[Sidst redigeret]]&gt;TODAY()-40)*([1]!Tabel1[[#This Row],[Status]]="Pågår")</f>
        <v>0</v>
      </c>
      <c r="AH80" s="13"/>
      <c r="AI80" s="12"/>
      <c r="AJ80" s="12"/>
      <c r="AK80" s="12"/>
      <c r="AL80" s="12"/>
      <c r="AM80" s="12"/>
      <c r="AN80" s="12"/>
      <c r="AO80" s="12"/>
      <c r="AP80" s="12"/>
    </row>
    <row r="81" spans="1:42">
      <c r="A81" t="s">
        <v>250</v>
      </c>
      <c r="B81" s="8"/>
      <c r="C81" s="8" t="s">
        <v>251</v>
      </c>
      <c r="D81" s="8" t="s">
        <v>246</v>
      </c>
      <c r="E81" s="8"/>
      <c r="F81" s="8"/>
      <c r="G81" s="8"/>
      <c r="H81" s="9">
        <v>1200000</v>
      </c>
      <c r="I81" s="9">
        <f>[1]!Tabel1[[#This Row],[Honorar]]*[1]!Tabel1[[#This Row],[Sandsynlighed]]</f>
        <v>0</v>
      </c>
      <c r="J81" s="10">
        <v>45108</v>
      </c>
      <c r="K81" s="1">
        <v>2024</v>
      </c>
      <c r="L81" s="8" t="s">
        <v>252</v>
      </c>
      <c r="M81" s="11">
        <v>1</v>
      </c>
      <c r="N81" s="1"/>
      <c r="O81" s="10">
        <v>46279.611087962963</v>
      </c>
      <c r="P81" s="10"/>
      <c r="Q81" s="1"/>
      <c r="R81" s="8" t="s">
        <v>47</v>
      </c>
      <c r="S8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8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8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8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8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8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8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8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8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8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8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8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8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81" s="12">
        <f ca="1">[1]!Tabel1[[#This Row],[Vægtet Honorar]]*([1]!Tabel1[[#This Row],[Sidst redigeret]]&gt;TODAY()-40)*([1]!Tabel1[[#This Row],[Er i resplan?]]&lt;&gt;"Ja")*([1]!Tabel1[[#This Row],[Status]]="Pågår")</f>
        <v>0</v>
      </c>
      <c r="AG81" s="12">
        <f ca="1">[1]!Tabel1[[#This Row],[Vægtet Honorar]]*([1]!Tabel1[[#This Row],[Sidst redigeret]]&gt;TODAY()-40)*([1]!Tabel1[[#This Row],[Status]]="Pågår")</f>
        <v>0</v>
      </c>
      <c r="AH81" s="13"/>
      <c r="AI81" s="12"/>
      <c r="AJ81" s="12"/>
      <c r="AK81" s="12"/>
      <c r="AL81" s="12"/>
      <c r="AM81" s="12"/>
      <c r="AN81" s="12"/>
      <c r="AO81" s="12"/>
      <c r="AP81" s="12"/>
    </row>
    <row r="82" spans="1:42">
      <c r="A82" t="s">
        <v>253</v>
      </c>
      <c r="B82" s="8"/>
      <c r="C82" s="8" t="s">
        <v>254</v>
      </c>
      <c r="D82" s="8"/>
      <c r="E82" s="8"/>
      <c r="F82" s="8"/>
      <c r="G82" s="8"/>
      <c r="H82" s="9"/>
      <c r="I82" s="9">
        <f>[1]!Tabel1[[#This Row],[Honorar]]*[1]!Tabel1[[#This Row],[Sandsynlighed]]</f>
        <v>0</v>
      </c>
      <c r="J82" s="10"/>
      <c r="K82" s="1"/>
      <c r="L82" s="8"/>
      <c r="M82" s="11"/>
      <c r="N82" s="1"/>
      <c r="O82" s="10">
        <v>46279.611087962963</v>
      </c>
      <c r="P82" s="10"/>
      <c r="Q82" s="1"/>
      <c r="R82" s="8" t="s">
        <v>49</v>
      </c>
      <c r="S8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8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8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8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8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8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8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8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8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8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8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8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8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82" s="12">
        <f ca="1">[1]!Tabel1[[#This Row],[Vægtet Honorar]]*([1]!Tabel1[[#This Row],[Sidst redigeret]]&gt;TODAY()-40)*([1]!Tabel1[[#This Row],[Er i resplan?]]&lt;&gt;"Ja")*([1]!Tabel1[[#This Row],[Status]]="Pågår")</f>
        <v>0</v>
      </c>
      <c r="AG82" s="12">
        <f ca="1">[1]!Tabel1[[#This Row],[Vægtet Honorar]]*([1]!Tabel1[[#This Row],[Sidst redigeret]]&gt;TODAY()-40)*([1]!Tabel1[[#This Row],[Status]]="Pågår")</f>
        <v>0</v>
      </c>
      <c r="AH82" s="13"/>
      <c r="AI82" s="12" t="s">
        <v>255</v>
      </c>
      <c r="AJ82" s="12" t="s">
        <v>256</v>
      </c>
      <c r="AK82" s="12" t="s">
        <v>257</v>
      </c>
      <c r="AL82" s="12" t="s">
        <v>258</v>
      </c>
      <c r="AM82" s="12" t="s">
        <v>259</v>
      </c>
      <c r="AN82" s="12"/>
      <c r="AO82" s="12"/>
      <c r="AP82" s="12"/>
    </row>
    <row r="83" spans="1:42">
      <c r="A83" t="s">
        <v>260</v>
      </c>
      <c r="B83" s="8"/>
      <c r="C83" s="8" t="s">
        <v>261</v>
      </c>
      <c r="D83" s="8" t="s">
        <v>197</v>
      </c>
      <c r="E83" s="8" t="s">
        <v>167</v>
      </c>
      <c r="F83" s="8"/>
      <c r="G83" s="8"/>
      <c r="H83" s="9"/>
      <c r="I83" s="9">
        <f>[1]!Tabel1[[#This Row],[Honorar]]*[1]!Tabel1[[#This Row],[Sandsynlighed]]</f>
        <v>0</v>
      </c>
      <c r="J83" s="10"/>
      <c r="K83" s="1"/>
      <c r="L83" s="8"/>
      <c r="M83" s="11">
        <v>0</v>
      </c>
      <c r="N83" s="1"/>
      <c r="O83" s="10">
        <v>46279.611087962963</v>
      </c>
      <c r="P83" s="10"/>
      <c r="Q83" s="1"/>
      <c r="R83" s="8" t="s">
        <v>75</v>
      </c>
      <c r="S8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8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8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8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8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8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8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8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8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8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8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8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8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83" s="12">
        <f ca="1">[1]!Tabel1[[#This Row],[Vægtet Honorar]]*([1]!Tabel1[[#This Row],[Sidst redigeret]]&gt;TODAY()-40)*([1]!Tabel1[[#This Row],[Er i resplan?]]&lt;&gt;"Ja")*([1]!Tabel1[[#This Row],[Status]]="Pågår")</f>
        <v>0</v>
      </c>
      <c r="AG83" s="12">
        <f ca="1">[1]!Tabel1[[#This Row],[Vægtet Honorar]]*([1]!Tabel1[[#This Row],[Sidst redigeret]]&gt;TODAY()-40)*([1]!Tabel1[[#This Row],[Status]]="Pågår")</f>
        <v>0</v>
      </c>
      <c r="AH83" s="13"/>
      <c r="AI83" s="12"/>
      <c r="AJ83" s="12"/>
      <c r="AK83" s="12"/>
      <c r="AL83" s="12"/>
      <c r="AM83" s="12"/>
      <c r="AN83" s="12"/>
      <c r="AO83" s="12"/>
      <c r="AP83" s="12"/>
    </row>
    <row r="84" spans="1:42">
      <c r="A84" t="s">
        <v>262</v>
      </c>
      <c r="B84" s="8"/>
      <c r="C84" s="8" t="s">
        <v>263</v>
      </c>
      <c r="D84" s="8" t="s">
        <v>264</v>
      </c>
      <c r="E84" s="8"/>
      <c r="F84" s="8"/>
      <c r="G84" s="8"/>
      <c r="H84" s="9"/>
      <c r="I84" s="9">
        <f>[1]!Tabel1[[#This Row],[Honorar]]*[1]!Tabel1[[#This Row],[Sandsynlighed]]</f>
        <v>400000</v>
      </c>
      <c r="J84" s="10"/>
      <c r="K84" s="1"/>
      <c r="L84" s="8"/>
      <c r="M84" s="11"/>
      <c r="N84" s="1"/>
      <c r="O84" s="10">
        <v>46279.611087962963</v>
      </c>
      <c r="P84" s="10"/>
      <c r="Q84" s="1"/>
      <c r="R84" s="8" t="s">
        <v>49</v>
      </c>
      <c r="S8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8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8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8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8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8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8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8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8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8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8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8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8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84" s="12">
        <f ca="1">[1]!Tabel1[[#This Row],[Vægtet Honorar]]*([1]!Tabel1[[#This Row],[Sidst redigeret]]&gt;TODAY()-40)*([1]!Tabel1[[#This Row],[Er i resplan?]]&lt;&gt;"Ja")*([1]!Tabel1[[#This Row],[Status]]="Pågår")</f>
        <v>0</v>
      </c>
      <c r="AG84" s="12">
        <f ca="1">[1]!Tabel1[[#This Row],[Vægtet Honorar]]*([1]!Tabel1[[#This Row],[Sidst redigeret]]&gt;TODAY()-40)*([1]!Tabel1[[#This Row],[Status]]="Pågår")</f>
        <v>0</v>
      </c>
      <c r="AH84" s="13"/>
      <c r="AI84" s="12"/>
      <c r="AJ84" s="12"/>
      <c r="AK84" s="12"/>
      <c r="AL84" s="12"/>
      <c r="AM84" s="12"/>
      <c r="AN84" s="12"/>
      <c r="AO84" s="12"/>
      <c r="AP84" s="12"/>
    </row>
    <row r="85" spans="1:42">
      <c r="A85" t="s">
        <v>265</v>
      </c>
      <c r="B85" s="8"/>
      <c r="C85" s="8" t="s">
        <v>266</v>
      </c>
      <c r="D85" s="8"/>
      <c r="E85" s="8"/>
      <c r="F85" s="8"/>
      <c r="G85" s="8"/>
      <c r="H85" s="9"/>
      <c r="I85" s="9">
        <f>[1]!Tabel1[[#This Row],[Honorar]]*[1]!Tabel1[[#This Row],[Sandsynlighed]]</f>
        <v>0</v>
      </c>
      <c r="J85" s="10"/>
      <c r="K85" s="1"/>
      <c r="L85" s="8"/>
      <c r="M85" s="11"/>
      <c r="N85" s="1"/>
      <c r="O85" s="10">
        <v>46279.611087962963</v>
      </c>
      <c r="P85" s="10"/>
      <c r="Q85" s="1"/>
      <c r="R85" s="8" t="s">
        <v>49</v>
      </c>
      <c r="S8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8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8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8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8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8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8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8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8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8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8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8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8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85" s="12">
        <f ca="1">[1]!Tabel1[[#This Row],[Vægtet Honorar]]*([1]!Tabel1[[#This Row],[Sidst redigeret]]&gt;TODAY()-40)*([1]!Tabel1[[#This Row],[Er i resplan?]]&lt;&gt;"Ja")*([1]!Tabel1[[#This Row],[Status]]="Pågår")</f>
        <v>0</v>
      </c>
      <c r="AG85" s="12">
        <f ca="1">[1]!Tabel1[[#This Row],[Vægtet Honorar]]*([1]!Tabel1[[#This Row],[Sidst redigeret]]&gt;TODAY()-40)*([1]!Tabel1[[#This Row],[Status]]="Pågår")</f>
        <v>0</v>
      </c>
      <c r="AH85" s="13"/>
      <c r="AI85" s="12"/>
      <c r="AJ85" s="12"/>
      <c r="AK85" s="12"/>
      <c r="AL85" s="12"/>
      <c r="AM85" s="12"/>
      <c r="AN85" s="12"/>
      <c r="AO85" s="12"/>
      <c r="AP85" s="12"/>
    </row>
    <row r="86" spans="1:42">
      <c r="A86" t="s">
        <v>267</v>
      </c>
      <c r="B86" s="8"/>
      <c r="C86" s="8" t="s">
        <v>268</v>
      </c>
      <c r="D86" s="8" t="s">
        <v>269</v>
      </c>
      <c r="E86" s="8"/>
      <c r="F86" s="8"/>
      <c r="G86" s="8"/>
      <c r="H86" s="9"/>
      <c r="I86" s="9">
        <f>[1]!Tabel1[[#This Row],[Honorar]]*[1]!Tabel1[[#This Row],[Sandsynlighed]]</f>
        <v>1200000</v>
      </c>
      <c r="J86" s="10"/>
      <c r="K86" s="1"/>
      <c r="L86" s="8"/>
      <c r="M86" s="11">
        <v>0</v>
      </c>
      <c r="N86" s="1"/>
      <c r="O86" s="10">
        <v>46279.611087962963</v>
      </c>
      <c r="P86" s="10"/>
      <c r="Q86" s="1"/>
      <c r="R86" s="8" t="s">
        <v>49</v>
      </c>
      <c r="S8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8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8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8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8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8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8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8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8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8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8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8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8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86" s="12">
        <f ca="1">[1]!Tabel1[[#This Row],[Vægtet Honorar]]*([1]!Tabel1[[#This Row],[Sidst redigeret]]&gt;TODAY()-40)*([1]!Tabel1[[#This Row],[Er i resplan?]]&lt;&gt;"Ja")*([1]!Tabel1[[#This Row],[Status]]="Pågår")</f>
        <v>0</v>
      </c>
      <c r="AG86" s="12">
        <f ca="1">[1]!Tabel1[[#This Row],[Vægtet Honorar]]*([1]!Tabel1[[#This Row],[Sidst redigeret]]&gt;TODAY()-40)*([1]!Tabel1[[#This Row],[Status]]="Pågår")</f>
        <v>0</v>
      </c>
      <c r="AH86" s="13"/>
      <c r="AI86" s="12"/>
      <c r="AJ86" s="12"/>
      <c r="AK86" s="12"/>
      <c r="AL86" s="12"/>
      <c r="AM86" s="12"/>
      <c r="AN86" s="12"/>
      <c r="AO86" s="12"/>
      <c r="AP86" s="12"/>
    </row>
    <row r="87" spans="1:42">
      <c r="A87" t="s">
        <v>270</v>
      </c>
      <c r="B87" s="8"/>
      <c r="C87" s="8" t="s">
        <v>271</v>
      </c>
      <c r="D87" s="8" t="s">
        <v>158</v>
      </c>
      <c r="E87" s="8"/>
      <c r="F87" s="8"/>
      <c r="G87" s="8"/>
      <c r="H87" s="9"/>
      <c r="I87" s="9">
        <f>[1]!Tabel1[[#This Row],[Honorar]]*[1]!Tabel1[[#This Row],[Sandsynlighed]]</f>
        <v>0</v>
      </c>
      <c r="J87" s="10"/>
      <c r="K87" s="1"/>
      <c r="L87" s="8"/>
      <c r="M87" s="11"/>
      <c r="N87" s="1"/>
      <c r="O87" s="10">
        <v>46279.611087962963</v>
      </c>
      <c r="P87" s="10"/>
      <c r="Q87" s="1"/>
      <c r="R87" s="8" t="s">
        <v>49</v>
      </c>
      <c r="S8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8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8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8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8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8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8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8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8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8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8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8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8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87" s="12">
        <f ca="1">[1]!Tabel1[[#This Row],[Vægtet Honorar]]*([1]!Tabel1[[#This Row],[Sidst redigeret]]&gt;TODAY()-40)*([1]!Tabel1[[#This Row],[Er i resplan?]]&lt;&gt;"Ja")*([1]!Tabel1[[#This Row],[Status]]="Pågår")</f>
        <v>0</v>
      </c>
      <c r="AG87" s="12">
        <f ca="1">[1]!Tabel1[[#This Row],[Vægtet Honorar]]*([1]!Tabel1[[#This Row],[Sidst redigeret]]&gt;TODAY()-40)*([1]!Tabel1[[#This Row],[Status]]="Pågår")</f>
        <v>0</v>
      </c>
      <c r="AH87" s="13"/>
      <c r="AI87" s="12"/>
      <c r="AJ87" s="12"/>
      <c r="AK87" s="12"/>
      <c r="AL87" s="12"/>
      <c r="AM87" s="12"/>
      <c r="AN87" s="12"/>
      <c r="AO87" s="12"/>
      <c r="AP87" s="12"/>
    </row>
    <row r="88" spans="1:42">
      <c r="A88" t="s">
        <v>272</v>
      </c>
      <c r="B88" s="8"/>
      <c r="C88" s="8" t="s">
        <v>273</v>
      </c>
      <c r="D88" s="8"/>
      <c r="E88" s="8"/>
      <c r="F88" s="8"/>
      <c r="G88" s="8"/>
      <c r="H88" s="9"/>
      <c r="I88" s="9">
        <f>[1]!Tabel1[[#This Row],[Honorar]]*[1]!Tabel1[[#This Row],[Sandsynlighed]]</f>
        <v>0</v>
      </c>
      <c r="J88" s="10"/>
      <c r="K88" s="1"/>
      <c r="L88" s="8"/>
      <c r="M88" s="11"/>
      <c r="N88" s="1"/>
      <c r="O88" s="10">
        <v>46279.611087962963</v>
      </c>
      <c r="P88" s="10"/>
      <c r="Q88" s="1"/>
      <c r="R88" s="8" t="s">
        <v>49</v>
      </c>
      <c r="S8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8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8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8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8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8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8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8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8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8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8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8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8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88" s="12">
        <f ca="1">[1]!Tabel1[[#This Row],[Vægtet Honorar]]*([1]!Tabel1[[#This Row],[Sidst redigeret]]&gt;TODAY()-40)*([1]!Tabel1[[#This Row],[Er i resplan?]]&lt;&gt;"Ja")*([1]!Tabel1[[#This Row],[Status]]="Pågår")</f>
        <v>0</v>
      </c>
      <c r="AG88" s="12">
        <f ca="1">[1]!Tabel1[[#This Row],[Vægtet Honorar]]*([1]!Tabel1[[#This Row],[Sidst redigeret]]&gt;TODAY()-40)*([1]!Tabel1[[#This Row],[Status]]="Pågår")</f>
        <v>0</v>
      </c>
      <c r="AH88" s="13"/>
      <c r="AI88" s="12"/>
      <c r="AJ88" s="12"/>
      <c r="AK88" s="12"/>
      <c r="AL88" s="12"/>
      <c r="AM88" s="12"/>
      <c r="AN88" s="12"/>
      <c r="AO88" s="12"/>
      <c r="AP88" s="12"/>
    </row>
    <row r="89" spans="1:42">
      <c r="A89" t="s">
        <v>274</v>
      </c>
      <c r="B89" s="8"/>
      <c r="C89" s="8" t="s">
        <v>275</v>
      </c>
      <c r="D89" s="8"/>
      <c r="E89" s="8"/>
      <c r="F89" s="8"/>
      <c r="G89" s="8"/>
      <c r="H89" s="9"/>
      <c r="I89" s="9">
        <f>[1]!Tabel1[[#This Row],[Honorar]]*[1]!Tabel1[[#This Row],[Sandsynlighed]]</f>
        <v>0</v>
      </c>
      <c r="J89" s="10"/>
      <c r="K89" s="1"/>
      <c r="L89" s="8"/>
      <c r="M89" s="11"/>
      <c r="N89" s="1"/>
      <c r="O89" s="10">
        <v>46279.611087962963</v>
      </c>
      <c r="P89" s="10"/>
      <c r="Q89" s="1"/>
      <c r="R89" s="8" t="s">
        <v>49</v>
      </c>
      <c r="S8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8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8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8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8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8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8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8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8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8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8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8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8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89" s="12">
        <f ca="1">[1]!Tabel1[[#This Row],[Vægtet Honorar]]*([1]!Tabel1[[#This Row],[Sidst redigeret]]&gt;TODAY()-40)*([1]!Tabel1[[#This Row],[Er i resplan?]]&lt;&gt;"Ja")*([1]!Tabel1[[#This Row],[Status]]="Pågår")</f>
        <v>0</v>
      </c>
      <c r="AG89" s="12">
        <f ca="1">[1]!Tabel1[[#This Row],[Vægtet Honorar]]*([1]!Tabel1[[#This Row],[Sidst redigeret]]&gt;TODAY()-40)*([1]!Tabel1[[#This Row],[Status]]="Pågår")</f>
        <v>0</v>
      </c>
      <c r="AH89" s="13"/>
      <c r="AI89" s="12"/>
      <c r="AJ89" s="12"/>
      <c r="AK89" s="12"/>
      <c r="AL89" s="12"/>
      <c r="AM89" s="12"/>
      <c r="AN89" s="12"/>
      <c r="AO89" s="12"/>
      <c r="AP89" s="12"/>
    </row>
    <row r="90" spans="1:42">
      <c r="A90" t="s">
        <v>276</v>
      </c>
      <c r="B90" s="8"/>
      <c r="C90" s="8" t="s">
        <v>277</v>
      </c>
      <c r="D90" s="8"/>
      <c r="E90" s="8"/>
      <c r="F90" s="8"/>
      <c r="G90" s="8"/>
      <c r="H90" s="9"/>
      <c r="I90" s="9">
        <f>[1]!Tabel1[[#This Row],[Honorar]]*[1]!Tabel1[[#This Row],[Sandsynlighed]]</f>
        <v>0</v>
      </c>
      <c r="J90" s="10"/>
      <c r="K90" s="1"/>
      <c r="L90" s="8"/>
      <c r="M90" s="11"/>
      <c r="N90" s="1"/>
      <c r="O90" s="10">
        <v>46279.611087962963</v>
      </c>
      <c r="P90" s="10"/>
      <c r="Q90" s="1"/>
      <c r="R90" s="8" t="s">
        <v>49</v>
      </c>
      <c r="S9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9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9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9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9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9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9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9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9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9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9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9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9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90" s="12">
        <f ca="1">[1]!Tabel1[[#This Row],[Vægtet Honorar]]*([1]!Tabel1[[#This Row],[Sidst redigeret]]&gt;TODAY()-40)*([1]!Tabel1[[#This Row],[Er i resplan?]]&lt;&gt;"Ja")*([1]!Tabel1[[#This Row],[Status]]="Pågår")</f>
        <v>0</v>
      </c>
      <c r="AG90" s="12">
        <f ca="1">[1]!Tabel1[[#This Row],[Vægtet Honorar]]*([1]!Tabel1[[#This Row],[Sidst redigeret]]&gt;TODAY()-40)*([1]!Tabel1[[#This Row],[Status]]="Pågår")</f>
        <v>0</v>
      </c>
      <c r="AH90" s="13"/>
      <c r="AI90" s="12"/>
      <c r="AJ90" s="12"/>
      <c r="AK90" s="12"/>
      <c r="AL90" s="12"/>
      <c r="AM90" s="12"/>
      <c r="AN90" s="12"/>
      <c r="AO90" s="12"/>
      <c r="AP90" s="12"/>
    </row>
    <row r="91" spans="1:42">
      <c r="A91" t="s">
        <v>278</v>
      </c>
      <c r="B91" s="8"/>
      <c r="C91" s="8" t="s">
        <v>279</v>
      </c>
      <c r="D91" s="8" t="s">
        <v>158</v>
      </c>
      <c r="E91" s="8"/>
      <c r="F91" s="8"/>
      <c r="G91" s="8"/>
      <c r="H91" s="9"/>
      <c r="I91" s="9">
        <f>[1]!Tabel1[[#This Row],[Honorar]]*[1]!Tabel1[[#This Row],[Sandsynlighed]]</f>
        <v>0</v>
      </c>
      <c r="J91" s="10"/>
      <c r="K91" s="1"/>
      <c r="L91" s="8"/>
      <c r="M91" s="11"/>
      <c r="N91" s="1"/>
      <c r="O91" s="10">
        <v>46279.611087962963</v>
      </c>
      <c r="P91" s="10"/>
      <c r="Q91" s="1"/>
      <c r="R91" s="8" t="s">
        <v>49</v>
      </c>
      <c r="S9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9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9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9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9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9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9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9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9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9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9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9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9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91" s="12">
        <f ca="1">[1]!Tabel1[[#This Row],[Vægtet Honorar]]*([1]!Tabel1[[#This Row],[Sidst redigeret]]&gt;TODAY()-40)*([1]!Tabel1[[#This Row],[Er i resplan?]]&lt;&gt;"Ja")*([1]!Tabel1[[#This Row],[Status]]="Pågår")</f>
        <v>0</v>
      </c>
      <c r="AG91" s="12">
        <f ca="1">[1]!Tabel1[[#This Row],[Vægtet Honorar]]*([1]!Tabel1[[#This Row],[Sidst redigeret]]&gt;TODAY()-40)*([1]!Tabel1[[#This Row],[Status]]="Pågår")</f>
        <v>0</v>
      </c>
      <c r="AH91" s="13"/>
      <c r="AI91" s="12"/>
      <c r="AJ91" s="12"/>
      <c r="AK91" s="12"/>
      <c r="AL91" s="12"/>
      <c r="AM91" s="12"/>
      <c r="AN91" s="12"/>
      <c r="AO91" s="12"/>
      <c r="AP91" s="12"/>
    </row>
    <row r="92" spans="1:42">
      <c r="A92" t="s">
        <v>280</v>
      </c>
      <c r="B92" s="8"/>
      <c r="C92" s="8" t="s">
        <v>281</v>
      </c>
      <c r="D92" s="8"/>
      <c r="E92" s="8"/>
      <c r="F92" s="8"/>
      <c r="G92" s="8"/>
      <c r="H92" s="9"/>
      <c r="I92" s="9">
        <f>[1]!Tabel1[[#This Row],[Honorar]]*[1]!Tabel1[[#This Row],[Sandsynlighed]]</f>
        <v>0</v>
      </c>
      <c r="J92" s="10"/>
      <c r="K92" s="1"/>
      <c r="L92" s="8"/>
      <c r="M92" s="11"/>
      <c r="N92" s="1"/>
      <c r="O92" s="10">
        <v>46279.611087962963</v>
      </c>
      <c r="P92" s="10"/>
      <c r="Q92" s="1"/>
      <c r="R92" s="8" t="s">
        <v>49</v>
      </c>
      <c r="S9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9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9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9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9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9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9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9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9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9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9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9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9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92" s="12">
        <f ca="1">[1]!Tabel1[[#This Row],[Vægtet Honorar]]*([1]!Tabel1[[#This Row],[Sidst redigeret]]&gt;TODAY()-40)*([1]!Tabel1[[#This Row],[Er i resplan?]]&lt;&gt;"Ja")*([1]!Tabel1[[#This Row],[Status]]="Pågår")</f>
        <v>0</v>
      </c>
      <c r="AG92" s="12">
        <f ca="1">[1]!Tabel1[[#This Row],[Vægtet Honorar]]*([1]!Tabel1[[#This Row],[Sidst redigeret]]&gt;TODAY()-40)*([1]!Tabel1[[#This Row],[Status]]="Pågår")</f>
        <v>0</v>
      </c>
      <c r="AH92" s="13"/>
      <c r="AI92" s="12"/>
      <c r="AJ92" s="12" t="s">
        <v>282</v>
      </c>
      <c r="AK92" s="12"/>
      <c r="AL92" s="12" t="s">
        <v>283</v>
      </c>
      <c r="AM92" s="12">
        <v>44735</v>
      </c>
      <c r="AN92" s="12" t="s">
        <v>284</v>
      </c>
      <c r="AO92" s="12" t="s">
        <v>285</v>
      </c>
      <c r="AP92" s="12"/>
    </row>
    <row r="93" spans="1:42">
      <c r="A93" t="s">
        <v>286</v>
      </c>
      <c r="B93" s="8"/>
      <c r="C93" s="8" t="s">
        <v>287</v>
      </c>
      <c r="D93" s="8" t="s">
        <v>288</v>
      </c>
      <c r="E93" s="8"/>
      <c r="F93" s="8"/>
      <c r="G93" s="8"/>
      <c r="H93" s="9"/>
      <c r="I93" s="9">
        <f>[1]!Tabel1[[#This Row],[Honorar]]*[1]!Tabel1[[#This Row],[Sandsynlighed]]</f>
        <v>0</v>
      </c>
      <c r="J93" s="10"/>
      <c r="K93" s="1"/>
      <c r="L93" s="8"/>
      <c r="M93" s="11">
        <v>1</v>
      </c>
      <c r="N93" s="1"/>
      <c r="O93" s="10">
        <v>46279.611087962963</v>
      </c>
      <c r="P93" s="10"/>
      <c r="Q93" s="1"/>
      <c r="R93" s="8" t="s">
        <v>47</v>
      </c>
      <c r="S9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9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9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9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9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9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9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9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9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9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9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9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9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93" s="12">
        <f ca="1">[1]!Tabel1[[#This Row],[Vægtet Honorar]]*([1]!Tabel1[[#This Row],[Sidst redigeret]]&gt;TODAY()-40)*([1]!Tabel1[[#This Row],[Er i resplan?]]&lt;&gt;"Ja")*([1]!Tabel1[[#This Row],[Status]]="Pågår")</f>
        <v>0</v>
      </c>
      <c r="AG93" s="12">
        <f ca="1">[1]!Tabel1[[#This Row],[Vægtet Honorar]]*([1]!Tabel1[[#This Row],[Sidst redigeret]]&gt;TODAY()-40)*([1]!Tabel1[[#This Row],[Status]]="Pågår")</f>
        <v>0</v>
      </c>
      <c r="AH93" s="13"/>
      <c r="AI93" s="12"/>
      <c r="AJ93" s="12"/>
      <c r="AK93" s="12"/>
      <c r="AL93" s="12"/>
      <c r="AM93" s="12"/>
      <c r="AN93" s="12"/>
      <c r="AO93" s="12"/>
      <c r="AP93" s="12"/>
    </row>
    <row r="94" spans="1:42">
      <c r="A94" t="s">
        <v>289</v>
      </c>
      <c r="B94" s="8"/>
      <c r="C94" s="8" t="s">
        <v>290</v>
      </c>
      <c r="D94" s="8"/>
      <c r="E94" s="8"/>
      <c r="F94" s="8"/>
      <c r="G94" s="8"/>
      <c r="H94" s="9"/>
      <c r="I94" s="9">
        <f>[1]!Tabel1[[#This Row],[Honorar]]*[1]!Tabel1[[#This Row],[Sandsynlighed]]</f>
        <v>0</v>
      </c>
      <c r="J94" s="10"/>
      <c r="K94" s="1"/>
      <c r="L94" s="8"/>
      <c r="M94" s="11"/>
      <c r="N94" s="1"/>
      <c r="O94" s="10">
        <v>46279.611087962963</v>
      </c>
      <c r="P94" s="10"/>
      <c r="Q94" s="1"/>
      <c r="R94" s="8" t="s">
        <v>49</v>
      </c>
      <c r="S9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9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9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9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9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9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9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9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9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9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9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9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9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94" s="12">
        <f ca="1">[1]!Tabel1[[#This Row],[Vægtet Honorar]]*([1]!Tabel1[[#This Row],[Sidst redigeret]]&gt;TODAY()-40)*([1]!Tabel1[[#This Row],[Er i resplan?]]&lt;&gt;"Ja")*([1]!Tabel1[[#This Row],[Status]]="Pågår")</f>
        <v>0</v>
      </c>
      <c r="AG94" s="12">
        <f ca="1">[1]!Tabel1[[#This Row],[Vægtet Honorar]]*([1]!Tabel1[[#This Row],[Sidst redigeret]]&gt;TODAY()-40)*([1]!Tabel1[[#This Row],[Status]]="Pågår")</f>
        <v>0</v>
      </c>
      <c r="AH94" s="13"/>
      <c r="AI94" s="12"/>
      <c r="AJ94" s="12" t="s">
        <v>291</v>
      </c>
      <c r="AK94" s="12"/>
      <c r="AL94" s="12" t="s">
        <v>252</v>
      </c>
      <c r="AM94" s="12">
        <v>44733</v>
      </c>
      <c r="AN94" s="12" t="s">
        <v>292</v>
      </c>
      <c r="AO94" s="12" t="s">
        <v>293</v>
      </c>
      <c r="AP94" s="12"/>
    </row>
    <row r="95" spans="1:42">
      <c r="A95" t="s">
        <v>294</v>
      </c>
      <c r="B95" s="8"/>
      <c r="C95" s="8" t="s">
        <v>295</v>
      </c>
      <c r="D95" s="8" t="s">
        <v>44</v>
      </c>
      <c r="E95" s="8"/>
      <c r="F95" s="8"/>
      <c r="G95" s="8"/>
      <c r="H95" s="9"/>
      <c r="I95" s="9">
        <f>[1]!Tabel1[[#This Row],[Honorar]]*[1]!Tabel1[[#This Row],[Sandsynlighed]]</f>
        <v>0</v>
      </c>
      <c r="J95" s="10"/>
      <c r="K95" s="1"/>
      <c r="L95" s="8" t="s">
        <v>75</v>
      </c>
      <c r="M95" s="11"/>
      <c r="N95" s="1"/>
      <c r="O95" s="10">
        <v>46279.611087962963</v>
      </c>
      <c r="P95" s="10"/>
      <c r="Q95" s="1"/>
      <c r="R95" s="8" t="s">
        <v>49</v>
      </c>
      <c r="S9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9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9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9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9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9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9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9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9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9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9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9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9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95" s="12">
        <f ca="1">[1]!Tabel1[[#This Row],[Vægtet Honorar]]*([1]!Tabel1[[#This Row],[Sidst redigeret]]&gt;TODAY()-40)*([1]!Tabel1[[#This Row],[Er i resplan?]]&lt;&gt;"Ja")*([1]!Tabel1[[#This Row],[Status]]="Pågår")</f>
        <v>0</v>
      </c>
      <c r="AG95" s="12">
        <f ca="1">[1]!Tabel1[[#This Row],[Vægtet Honorar]]*([1]!Tabel1[[#This Row],[Sidst redigeret]]&gt;TODAY()-40)*([1]!Tabel1[[#This Row],[Status]]="Pågår")</f>
        <v>0</v>
      </c>
      <c r="AH95" s="13"/>
      <c r="AI95" s="12"/>
      <c r="AJ95" s="12"/>
      <c r="AK95" s="12"/>
      <c r="AL95" s="12"/>
      <c r="AM95" s="12"/>
      <c r="AN95" s="12"/>
      <c r="AO95" s="12"/>
      <c r="AP95" s="12"/>
    </row>
    <row r="96" spans="1:42">
      <c r="A96" t="s">
        <v>296</v>
      </c>
      <c r="B96" s="8"/>
      <c r="C96" s="8" t="s">
        <v>297</v>
      </c>
      <c r="D96" s="8" t="s">
        <v>298</v>
      </c>
      <c r="E96" s="8"/>
      <c r="F96" s="8"/>
      <c r="G96" s="8"/>
      <c r="H96" s="9"/>
      <c r="I96" s="9">
        <f>[1]!Tabel1[[#This Row],[Honorar]]*[1]!Tabel1[[#This Row],[Sandsynlighed]]</f>
        <v>0</v>
      </c>
      <c r="J96" s="10"/>
      <c r="K96" s="1"/>
      <c r="L96" s="8"/>
      <c r="M96" s="11"/>
      <c r="N96" s="1"/>
      <c r="O96" s="10">
        <v>46279.611087962963</v>
      </c>
      <c r="P96" s="10"/>
      <c r="Q96" s="1"/>
      <c r="R96" s="8" t="s">
        <v>49</v>
      </c>
      <c r="S9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9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9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9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9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9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9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9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9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9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9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9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9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96" s="12">
        <f ca="1">[1]!Tabel1[[#This Row],[Vægtet Honorar]]*([1]!Tabel1[[#This Row],[Sidst redigeret]]&gt;TODAY()-40)*([1]!Tabel1[[#This Row],[Er i resplan?]]&lt;&gt;"Ja")*([1]!Tabel1[[#This Row],[Status]]="Pågår")</f>
        <v>0</v>
      </c>
      <c r="AG96" s="12">
        <f ca="1">[1]!Tabel1[[#This Row],[Vægtet Honorar]]*([1]!Tabel1[[#This Row],[Sidst redigeret]]&gt;TODAY()-40)*([1]!Tabel1[[#This Row],[Status]]="Pågår")</f>
        <v>0</v>
      </c>
      <c r="AH96" s="13"/>
      <c r="AI96" s="12"/>
      <c r="AJ96" s="12"/>
      <c r="AK96" s="12"/>
      <c r="AL96" s="12"/>
      <c r="AM96" s="12"/>
      <c r="AN96" s="12"/>
      <c r="AO96" s="12"/>
      <c r="AP96" s="12"/>
    </row>
    <row r="97" spans="1:42">
      <c r="A97" t="s">
        <v>299</v>
      </c>
      <c r="B97" s="8"/>
      <c r="C97" s="8" t="s">
        <v>300</v>
      </c>
      <c r="D97" s="8" t="s">
        <v>44</v>
      </c>
      <c r="E97" s="8"/>
      <c r="F97" s="8"/>
      <c r="G97" s="8"/>
      <c r="H97" s="9"/>
      <c r="I97" s="9">
        <f>[1]!Tabel1[[#This Row],[Honorar]]*[1]!Tabel1[[#This Row],[Sandsynlighed]]</f>
        <v>0</v>
      </c>
      <c r="J97" s="10"/>
      <c r="K97" s="1"/>
      <c r="L97" s="8"/>
      <c r="M97" s="11"/>
      <c r="N97" s="1"/>
      <c r="O97" s="10">
        <v>46279.611087962963</v>
      </c>
      <c r="P97" s="10"/>
      <c r="Q97" s="1"/>
      <c r="R97" s="8" t="s">
        <v>49</v>
      </c>
      <c r="S9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9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9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9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9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9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9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9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9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9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9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9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9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97" s="12">
        <f ca="1">[1]!Tabel1[[#This Row],[Vægtet Honorar]]*([1]!Tabel1[[#This Row],[Sidst redigeret]]&gt;TODAY()-40)*([1]!Tabel1[[#This Row],[Er i resplan?]]&lt;&gt;"Ja")*([1]!Tabel1[[#This Row],[Status]]="Pågår")</f>
        <v>0</v>
      </c>
      <c r="AG97" s="12">
        <f ca="1">[1]!Tabel1[[#This Row],[Vægtet Honorar]]*([1]!Tabel1[[#This Row],[Sidst redigeret]]&gt;TODAY()-40)*([1]!Tabel1[[#This Row],[Status]]="Pågår")</f>
        <v>0</v>
      </c>
      <c r="AH97" s="13"/>
      <c r="AI97" s="12"/>
      <c r="AJ97" s="12"/>
      <c r="AK97" s="12"/>
      <c r="AL97" s="12"/>
      <c r="AM97" s="12"/>
      <c r="AN97" s="12"/>
      <c r="AO97" s="12"/>
      <c r="AP97" s="12"/>
    </row>
    <row r="98" spans="1:42">
      <c r="A98" t="s">
        <v>301</v>
      </c>
      <c r="B98" s="8"/>
      <c r="C98" s="8" t="s">
        <v>302</v>
      </c>
      <c r="D98" s="8" t="s">
        <v>298</v>
      </c>
      <c r="E98" s="8"/>
      <c r="F98" s="8"/>
      <c r="G98" s="8"/>
      <c r="H98" s="9"/>
      <c r="I98" s="9">
        <f>[1]!Tabel1[[#This Row],[Honorar]]*[1]!Tabel1[[#This Row],[Sandsynlighed]]</f>
        <v>0</v>
      </c>
      <c r="J98" s="10"/>
      <c r="K98" s="1"/>
      <c r="L98" s="8"/>
      <c r="M98" s="11"/>
      <c r="N98" s="1"/>
      <c r="O98" s="10">
        <v>46279.611087962963</v>
      </c>
      <c r="P98" s="10"/>
      <c r="Q98" s="1"/>
      <c r="R98" s="8" t="s">
        <v>49</v>
      </c>
      <c r="S9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9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9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9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9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9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9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9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9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9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9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9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9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98" s="12">
        <f ca="1">[1]!Tabel1[[#This Row],[Vægtet Honorar]]*([1]!Tabel1[[#This Row],[Sidst redigeret]]&gt;TODAY()-40)*([1]!Tabel1[[#This Row],[Er i resplan?]]&lt;&gt;"Ja")*([1]!Tabel1[[#This Row],[Status]]="Pågår")</f>
        <v>0</v>
      </c>
      <c r="AG98" s="12">
        <f ca="1">[1]!Tabel1[[#This Row],[Vægtet Honorar]]*([1]!Tabel1[[#This Row],[Sidst redigeret]]&gt;TODAY()-40)*([1]!Tabel1[[#This Row],[Status]]="Pågår")</f>
        <v>0</v>
      </c>
      <c r="AH98" s="13"/>
      <c r="AI98" s="12"/>
      <c r="AJ98" s="12"/>
      <c r="AK98" s="12"/>
      <c r="AL98" s="12"/>
      <c r="AM98" s="12"/>
      <c r="AN98" s="12"/>
      <c r="AO98" s="12"/>
      <c r="AP98" s="12"/>
    </row>
    <row r="99" spans="1:42">
      <c r="A99" t="s">
        <v>303</v>
      </c>
      <c r="B99" s="8"/>
      <c r="C99" s="8" t="s">
        <v>304</v>
      </c>
      <c r="D99" s="8" t="s">
        <v>158</v>
      </c>
      <c r="E99" s="8"/>
      <c r="F99" s="8"/>
      <c r="G99" s="8"/>
      <c r="H99" s="9"/>
      <c r="I99" s="9">
        <f>[1]!Tabel1[[#This Row],[Honorar]]*[1]!Tabel1[[#This Row],[Sandsynlighed]]</f>
        <v>0</v>
      </c>
      <c r="J99" s="10"/>
      <c r="K99" s="1"/>
      <c r="L99" s="8"/>
      <c r="M99" s="11"/>
      <c r="N99" s="1"/>
      <c r="O99" s="10">
        <v>46279.611087962963</v>
      </c>
      <c r="P99" s="10"/>
      <c r="Q99" s="1"/>
      <c r="R99" s="8" t="s">
        <v>49</v>
      </c>
      <c r="S9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9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9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9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9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9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9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9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9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9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9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9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9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99" s="12">
        <f ca="1">[1]!Tabel1[[#This Row],[Vægtet Honorar]]*([1]!Tabel1[[#This Row],[Sidst redigeret]]&gt;TODAY()-40)*([1]!Tabel1[[#This Row],[Er i resplan?]]&lt;&gt;"Ja")*([1]!Tabel1[[#This Row],[Status]]="Pågår")</f>
        <v>0</v>
      </c>
      <c r="AG99" s="12">
        <f ca="1">[1]!Tabel1[[#This Row],[Vægtet Honorar]]*([1]!Tabel1[[#This Row],[Sidst redigeret]]&gt;TODAY()-40)*([1]!Tabel1[[#This Row],[Status]]="Pågår")</f>
        <v>0</v>
      </c>
      <c r="AH99" s="13"/>
      <c r="AI99" s="12"/>
      <c r="AJ99" s="12"/>
      <c r="AK99" s="12"/>
      <c r="AL99" s="12"/>
      <c r="AM99" s="12"/>
      <c r="AN99" s="12"/>
      <c r="AO99" s="12"/>
      <c r="AP99" s="12"/>
    </row>
    <row r="100" spans="1:42">
      <c r="A100" t="s">
        <v>305</v>
      </c>
      <c r="B100" s="8"/>
      <c r="C100" s="8" t="s">
        <v>306</v>
      </c>
      <c r="D100" s="8" t="s">
        <v>57</v>
      </c>
      <c r="E100" s="8"/>
      <c r="F100" s="8"/>
      <c r="G100" s="8"/>
      <c r="H100" s="9"/>
      <c r="I100" s="9">
        <f>[1]!Tabel1[[#This Row],[Honorar]]*[1]!Tabel1[[#This Row],[Sandsynlighed]]</f>
        <v>0</v>
      </c>
      <c r="J100" s="10"/>
      <c r="K100" s="1"/>
      <c r="L100" s="8"/>
      <c r="M100" s="11"/>
      <c r="N100" s="1"/>
      <c r="O100" s="10">
        <v>46279.611087962963</v>
      </c>
      <c r="P100" s="10"/>
      <c r="Q100" s="1"/>
      <c r="R100" s="8" t="s">
        <v>49</v>
      </c>
      <c r="S10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0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0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0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0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0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0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0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0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0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0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0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0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00" s="12">
        <f ca="1">[1]!Tabel1[[#This Row],[Vægtet Honorar]]*([1]!Tabel1[[#This Row],[Sidst redigeret]]&gt;TODAY()-40)*([1]!Tabel1[[#This Row],[Er i resplan?]]&lt;&gt;"Ja")*([1]!Tabel1[[#This Row],[Status]]="Pågår")</f>
        <v>0</v>
      </c>
      <c r="AG100" s="12">
        <f ca="1">[1]!Tabel1[[#This Row],[Vægtet Honorar]]*([1]!Tabel1[[#This Row],[Sidst redigeret]]&gt;TODAY()-40)*([1]!Tabel1[[#This Row],[Status]]="Pågår")</f>
        <v>0</v>
      </c>
      <c r="AH100" s="13"/>
      <c r="AI100" s="12"/>
      <c r="AJ100" s="12"/>
      <c r="AK100" s="12"/>
      <c r="AL100" s="12" t="s">
        <v>307</v>
      </c>
      <c r="AM100" s="12"/>
      <c r="AN100" s="12"/>
      <c r="AO100" s="12"/>
      <c r="AP100" s="12"/>
    </row>
    <row r="101" spans="1:42">
      <c r="A101" t="s">
        <v>308</v>
      </c>
      <c r="B101" s="8"/>
      <c r="C101" s="8" t="s">
        <v>309</v>
      </c>
      <c r="D101" s="8" t="s">
        <v>310</v>
      </c>
      <c r="E101" s="8"/>
      <c r="F101" s="8"/>
      <c r="G101" s="8"/>
      <c r="H101" s="9"/>
      <c r="I101" s="9">
        <f>[1]!Tabel1[[#This Row],[Honorar]]*[1]!Tabel1[[#This Row],[Sandsynlighed]]</f>
        <v>0</v>
      </c>
      <c r="J101" s="10"/>
      <c r="K101" s="1"/>
      <c r="L101" s="8" t="s">
        <v>311</v>
      </c>
      <c r="M101" s="11"/>
      <c r="N101" s="1"/>
      <c r="O101" s="10">
        <v>46279.611087962963</v>
      </c>
      <c r="P101" s="10"/>
      <c r="Q101" s="1" t="s">
        <v>72</v>
      </c>
      <c r="R101" s="8" t="s">
        <v>49</v>
      </c>
      <c r="S10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0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0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0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0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0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0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0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0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0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0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0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0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01" s="12">
        <f ca="1">[1]!Tabel1[[#This Row],[Vægtet Honorar]]*([1]!Tabel1[[#This Row],[Sidst redigeret]]&gt;TODAY()-40)*([1]!Tabel1[[#This Row],[Er i resplan?]]&lt;&gt;"Ja")*([1]!Tabel1[[#This Row],[Status]]="Pågår")</f>
        <v>0</v>
      </c>
      <c r="AG101" s="12">
        <f ca="1">[1]!Tabel1[[#This Row],[Vægtet Honorar]]*([1]!Tabel1[[#This Row],[Sidst redigeret]]&gt;TODAY()-40)*([1]!Tabel1[[#This Row],[Status]]="Pågår")</f>
        <v>0</v>
      </c>
      <c r="AH101" s="13"/>
      <c r="AI101" s="12"/>
      <c r="AJ101" s="12"/>
      <c r="AK101" s="12"/>
      <c r="AL101" s="12"/>
      <c r="AM101" s="12"/>
      <c r="AN101" s="12"/>
      <c r="AO101" s="12"/>
      <c r="AP101" s="12"/>
    </row>
    <row r="102" spans="1:42">
      <c r="A102" t="s">
        <v>312</v>
      </c>
      <c r="B102" s="8"/>
      <c r="C102" s="8" t="s">
        <v>313</v>
      </c>
      <c r="D102" s="8"/>
      <c r="E102" s="8"/>
      <c r="F102" s="8"/>
      <c r="G102" s="8"/>
      <c r="H102" s="9"/>
      <c r="I102" s="9">
        <f>[1]!Tabel1[[#This Row],[Honorar]]*[1]!Tabel1[[#This Row],[Sandsynlighed]]</f>
        <v>0</v>
      </c>
      <c r="J102" s="10"/>
      <c r="K102" s="1"/>
      <c r="L102" s="8"/>
      <c r="M102" s="11"/>
      <c r="N102" s="1"/>
      <c r="O102" s="10">
        <v>46279.611087962963</v>
      </c>
      <c r="P102" s="10"/>
      <c r="Q102" s="1"/>
      <c r="R102" s="8" t="s">
        <v>49</v>
      </c>
      <c r="S10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0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0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0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0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0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0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0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0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0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0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0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0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02" s="12">
        <f ca="1">[1]!Tabel1[[#This Row],[Vægtet Honorar]]*([1]!Tabel1[[#This Row],[Sidst redigeret]]&gt;TODAY()-40)*([1]!Tabel1[[#This Row],[Er i resplan?]]&lt;&gt;"Ja")*([1]!Tabel1[[#This Row],[Status]]="Pågår")</f>
        <v>0</v>
      </c>
      <c r="AG102" s="12">
        <f ca="1">[1]!Tabel1[[#This Row],[Vægtet Honorar]]*([1]!Tabel1[[#This Row],[Sidst redigeret]]&gt;TODAY()-40)*([1]!Tabel1[[#This Row],[Status]]="Pågår")</f>
        <v>0</v>
      </c>
      <c r="AH102" s="13"/>
      <c r="AI102" s="12"/>
      <c r="AJ102" s="12"/>
      <c r="AK102" s="12"/>
      <c r="AL102" s="12"/>
      <c r="AM102" s="12"/>
      <c r="AN102" s="12"/>
      <c r="AO102" s="12"/>
      <c r="AP102" s="12"/>
    </row>
    <row r="103" spans="1:42">
      <c r="A103" t="s">
        <v>314</v>
      </c>
      <c r="B103" s="8"/>
      <c r="C103" s="8" t="s">
        <v>315</v>
      </c>
      <c r="D103" s="8"/>
      <c r="E103" s="8"/>
      <c r="F103" s="8"/>
      <c r="G103" s="8"/>
      <c r="H103" s="9"/>
      <c r="I103" s="9">
        <f>[1]!Tabel1[[#This Row],[Honorar]]*[1]!Tabel1[[#This Row],[Sandsynlighed]]</f>
        <v>0</v>
      </c>
      <c r="J103" s="10"/>
      <c r="K103" s="1"/>
      <c r="L103" s="8"/>
      <c r="M103" s="11"/>
      <c r="N103" s="1"/>
      <c r="O103" s="10">
        <v>46279.611087962963</v>
      </c>
      <c r="P103" s="10"/>
      <c r="Q103" s="1"/>
      <c r="R103" s="8" t="s">
        <v>49</v>
      </c>
      <c r="S10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0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0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0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0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0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0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0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0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0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0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0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0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03" s="12">
        <f ca="1">[1]!Tabel1[[#This Row],[Vægtet Honorar]]*([1]!Tabel1[[#This Row],[Sidst redigeret]]&gt;TODAY()-40)*([1]!Tabel1[[#This Row],[Er i resplan?]]&lt;&gt;"Ja")*([1]!Tabel1[[#This Row],[Status]]="Pågår")</f>
        <v>0</v>
      </c>
      <c r="AG103" s="12">
        <f ca="1">[1]!Tabel1[[#This Row],[Vægtet Honorar]]*([1]!Tabel1[[#This Row],[Sidst redigeret]]&gt;TODAY()-40)*([1]!Tabel1[[#This Row],[Status]]="Pågår")</f>
        <v>0</v>
      </c>
      <c r="AH103" s="13"/>
      <c r="AI103" s="12"/>
      <c r="AJ103" s="12"/>
      <c r="AK103" s="12"/>
      <c r="AL103" s="12"/>
      <c r="AM103" s="12"/>
      <c r="AN103" s="12"/>
      <c r="AO103" s="12"/>
      <c r="AP103" s="12"/>
    </row>
    <row r="104" spans="1:42">
      <c r="A104" t="s">
        <v>316</v>
      </c>
      <c r="B104" s="8"/>
      <c r="C104" s="8" t="s">
        <v>317</v>
      </c>
      <c r="D104" s="8" t="s">
        <v>119</v>
      </c>
      <c r="E104" s="8" t="s">
        <v>120</v>
      </c>
      <c r="F104" s="8"/>
      <c r="G104" s="8"/>
      <c r="H104" s="9"/>
      <c r="I104" s="9">
        <f>[1]!Tabel1[[#This Row],[Honorar]]*[1]!Tabel1[[#This Row],[Sandsynlighed]]</f>
        <v>0</v>
      </c>
      <c r="J104" s="10"/>
      <c r="K104" s="1"/>
      <c r="L104" s="8" t="s">
        <v>104</v>
      </c>
      <c r="M104" s="11"/>
      <c r="N104" s="1"/>
      <c r="O104" s="10">
        <v>46279.611087962963</v>
      </c>
      <c r="P104" s="10"/>
      <c r="Q104" s="1"/>
      <c r="R104" s="8" t="s">
        <v>47</v>
      </c>
      <c r="S10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0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0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0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0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0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0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0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0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0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0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0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0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04" s="12">
        <f ca="1">[1]!Tabel1[[#This Row],[Vægtet Honorar]]*([1]!Tabel1[[#This Row],[Sidst redigeret]]&gt;TODAY()-40)*([1]!Tabel1[[#This Row],[Er i resplan?]]&lt;&gt;"Ja")*([1]!Tabel1[[#This Row],[Status]]="Pågår")</f>
        <v>0</v>
      </c>
      <c r="AG104" s="12">
        <f ca="1">[1]!Tabel1[[#This Row],[Vægtet Honorar]]*([1]!Tabel1[[#This Row],[Sidst redigeret]]&gt;TODAY()-40)*([1]!Tabel1[[#This Row],[Status]]="Pågår")</f>
        <v>0</v>
      </c>
      <c r="AH104" s="13"/>
      <c r="AI104" s="12"/>
      <c r="AJ104" s="12"/>
      <c r="AK104" s="12"/>
      <c r="AL104" s="12"/>
      <c r="AM104" s="12"/>
      <c r="AN104" s="12"/>
      <c r="AO104" s="12"/>
      <c r="AP104" s="12"/>
    </row>
    <row r="105" spans="1:42">
      <c r="A105" t="s">
        <v>318</v>
      </c>
      <c r="B105" s="8"/>
      <c r="C105" s="8" t="s">
        <v>319</v>
      </c>
      <c r="D105" s="8"/>
      <c r="E105" s="8"/>
      <c r="F105" s="8"/>
      <c r="G105" s="8"/>
      <c r="H105" s="9"/>
      <c r="I105" s="9">
        <f>[1]!Tabel1[[#This Row],[Honorar]]*[1]!Tabel1[[#This Row],[Sandsynlighed]]</f>
        <v>0</v>
      </c>
      <c r="J105" s="10"/>
      <c r="K105" s="1"/>
      <c r="L105" s="8"/>
      <c r="M105" s="11"/>
      <c r="N105" s="1"/>
      <c r="O105" s="10">
        <v>46279.611087962963</v>
      </c>
      <c r="P105" s="10"/>
      <c r="Q105" s="1"/>
      <c r="R105" s="8" t="s">
        <v>49</v>
      </c>
      <c r="S10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0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0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0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0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0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0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0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0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0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0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0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0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05" s="12">
        <f ca="1">[1]!Tabel1[[#This Row],[Vægtet Honorar]]*([1]!Tabel1[[#This Row],[Sidst redigeret]]&gt;TODAY()-40)*([1]!Tabel1[[#This Row],[Er i resplan?]]&lt;&gt;"Ja")*([1]!Tabel1[[#This Row],[Status]]="Pågår")</f>
        <v>0</v>
      </c>
      <c r="AG105" s="12">
        <f ca="1">[1]!Tabel1[[#This Row],[Vægtet Honorar]]*([1]!Tabel1[[#This Row],[Sidst redigeret]]&gt;TODAY()-40)*([1]!Tabel1[[#This Row],[Status]]="Pågår")</f>
        <v>0</v>
      </c>
      <c r="AH105" s="13"/>
      <c r="AI105" s="12"/>
      <c r="AJ105" s="12"/>
      <c r="AK105" s="12"/>
      <c r="AL105" s="12"/>
      <c r="AM105" s="12"/>
      <c r="AN105" s="12"/>
      <c r="AO105" s="12"/>
      <c r="AP105" s="12"/>
    </row>
    <row r="106" spans="1:42">
      <c r="A106" t="s">
        <v>320</v>
      </c>
      <c r="B106" s="8"/>
      <c r="C106" s="8" t="s">
        <v>321</v>
      </c>
      <c r="D106" s="8" t="s">
        <v>158</v>
      </c>
      <c r="E106" s="8"/>
      <c r="F106" s="8"/>
      <c r="G106" s="8"/>
      <c r="H106" s="9"/>
      <c r="I106" s="9">
        <f>[1]!Tabel1[[#This Row],[Honorar]]*[1]!Tabel1[[#This Row],[Sandsynlighed]]</f>
        <v>0</v>
      </c>
      <c r="J106" s="10"/>
      <c r="K106" s="1"/>
      <c r="L106" s="8"/>
      <c r="M106" s="11"/>
      <c r="N106" s="1"/>
      <c r="O106" s="10">
        <v>46279.611087962963</v>
      </c>
      <c r="P106" s="10"/>
      <c r="Q106" s="1"/>
      <c r="R106" s="8" t="s">
        <v>49</v>
      </c>
      <c r="S10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0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0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0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0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0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0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0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0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0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0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0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0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06" s="12">
        <f ca="1">[1]!Tabel1[[#This Row],[Vægtet Honorar]]*([1]!Tabel1[[#This Row],[Sidst redigeret]]&gt;TODAY()-40)*([1]!Tabel1[[#This Row],[Er i resplan?]]&lt;&gt;"Ja")*([1]!Tabel1[[#This Row],[Status]]="Pågår")</f>
        <v>0</v>
      </c>
      <c r="AG106" s="12">
        <f ca="1">[1]!Tabel1[[#This Row],[Vægtet Honorar]]*([1]!Tabel1[[#This Row],[Sidst redigeret]]&gt;TODAY()-40)*([1]!Tabel1[[#This Row],[Status]]="Pågår")</f>
        <v>0</v>
      </c>
      <c r="AH106" s="13"/>
      <c r="AI106" s="12"/>
      <c r="AJ106" s="12"/>
      <c r="AK106" s="12"/>
      <c r="AL106" s="12"/>
      <c r="AM106" s="12"/>
      <c r="AN106" s="12"/>
      <c r="AO106" s="12"/>
      <c r="AP106" s="12"/>
    </row>
    <row r="107" spans="1:42">
      <c r="A107" t="s">
        <v>322</v>
      </c>
      <c r="B107" s="8"/>
      <c r="C107" s="8" t="s">
        <v>323</v>
      </c>
      <c r="D107" s="8" t="s">
        <v>158</v>
      </c>
      <c r="E107" s="8"/>
      <c r="F107" s="8"/>
      <c r="G107" s="8"/>
      <c r="H107" s="9"/>
      <c r="I107" s="9">
        <f>[1]!Tabel1[[#This Row],[Honorar]]*[1]!Tabel1[[#This Row],[Sandsynlighed]]</f>
        <v>0</v>
      </c>
      <c r="J107" s="10"/>
      <c r="K107" s="1"/>
      <c r="L107" s="8"/>
      <c r="M107" s="11"/>
      <c r="N107" s="1"/>
      <c r="O107" s="10">
        <v>46279.611087962963</v>
      </c>
      <c r="P107" s="10"/>
      <c r="Q107" s="1"/>
      <c r="R107" s="8" t="s">
        <v>49</v>
      </c>
      <c r="S10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0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0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0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0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0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0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0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0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0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0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0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0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07" s="12">
        <f ca="1">[1]!Tabel1[[#This Row],[Vægtet Honorar]]*([1]!Tabel1[[#This Row],[Sidst redigeret]]&gt;TODAY()-40)*([1]!Tabel1[[#This Row],[Er i resplan?]]&lt;&gt;"Ja")*([1]!Tabel1[[#This Row],[Status]]="Pågår")</f>
        <v>0</v>
      </c>
      <c r="AG107" s="12">
        <f ca="1">[1]!Tabel1[[#This Row],[Vægtet Honorar]]*([1]!Tabel1[[#This Row],[Sidst redigeret]]&gt;TODAY()-40)*([1]!Tabel1[[#This Row],[Status]]="Pågår")</f>
        <v>0</v>
      </c>
      <c r="AH107" s="13"/>
      <c r="AI107" s="12"/>
      <c r="AJ107" s="12"/>
      <c r="AK107" s="12"/>
      <c r="AL107" s="12"/>
      <c r="AM107" s="12"/>
      <c r="AN107" s="12"/>
      <c r="AO107" s="12"/>
      <c r="AP107" s="12"/>
    </row>
    <row r="108" spans="1:42">
      <c r="A108" t="s">
        <v>324</v>
      </c>
      <c r="B108" s="8"/>
      <c r="C108" s="8" t="s">
        <v>325</v>
      </c>
      <c r="D108" s="8" t="s">
        <v>57</v>
      </c>
      <c r="E108" s="8" t="s">
        <v>167</v>
      </c>
      <c r="F108" s="8" t="s">
        <v>326</v>
      </c>
      <c r="G108" s="8" t="s">
        <v>327</v>
      </c>
      <c r="H108" s="9">
        <v>2000000</v>
      </c>
      <c r="I108" s="9">
        <f>[1]!Tabel1[[#This Row],[Honorar]]*[1]!Tabel1[[#This Row],[Sandsynlighed]]</f>
        <v>0</v>
      </c>
      <c r="J108" s="10" t="s">
        <v>328</v>
      </c>
      <c r="K108" s="1" t="s">
        <v>329</v>
      </c>
      <c r="L108" s="8" t="s">
        <v>330</v>
      </c>
      <c r="M108" s="11">
        <v>1</v>
      </c>
      <c r="N108" s="1" t="s">
        <v>331</v>
      </c>
      <c r="O108" s="10">
        <v>46279.611087962963</v>
      </c>
      <c r="P108" s="10"/>
      <c r="Q108" s="1" t="s">
        <v>46</v>
      </c>
      <c r="R108" s="8" t="s">
        <v>47</v>
      </c>
      <c r="S10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0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0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0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0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0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0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0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0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0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0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0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0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08" s="12">
        <f ca="1">[1]!Tabel1[[#This Row],[Vægtet Honorar]]*([1]!Tabel1[[#This Row],[Sidst redigeret]]&gt;TODAY()-40)*([1]!Tabel1[[#This Row],[Er i resplan?]]&lt;&gt;"Ja")*([1]!Tabel1[[#This Row],[Status]]="Pågår")</f>
        <v>0</v>
      </c>
      <c r="AG108" s="12">
        <f ca="1">[1]!Tabel1[[#This Row],[Vægtet Honorar]]*([1]!Tabel1[[#This Row],[Sidst redigeret]]&gt;TODAY()-40)*([1]!Tabel1[[#This Row],[Status]]="Pågår")</f>
        <v>0</v>
      </c>
      <c r="AH108" s="13"/>
      <c r="AI108" s="12"/>
      <c r="AJ108" s="12"/>
      <c r="AK108" s="12"/>
      <c r="AL108" s="12"/>
      <c r="AM108" s="12"/>
      <c r="AN108" s="12"/>
      <c r="AO108" s="12"/>
      <c r="AP108" s="12"/>
    </row>
    <row r="109" spans="1:42">
      <c r="A109" t="s">
        <v>332</v>
      </c>
      <c r="B109" s="8"/>
      <c r="C109" s="8" t="s">
        <v>333</v>
      </c>
      <c r="D109" s="8" t="s">
        <v>334</v>
      </c>
      <c r="E109" s="8"/>
      <c r="F109" s="8"/>
      <c r="G109" s="8"/>
      <c r="H109" s="9"/>
      <c r="I109" s="9">
        <f>[1]!Tabel1[[#This Row],[Honorar]]*[1]!Tabel1[[#This Row],[Sandsynlighed]]</f>
        <v>0</v>
      </c>
      <c r="J109" s="10"/>
      <c r="K109" s="1"/>
      <c r="L109" s="8"/>
      <c r="M109" s="11"/>
      <c r="N109" s="1"/>
      <c r="O109" s="10">
        <v>46279.611087962963</v>
      </c>
      <c r="P109" s="10"/>
      <c r="Q109" s="1"/>
      <c r="R109" s="8" t="s">
        <v>49</v>
      </c>
      <c r="S10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0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0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0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0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0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0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0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0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0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0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0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0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09" s="12">
        <f ca="1">[1]!Tabel1[[#This Row],[Vægtet Honorar]]*([1]!Tabel1[[#This Row],[Sidst redigeret]]&gt;TODAY()-40)*([1]!Tabel1[[#This Row],[Er i resplan?]]&lt;&gt;"Ja")*([1]!Tabel1[[#This Row],[Status]]="Pågår")</f>
        <v>0</v>
      </c>
      <c r="AG109" s="12">
        <f ca="1">[1]!Tabel1[[#This Row],[Vægtet Honorar]]*([1]!Tabel1[[#This Row],[Sidst redigeret]]&gt;TODAY()-40)*([1]!Tabel1[[#This Row],[Status]]="Pågår")</f>
        <v>0</v>
      </c>
      <c r="AH109" s="13"/>
      <c r="AI109" s="12"/>
      <c r="AJ109" s="12"/>
      <c r="AK109" s="12"/>
      <c r="AL109" s="12"/>
      <c r="AM109" s="12"/>
      <c r="AN109" s="12"/>
      <c r="AO109" s="12"/>
      <c r="AP109" s="12"/>
    </row>
    <row r="110" spans="1:42">
      <c r="A110" t="s">
        <v>335</v>
      </c>
      <c r="B110" s="8"/>
      <c r="C110" s="8" t="s">
        <v>336</v>
      </c>
      <c r="D110" s="8"/>
      <c r="E110" s="8"/>
      <c r="F110" s="8"/>
      <c r="G110" s="8"/>
      <c r="H110" s="9"/>
      <c r="I110" s="9">
        <f>[1]!Tabel1[[#This Row],[Honorar]]*[1]!Tabel1[[#This Row],[Sandsynlighed]]</f>
        <v>0</v>
      </c>
      <c r="J110" s="10"/>
      <c r="K110" s="1"/>
      <c r="L110" s="8"/>
      <c r="M110" s="11"/>
      <c r="N110" s="1"/>
      <c r="O110" s="10">
        <v>46279.611087962963</v>
      </c>
      <c r="P110" s="10"/>
      <c r="Q110" s="1"/>
      <c r="R110" s="8" t="s">
        <v>49</v>
      </c>
      <c r="S11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1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1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1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1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1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1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1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1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1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1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1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1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10" s="12">
        <f ca="1">[1]!Tabel1[[#This Row],[Vægtet Honorar]]*([1]!Tabel1[[#This Row],[Sidst redigeret]]&gt;TODAY()-40)*([1]!Tabel1[[#This Row],[Er i resplan?]]&lt;&gt;"Ja")*([1]!Tabel1[[#This Row],[Status]]="Pågår")</f>
        <v>0</v>
      </c>
      <c r="AG110" s="12">
        <f ca="1">[1]!Tabel1[[#This Row],[Vægtet Honorar]]*([1]!Tabel1[[#This Row],[Sidst redigeret]]&gt;TODAY()-40)*([1]!Tabel1[[#This Row],[Status]]="Pågår")</f>
        <v>0</v>
      </c>
      <c r="AH110" s="13"/>
      <c r="AI110" s="12"/>
      <c r="AJ110" s="12"/>
      <c r="AK110" s="12"/>
      <c r="AL110" s="12"/>
      <c r="AM110" s="12"/>
      <c r="AN110" s="12"/>
      <c r="AO110" s="12"/>
      <c r="AP110" s="12"/>
    </row>
    <row r="111" spans="1:42">
      <c r="A111" t="s">
        <v>337</v>
      </c>
      <c r="B111" s="8"/>
      <c r="C111" s="8" t="s">
        <v>338</v>
      </c>
      <c r="D111" s="8" t="s">
        <v>158</v>
      </c>
      <c r="E111" s="8"/>
      <c r="F111" s="8" t="s">
        <v>339</v>
      </c>
      <c r="G111" s="8" t="s">
        <v>340</v>
      </c>
      <c r="H111" s="9">
        <v>250000</v>
      </c>
      <c r="I111" s="9">
        <f>[1]!Tabel1[[#This Row],[Honorar]]*[1]!Tabel1[[#This Row],[Sandsynlighed]]</f>
        <v>0</v>
      </c>
      <c r="J111" s="10" t="s">
        <v>341</v>
      </c>
      <c r="K111" s="1" t="s">
        <v>342</v>
      </c>
      <c r="L111" s="8"/>
      <c r="M111" s="11">
        <v>0.2</v>
      </c>
      <c r="N111" s="1"/>
      <c r="O111" s="10">
        <v>46279.611087962963</v>
      </c>
      <c r="P111" s="10"/>
      <c r="Q111" s="1"/>
      <c r="R111" s="8" t="s">
        <v>343</v>
      </c>
      <c r="S11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1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1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1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1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1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1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1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1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1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1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1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1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11" s="12">
        <f ca="1">[1]!Tabel1[[#This Row],[Vægtet Honorar]]*([1]!Tabel1[[#This Row],[Sidst redigeret]]&gt;TODAY()-40)*([1]!Tabel1[[#This Row],[Er i resplan?]]&lt;&gt;"Ja")*([1]!Tabel1[[#This Row],[Status]]="Pågår")</f>
        <v>0</v>
      </c>
      <c r="AG111" s="12">
        <f ca="1">[1]!Tabel1[[#This Row],[Vægtet Honorar]]*([1]!Tabel1[[#This Row],[Sidst redigeret]]&gt;TODAY()-40)*([1]!Tabel1[[#This Row],[Status]]="Pågår")</f>
        <v>0</v>
      </c>
      <c r="AH111" s="13"/>
      <c r="AI111" s="12"/>
      <c r="AJ111" s="12"/>
      <c r="AK111" s="12"/>
      <c r="AL111" s="12"/>
      <c r="AM111" s="12"/>
      <c r="AN111" s="12"/>
      <c r="AO111" s="12"/>
      <c r="AP111" s="12"/>
    </row>
    <row r="112" spans="1:42">
      <c r="A112" t="s">
        <v>344</v>
      </c>
      <c r="B112" s="8"/>
      <c r="C112" s="8" t="s">
        <v>345</v>
      </c>
      <c r="D112" s="8" t="s">
        <v>158</v>
      </c>
      <c r="E112" s="8"/>
      <c r="F112" s="8"/>
      <c r="G112" s="8"/>
      <c r="H112" s="9"/>
      <c r="I112" s="9">
        <f>[1]!Tabel1[[#This Row],[Honorar]]*[1]!Tabel1[[#This Row],[Sandsynlighed]]</f>
        <v>0</v>
      </c>
      <c r="J112" s="10"/>
      <c r="K112" s="1"/>
      <c r="L112" s="8"/>
      <c r="M112" s="11"/>
      <c r="N112" s="1"/>
      <c r="O112" s="10">
        <v>46279.611087962963</v>
      </c>
      <c r="P112" s="10"/>
      <c r="Q112" s="1"/>
      <c r="R112" s="8" t="s">
        <v>49</v>
      </c>
      <c r="S11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1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1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1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1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1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1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1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1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1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1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1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1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12" s="12">
        <f ca="1">[1]!Tabel1[[#This Row],[Vægtet Honorar]]*([1]!Tabel1[[#This Row],[Sidst redigeret]]&gt;TODAY()-40)*([1]!Tabel1[[#This Row],[Er i resplan?]]&lt;&gt;"Ja")*([1]!Tabel1[[#This Row],[Status]]="Pågår")</f>
        <v>0</v>
      </c>
      <c r="AG112" s="12">
        <f ca="1">[1]!Tabel1[[#This Row],[Vægtet Honorar]]*([1]!Tabel1[[#This Row],[Sidst redigeret]]&gt;TODAY()-40)*([1]!Tabel1[[#This Row],[Status]]="Pågår")</f>
        <v>0</v>
      </c>
      <c r="AH112" s="13"/>
      <c r="AI112" s="12"/>
      <c r="AJ112" s="12"/>
      <c r="AK112" s="12"/>
      <c r="AL112" s="12"/>
      <c r="AM112" s="12"/>
      <c r="AN112" s="12"/>
      <c r="AO112" s="12"/>
      <c r="AP112" s="12"/>
    </row>
    <row r="113" spans="1:42">
      <c r="A113" t="s">
        <v>346</v>
      </c>
      <c r="B113" s="8"/>
      <c r="C113" s="8" t="s">
        <v>347</v>
      </c>
      <c r="D113" s="8" t="s">
        <v>119</v>
      </c>
      <c r="E113" s="8" t="s">
        <v>120</v>
      </c>
      <c r="F113" s="8"/>
      <c r="G113" s="8"/>
      <c r="H113" s="9"/>
      <c r="I113" s="9">
        <f>[1]!Tabel1[[#This Row],[Honorar]]*[1]!Tabel1[[#This Row],[Sandsynlighed]]</f>
        <v>2000000</v>
      </c>
      <c r="J113" s="10"/>
      <c r="K113" s="1"/>
      <c r="L113" s="8"/>
      <c r="M113" s="11">
        <v>0.05</v>
      </c>
      <c r="N113" s="1"/>
      <c r="O113" s="10">
        <v>46279.611087962963</v>
      </c>
      <c r="P113" s="10"/>
      <c r="Q113" s="1"/>
      <c r="R113" s="8" t="s">
        <v>49</v>
      </c>
      <c r="S11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1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1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1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1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1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1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1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1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1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1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1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1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13" s="12">
        <f ca="1">[1]!Tabel1[[#This Row],[Vægtet Honorar]]*([1]!Tabel1[[#This Row],[Sidst redigeret]]&gt;TODAY()-40)*([1]!Tabel1[[#This Row],[Er i resplan?]]&lt;&gt;"Ja")*([1]!Tabel1[[#This Row],[Status]]="Pågår")</f>
        <v>0</v>
      </c>
      <c r="AG113" s="12">
        <f ca="1">[1]!Tabel1[[#This Row],[Vægtet Honorar]]*([1]!Tabel1[[#This Row],[Sidst redigeret]]&gt;TODAY()-40)*([1]!Tabel1[[#This Row],[Status]]="Pågår")</f>
        <v>0</v>
      </c>
      <c r="AH113" s="13"/>
      <c r="AI113" s="12"/>
      <c r="AJ113" s="12"/>
      <c r="AK113" s="12"/>
      <c r="AL113" s="12"/>
      <c r="AM113" s="12"/>
      <c r="AN113" s="12"/>
      <c r="AO113" s="12"/>
      <c r="AP113" s="12"/>
    </row>
    <row r="114" spans="1:42">
      <c r="A114" t="s">
        <v>348</v>
      </c>
      <c r="B114" s="8"/>
      <c r="C114" s="8" t="s">
        <v>349</v>
      </c>
      <c r="D114" s="8" t="s">
        <v>119</v>
      </c>
      <c r="E114" s="8" t="s">
        <v>120</v>
      </c>
      <c r="F114" s="8"/>
      <c r="G114" s="8"/>
      <c r="H114" s="9"/>
      <c r="I114" s="9">
        <f>[1]!Tabel1[[#This Row],[Honorar]]*[1]!Tabel1[[#This Row],[Sandsynlighed]]</f>
        <v>0</v>
      </c>
      <c r="J114" s="10"/>
      <c r="K114" s="1"/>
      <c r="L114" s="8" t="s">
        <v>350</v>
      </c>
      <c r="M114" s="11">
        <v>0</v>
      </c>
      <c r="N114" s="1"/>
      <c r="O114" s="10">
        <v>46279.611087962963</v>
      </c>
      <c r="P114" s="10"/>
      <c r="Q114" s="1"/>
      <c r="R114" s="8" t="s">
        <v>75</v>
      </c>
      <c r="S11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1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1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1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1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1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1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1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1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1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1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1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1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14" s="12">
        <f ca="1">[1]!Tabel1[[#This Row],[Vægtet Honorar]]*([1]!Tabel1[[#This Row],[Sidst redigeret]]&gt;TODAY()-40)*([1]!Tabel1[[#This Row],[Er i resplan?]]&lt;&gt;"Ja")*([1]!Tabel1[[#This Row],[Status]]="Pågår")</f>
        <v>0</v>
      </c>
      <c r="AG114" s="12">
        <f ca="1">[1]!Tabel1[[#This Row],[Vægtet Honorar]]*([1]!Tabel1[[#This Row],[Sidst redigeret]]&gt;TODAY()-40)*([1]!Tabel1[[#This Row],[Status]]="Pågår")</f>
        <v>0</v>
      </c>
      <c r="AH114" s="13"/>
      <c r="AI114" s="12"/>
      <c r="AJ114" s="12"/>
      <c r="AK114" s="12"/>
      <c r="AL114" s="12"/>
      <c r="AM114" s="12"/>
      <c r="AN114" s="12"/>
      <c r="AO114" s="12"/>
      <c r="AP114" s="12"/>
    </row>
    <row r="115" spans="1:42">
      <c r="A115" t="s">
        <v>351</v>
      </c>
      <c r="B115" s="8"/>
      <c r="C115" s="8" t="s">
        <v>352</v>
      </c>
      <c r="D115" s="8" t="s">
        <v>353</v>
      </c>
      <c r="E115" s="8"/>
      <c r="F115" s="8"/>
      <c r="G115" s="8"/>
      <c r="H115" s="9"/>
      <c r="I115" s="9">
        <f>[1]!Tabel1[[#This Row],[Honorar]]*[1]!Tabel1[[#This Row],[Sandsynlighed]]</f>
        <v>0</v>
      </c>
      <c r="J115" s="10"/>
      <c r="K115" s="1"/>
      <c r="L115" s="8"/>
      <c r="M115" s="11"/>
      <c r="N115" s="1"/>
      <c r="O115" s="10">
        <v>46279.611087962963</v>
      </c>
      <c r="P115" s="10"/>
      <c r="Q115" s="1"/>
      <c r="R115" s="8" t="s">
        <v>49</v>
      </c>
      <c r="S11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1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1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1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1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1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1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1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1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1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1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1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1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15" s="12">
        <f ca="1">[1]!Tabel1[[#This Row],[Vægtet Honorar]]*([1]!Tabel1[[#This Row],[Sidst redigeret]]&gt;TODAY()-40)*([1]!Tabel1[[#This Row],[Er i resplan?]]&lt;&gt;"Ja")*([1]!Tabel1[[#This Row],[Status]]="Pågår")</f>
        <v>0</v>
      </c>
      <c r="AG115" s="12">
        <f ca="1">[1]!Tabel1[[#This Row],[Vægtet Honorar]]*([1]!Tabel1[[#This Row],[Sidst redigeret]]&gt;TODAY()-40)*([1]!Tabel1[[#This Row],[Status]]="Pågår")</f>
        <v>0</v>
      </c>
      <c r="AH115" s="13"/>
      <c r="AI115" s="12"/>
      <c r="AJ115" s="12"/>
      <c r="AK115" s="12"/>
      <c r="AL115" s="12"/>
      <c r="AM115" s="12"/>
      <c r="AN115" s="12"/>
      <c r="AO115" s="12"/>
      <c r="AP115" s="12"/>
    </row>
    <row r="116" spans="1:42">
      <c r="A116" t="s">
        <v>354</v>
      </c>
      <c r="B116" s="8"/>
      <c r="C116" s="8" t="s">
        <v>355</v>
      </c>
      <c r="D116" s="8"/>
      <c r="E116" s="8"/>
      <c r="F116" s="8"/>
      <c r="G116" s="8"/>
      <c r="H116" s="9"/>
      <c r="I116" s="9">
        <f>[1]!Tabel1[[#This Row],[Honorar]]*[1]!Tabel1[[#This Row],[Sandsynlighed]]</f>
        <v>50000</v>
      </c>
      <c r="J116" s="10"/>
      <c r="K116" s="1"/>
      <c r="L116" s="8"/>
      <c r="M116" s="11"/>
      <c r="N116" s="1"/>
      <c r="O116" s="10">
        <v>46279.611087962963</v>
      </c>
      <c r="P116" s="10"/>
      <c r="Q116" s="1"/>
      <c r="R116" s="8" t="s">
        <v>49</v>
      </c>
      <c r="S11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4178.1135531135533</v>
      </c>
      <c r="T11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4178.1135531135533</v>
      </c>
      <c r="U11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4178.1135531135533</v>
      </c>
      <c r="V11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4178.1135531135533</v>
      </c>
      <c r="W11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1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1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1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1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1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1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1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1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16" s="12">
        <f ca="1">[1]!Tabel1[[#This Row],[Vægtet Honorar]]*([1]!Tabel1[[#This Row],[Sidst redigeret]]&gt;TODAY()-40)*([1]!Tabel1[[#This Row],[Er i resplan?]]&lt;&gt;"Ja")*([1]!Tabel1[[#This Row],[Status]]="Pågår")</f>
        <v>50000</v>
      </c>
      <c r="AG116" s="12">
        <f ca="1">[1]!Tabel1[[#This Row],[Vægtet Honorar]]*([1]!Tabel1[[#This Row],[Sidst redigeret]]&gt;TODAY()-40)*([1]!Tabel1[[#This Row],[Status]]="Pågår")</f>
        <v>50000</v>
      </c>
      <c r="AH116" s="13"/>
      <c r="AI116" s="12"/>
      <c r="AJ116" s="12"/>
      <c r="AK116" s="12"/>
      <c r="AL116" s="12"/>
      <c r="AM116" s="12"/>
      <c r="AN116" s="12"/>
      <c r="AO116" s="12"/>
      <c r="AP116" s="12"/>
    </row>
    <row r="117" spans="1:42">
      <c r="A117" t="s">
        <v>356</v>
      </c>
      <c r="B117" s="8"/>
      <c r="C117" s="8" t="s">
        <v>357</v>
      </c>
      <c r="D117" s="8" t="s">
        <v>358</v>
      </c>
      <c r="E117" s="8"/>
      <c r="F117" s="8"/>
      <c r="G117" s="8"/>
      <c r="H117" s="9"/>
      <c r="I117" s="9">
        <f>[1]!Tabel1[[#This Row],[Honorar]]*[1]!Tabel1[[#This Row],[Sandsynlighed]]</f>
        <v>0</v>
      </c>
      <c r="J117" s="10"/>
      <c r="K117" s="1"/>
      <c r="L117" s="8"/>
      <c r="M117" s="11"/>
      <c r="N117" s="1"/>
      <c r="O117" s="10">
        <v>46279.611087962963</v>
      </c>
      <c r="P117" s="10"/>
      <c r="Q117" s="1"/>
      <c r="R117" s="8" t="s">
        <v>49</v>
      </c>
      <c r="S11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1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1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1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1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1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1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1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1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1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1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1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1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17" s="12">
        <f ca="1">[1]!Tabel1[[#This Row],[Vægtet Honorar]]*([1]!Tabel1[[#This Row],[Sidst redigeret]]&gt;TODAY()-40)*([1]!Tabel1[[#This Row],[Er i resplan?]]&lt;&gt;"Ja")*([1]!Tabel1[[#This Row],[Status]]="Pågår")</f>
        <v>0</v>
      </c>
      <c r="AG117" s="12">
        <f ca="1">[1]!Tabel1[[#This Row],[Vægtet Honorar]]*([1]!Tabel1[[#This Row],[Sidst redigeret]]&gt;TODAY()-40)*([1]!Tabel1[[#This Row],[Status]]="Pågår")</f>
        <v>0</v>
      </c>
      <c r="AH117" s="13"/>
      <c r="AI117" s="12"/>
      <c r="AJ117" s="12"/>
      <c r="AK117" s="12"/>
      <c r="AL117" s="12"/>
      <c r="AM117" s="12"/>
      <c r="AN117" s="12"/>
      <c r="AO117" s="12"/>
      <c r="AP117" s="12"/>
    </row>
    <row r="118" spans="1:42">
      <c r="A118" t="s">
        <v>359</v>
      </c>
      <c r="B118" s="8"/>
      <c r="C118" s="8" t="s">
        <v>360</v>
      </c>
      <c r="D118" s="8" t="s">
        <v>361</v>
      </c>
      <c r="E118" s="8" t="s">
        <v>94</v>
      </c>
      <c r="F118" s="8"/>
      <c r="G118" s="8"/>
      <c r="H118" s="9"/>
      <c r="I118" s="9">
        <f>[1]!Tabel1[[#This Row],[Honorar]]*[1]!Tabel1[[#This Row],[Sandsynlighed]]</f>
        <v>0</v>
      </c>
      <c r="J118" s="10"/>
      <c r="K118" s="1"/>
      <c r="L118" s="8" t="s">
        <v>362</v>
      </c>
      <c r="M118" s="11"/>
      <c r="N118" s="1"/>
      <c r="O118" s="10">
        <v>46279.611087962963</v>
      </c>
      <c r="P118" s="1" t="s">
        <v>72</v>
      </c>
      <c r="Q118" s="1"/>
      <c r="R118" s="8" t="s">
        <v>75</v>
      </c>
      <c r="S11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1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1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1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1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1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1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1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1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1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1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1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1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18" s="12">
        <f ca="1">[1]!Tabel1[[#This Row],[Vægtet Honorar]]*([1]!Tabel1[[#This Row],[Sidst redigeret]]&gt;TODAY()-40)*([1]!Tabel1[[#This Row],[Er i resplan?]]&lt;&gt;"Ja")*([1]!Tabel1[[#This Row],[Status]]="Pågår")</f>
        <v>0</v>
      </c>
      <c r="AG118" s="12">
        <f ca="1">[1]!Tabel1[[#This Row],[Vægtet Honorar]]*([1]!Tabel1[[#This Row],[Sidst redigeret]]&gt;TODAY()-40)*([1]!Tabel1[[#This Row],[Status]]="Pågår")</f>
        <v>0</v>
      </c>
      <c r="AH118" s="13"/>
      <c r="AI118" s="12" t="s">
        <v>363</v>
      </c>
      <c r="AJ118" s="12" t="s">
        <v>364</v>
      </c>
      <c r="AK118" s="12"/>
      <c r="AL118" s="12" t="s">
        <v>365</v>
      </c>
      <c r="AM118" s="12" t="s">
        <v>366</v>
      </c>
      <c r="AN118" s="12"/>
      <c r="AO118" s="12"/>
      <c r="AP118" s="12"/>
    </row>
    <row r="119" spans="1:42">
      <c r="A119" t="s">
        <v>367</v>
      </c>
      <c r="B119" s="8"/>
      <c r="C119" s="8" t="s">
        <v>368</v>
      </c>
      <c r="D119" s="8" t="s">
        <v>134</v>
      </c>
      <c r="E119" s="8"/>
      <c r="F119" s="8"/>
      <c r="G119" s="8"/>
      <c r="H119" s="9"/>
      <c r="I119" s="9">
        <f>[1]!Tabel1[[#This Row],[Honorar]]*[1]!Tabel1[[#This Row],[Sandsynlighed]]</f>
        <v>0</v>
      </c>
      <c r="J119" s="10"/>
      <c r="K119" s="1"/>
      <c r="L119" s="8"/>
      <c r="M119" s="11"/>
      <c r="N119" s="1"/>
      <c r="O119" s="10">
        <v>46279.611087962963</v>
      </c>
      <c r="P119" s="10"/>
      <c r="Q119" s="1"/>
      <c r="R119" s="8" t="s">
        <v>49</v>
      </c>
      <c r="S11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1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1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1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1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1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1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1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1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1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1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1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1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19" s="12">
        <f ca="1">[1]!Tabel1[[#This Row],[Vægtet Honorar]]*([1]!Tabel1[[#This Row],[Sidst redigeret]]&gt;TODAY()-40)*([1]!Tabel1[[#This Row],[Er i resplan?]]&lt;&gt;"Ja")*([1]!Tabel1[[#This Row],[Status]]="Pågår")</f>
        <v>0</v>
      </c>
      <c r="AG119" s="12">
        <f ca="1">[1]!Tabel1[[#This Row],[Vægtet Honorar]]*([1]!Tabel1[[#This Row],[Sidst redigeret]]&gt;TODAY()-40)*([1]!Tabel1[[#This Row],[Status]]="Pågår")</f>
        <v>0</v>
      </c>
      <c r="AH119" s="13"/>
      <c r="AI119" s="12"/>
      <c r="AJ119" s="12"/>
      <c r="AK119" s="12"/>
      <c r="AL119" s="12"/>
      <c r="AM119" s="12"/>
      <c r="AN119" s="12"/>
      <c r="AO119" s="12"/>
      <c r="AP119" s="12"/>
    </row>
    <row r="120" spans="1:42">
      <c r="A120" t="s">
        <v>369</v>
      </c>
      <c r="B120" s="8"/>
      <c r="C120" s="8" t="s">
        <v>370</v>
      </c>
      <c r="D120" s="8" t="s">
        <v>371</v>
      </c>
      <c r="E120" s="8"/>
      <c r="F120" s="8"/>
      <c r="G120" s="8"/>
      <c r="H120" s="9"/>
      <c r="I120" s="9">
        <f>[1]!Tabel1[[#This Row],[Honorar]]*[1]!Tabel1[[#This Row],[Sandsynlighed]]</f>
        <v>0</v>
      </c>
      <c r="J120" s="10"/>
      <c r="K120" s="1"/>
      <c r="L120" s="8"/>
      <c r="M120" s="11"/>
      <c r="N120" s="1"/>
      <c r="O120" s="10">
        <v>46279.611087962963</v>
      </c>
      <c r="P120" s="10"/>
      <c r="Q120" s="1"/>
      <c r="R120" s="8" t="s">
        <v>49</v>
      </c>
      <c r="S12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2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2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2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2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2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2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2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2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2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2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2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2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20" s="12">
        <f ca="1">[1]!Tabel1[[#This Row],[Vægtet Honorar]]*([1]!Tabel1[[#This Row],[Sidst redigeret]]&gt;TODAY()-40)*([1]!Tabel1[[#This Row],[Er i resplan?]]&lt;&gt;"Ja")*([1]!Tabel1[[#This Row],[Status]]="Pågår")</f>
        <v>0</v>
      </c>
      <c r="AG120" s="12">
        <f ca="1">[1]!Tabel1[[#This Row],[Vægtet Honorar]]*([1]!Tabel1[[#This Row],[Sidst redigeret]]&gt;TODAY()-40)*([1]!Tabel1[[#This Row],[Status]]="Pågår")</f>
        <v>0</v>
      </c>
      <c r="AH120" s="13"/>
      <c r="AI120" s="12"/>
      <c r="AJ120" s="12"/>
      <c r="AK120" s="12"/>
      <c r="AL120" s="12"/>
      <c r="AM120" s="12"/>
      <c r="AN120" s="12"/>
      <c r="AO120" s="12"/>
      <c r="AP120" s="12"/>
    </row>
    <row r="121" spans="1:42">
      <c r="A121" t="s">
        <v>372</v>
      </c>
      <c r="B121" s="8"/>
      <c r="C121" s="8" t="s">
        <v>373</v>
      </c>
      <c r="D121" s="8" t="s">
        <v>334</v>
      </c>
      <c r="E121" s="8"/>
      <c r="F121" s="8"/>
      <c r="G121" s="8"/>
      <c r="H121" s="9"/>
      <c r="I121" s="9">
        <f>[1]!Tabel1[[#This Row],[Honorar]]*[1]!Tabel1[[#This Row],[Sandsynlighed]]</f>
        <v>0</v>
      </c>
      <c r="J121" s="10"/>
      <c r="K121" s="1"/>
      <c r="L121" s="8" t="s">
        <v>52</v>
      </c>
      <c r="M121" s="11"/>
      <c r="N121" s="1"/>
      <c r="O121" s="10">
        <v>46279.611087962963</v>
      </c>
      <c r="P121" s="10"/>
      <c r="Q121" s="1" t="s">
        <v>46</v>
      </c>
      <c r="R121" s="8" t="s">
        <v>49</v>
      </c>
      <c r="S12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2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2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2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2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2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2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2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2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2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2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2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2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21" s="12">
        <f ca="1">[1]!Tabel1[[#This Row],[Vægtet Honorar]]*([1]!Tabel1[[#This Row],[Sidst redigeret]]&gt;TODAY()-40)*([1]!Tabel1[[#This Row],[Er i resplan?]]&lt;&gt;"Ja")*([1]!Tabel1[[#This Row],[Status]]="Pågår")</f>
        <v>0</v>
      </c>
      <c r="AG121" s="12">
        <f ca="1">[1]!Tabel1[[#This Row],[Vægtet Honorar]]*([1]!Tabel1[[#This Row],[Sidst redigeret]]&gt;TODAY()-40)*([1]!Tabel1[[#This Row],[Status]]="Pågår")</f>
        <v>0</v>
      </c>
      <c r="AH121" s="13"/>
      <c r="AI121" s="12"/>
      <c r="AJ121" s="12"/>
      <c r="AK121" s="12"/>
      <c r="AL121" s="12"/>
      <c r="AM121" s="12"/>
      <c r="AN121" s="12"/>
      <c r="AO121" s="12"/>
      <c r="AP121" s="12"/>
    </row>
    <row r="122" spans="1:42">
      <c r="A122" t="s">
        <v>374</v>
      </c>
      <c r="B122" s="8"/>
      <c r="C122" s="8" t="s">
        <v>375</v>
      </c>
      <c r="D122" s="8"/>
      <c r="E122" s="8"/>
      <c r="F122" s="8"/>
      <c r="G122" s="8"/>
      <c r="H122" s="9"/>
      <c r="I122" s="9">
        <f>[1]!Tabel1[[#This Row],[Honorar]]*[1]!Tabel1[[#This Row],[Sandsynlighed]]</f>
        <v>0</v>
      </c>
      <c r="J122" s="10"/>
      <c r="K122" s="1"/>
      <c r="L122" s="8"/>
      <c r="M122" s="11"/>
      <c r="N122" s="1"/>
      <c r="O122" s="10">
        <v>46279.611087962963</v>
      </c>
      <c r="P122" s="10"/>
      <c r="Q122" s="1"/>
      <c r="R122" s="8" t="s">
        <v>49</v>
      </c>
      <c r="S12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2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2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2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2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2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2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2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2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2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2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2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2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22" s="12">
        <f ca="1">[1]!Tabel1[[#This Row],[Vægtet Honorar]]*([1]!Tabel1[[#This Row],[Sidst redigeret]]&gt;TODAY()-40)*([1]!Tabel1[[#This Row],[Er i resplan?]]&lt;&gt;"Ja")*([1]!Tabel1[[#This Row],[Status]]="Pågår")</f>
        <v>0</v>
      </c>
      <c r="AG122" s="12">
        <f ca="1">[1]!Tabel1[[#This Row],[Vægtet Honorar]]*([1]!Tabel1[[#This Row],[Sidst redigeret]]&gt;TODAY()-40)*([1]!Tabel1[[#This Row],[Status]]="Pågår")</f>
        <v>0</v>
      </c>
      <c r="AH122" s="13"/>
      <c r="AI122" s="12"/>
      <c r="AJ122" s="12"/>
      <c r="AK122" s="12"/>
      <c r="AL122" s="12"/>
      <c r="AM122" s="12"/>
      <c r="AN122" s="12"/>
      <c r="AO122" s="12"/>
      <c r="AP122" s="12"/>
    </row>
    <row r="123" spans="1:42">
      <c r="A123" t="s">
        <v>376</v>
      </c>
      <c r="B123" s="8"/>
      <c r="C123" s="8" t="s">
        <v>377</v>
      </c>
      <c r="D123" s="8"/>
      <c r="E123" s="8"/>
      <c r="F123" s="8"/>
      <c r="G123" s="8"/>
      <c r="H123" s="9"/>
      <c r="I123" s="9">
        <f>[1]!Tabel1[[#This Row],[Honorar]]*[1]!Tabel1[[#This Row],[Sandsynlighed]]</f>
        <v>0</v>
      </c>
      <c r="J123" s="10"/>
      <c r="K123" s="1"/>
      <c r="L123" s="8"/>
      <c r="M123" s="11"/>
      <c r="N123" s="1"/>
      <c r="O123" s="10">
        <v>46279.611087962963</v>
      </c>
      <c r="P123" s="10"/>
      <c r="Q123" s="1"/>
      <c r="R123" s="8" t="s">
        <v>49</v>
      </c>
      <c r="S12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2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2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2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2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2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2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2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2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2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2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2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2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23" s="12">
        <f ca="1">[1]!Tabel1[[#This Row],[Vægtet Honorar]]*([1]!Tabel1[[#This Row],[Sidst redigeret]]&gt;TODAY()-40)*([1]!Tabel1[[#This Row],[Er i resplan?]]&lt;&gt;"Ja")*([1]!Tabel1[[#This Row],[Status]]="Pågår")</f>
        <v>0</v>
      </c>
      <c r="AG123" s="12">
        <f ca="1">[1]!Tabel1[[#This Row],[Vægtet Honorar]]*([1]!Tabel1[[#This Row],[Sidst redigeret]]&gt;TODAY()-40)*([1]!Tabel1[[#This Row],[Status]]="Pågår")</f>
        <v>0</v>
      </c>
      <c r="AH123" s="13"/>
      <c r="AI123" s="12"/>
      <c r="AJ123" s="12"/>
      <c r="AK123" s="12"/>
      <c r="AL123" s="12"/>
      <c r="AM123" s="12"/>
      <c r="AN123" s="12"/>
      <c r="AO123" s="12"/>
      <c r="AP123" s="12"/>
    </row>
    <row r="124" spans="1:42">
      <c r="A124" t="s">
        <v>378</v>
      </c>
      <c r="B124" s="8"/>
      <c r="C124" s="8" t="s">
        <v>379</v>
      </c>
      <c r="D124" s="8" t="s">
        <v>197</v>
      </c>
      <c r="E124" s="8" t="s">
        <v>167</v>
      </c>
      <c r="F124" s="8"/>
      <c r="G124" s="8"/>
      <c r="H124" s="9"/>
      <c r="I124" s="9">
        <f>[1]!Tabel1[[#This Row],[Honorar]]*[1]!Tabel1[[#This Row],[Sandsynlighed]]</f>
        <v>0</v>
      </c>
      <c r="J124" s="10"/>
      <c r="K124" s="1"/>
      <c r="L124" s="8" t="s">
        <v>75</v>
      </c>
      <c r="M124" s="11">
        <v>0</v>
      </c>
      <c r="N124" s="1"/>
      <c r="O124" s="10">
        <v>46279.611087962963</v>
      </c>
      <c r="P124" s="10"/>
      <c r="Q124" s="1"/>
      <c r="R124" s="8" t="s">
        <v>49</v>
      </c>
      <c r="S12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2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2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2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2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2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2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2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2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2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2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2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2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24" s="12">
        <f ca="1">[1]!Tabel1[[#This Row],[Vægtet Honorar]]*([1]!Tabel1[[#This Row],[Sidst redigeret]]&gt;TODAY()-40)*([1]!Tabel1[[#This Row],[Er i resplan?]]&lt;&gt;"Ja")*([1]!Tabel1[[#This Row],[Status]]="Pågår")</f>
        <v>0</v>
      </c>
      <c r="AG124" s="12">
        <f ca="1">[1]!Tabel1[[#This Row],[Vægtet Honorar]]*([1]!Tabel1[[#This Row],[Sidst redigeret]]&gt;TODAY()-40)*([1]!Tabel1[[#This Row],[Status]]="Pågår")</f>
        <v>0</v>
      </c>
      <c r="AH124" s="13"/>
      <c r="AI124" s="12"/>
      <c r="AJ124" s="12"/>
      <c r="AK124" s="12"/>
      <c r="AL124" s="12"/>
      <c r="AM124" s="12"/>
      <c r="AN124" s="12"/>
      <c r="AO124" s="12"/>
      <c r="AP124" s="12"/>
    </row>
    <row r="125" spans="1:42">
      <c r="A125" t="s">
        <v>380</v>
      </c>
      <c r="B125" s="8"/>
      <c r="C125" s="8" t="s">
        <v>381</v>
      </c>
      <c r="D125" s="8" t="s">
        <v>70</v>
      </c>
      <c r="E125" s="8" t="s">
        <v>71</v>
      </c>
      <c r="F125" s="8"/>
      <c r="G125" s="8"/>
      <c r="H125" s="9"/>
      <c r="I125" s="9">
        <f>[1]!Tabel1[[#This Row],[Honorar]]*[1]!Tabel1[[#This Row],[Sandsynlighed]]</f>
        <v>0</v>
      </c>
      <c r="J125" s="10"/>
      <c r="K125" s="1"/>
      <c r="L125" s="8" t="s">
        <v>382</v>
      </c>
      <c r="M125" s="11"/>
      <c r="N125" s="1"/>
      <c r="O125" s="10">
        <v>46279.611087962963</v>
      </c>
      <c r="P125" s="10"/>
      <c r="Q125" s="1" t="s">
        <v>72</v>
      </c>
      <c r="R125" s="8" t="s">
        <v>75</v>
      </c>
      <c r="S12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2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2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2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2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2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2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2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2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2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2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2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2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25" s="12">
        <f ca="1">[1]!Tabel1[[#This Row],[Vægtet Honorar]]*([1]!Tabel1[[#This Row],[Sidst redigeret]]&gt;TODAY()-40)*([1]!Tabel1[[#This Row],[Er i resplan?]]&lt;&gt;"Ja")*([1]!Tabel1[[#This Row],[Status]]="Pågår")</f>
        <v>0</v>
      </c>
      <c r="AG125" s="12">
        <f ca="1">[1]!Tabel1[[#This Row],[Vægtet Honorar]]*([1]!Tabel1[[#This Row],[Sidst redigeret]]&gt;TODAY()-40)*([1]!Tabel1[[#This Row],[Status]]="Pågår")</f>
        <v>0</v>
      </c>
      <c r="AH125" s="13"/>
      <c r="AI125" s="12" t="s">
        <v>383</v>
      </c>
      <c r="AJ125" s="12" t="s">
        <v>384</v>
      </c>
      <c r="AK125" s="12"/>
      <c r="AL125" s="12" t="s">
        <v>385</v>
      </c>
      <c r="AM125" s="12" t="s">
        <v>386</v>
      </c>
      <c r="AN125" s="12" t="s">
        <v>387</v>
      </c>
      <c r="AO125" s="12"/>
      <c r="AP125" s="12"/>
    </row>
    <row r="126" spans="1:42">
      <c r="A126" t="s">
        <v>388</v>
      </c>
      <c r="B126" s="8"/>
      <c r="C126" s="8" t="s">
        <v>389</v>
      </c>
      <c r="D126" s="8" t="s">
        <v>158</v>
      </c>
      <c r="E126" s="8"/>
      <c r="F126" s="8"/>
      <c r="G126" s="8"/>
      <c r="H126" s="9"/>
      <c r="I126" s="9">
        <f>[1]!Tabel1[[#This Row],[Honorar]]*[1]!Tabel1[[#This Row],[Sandsynlighed]]</f>
        <v>0</v>
      </c>
      <c r="J126" s="10"/>
      <c r="K126" s="1"/>
      <c r="L126" s="8"/>
      <c r="M126" s="11"/>
      <c r="N126" s="1"/>
      <c r="O126" s="10">
        <v>46279.611087962963</v>
      </c>
      <c r="P126" s="10"/>
      <c r="Q126" s="1"/>
      <c r="R126" s="8" t="s">
        <v>49</v>
      </c>
      <c r="S12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2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2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2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2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2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2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2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2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2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2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2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2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26" s="12">
        <f ca="1">[1]!Tabel1[[#This Row],[Vægtet Honorar]]*([1]!Tabel1[[#This Row],[Sidst redigeret]]&gt;TODAY()-40)*([1]!Tabel1[[#This Row],[Er i resplan?]]&lt;&gt;"Ja")*([1]!Tabel1[[#This Row],[Status]]="Pågår")</f>
        <v>0</v>
      </c>
      <c r="AG126" s="12">
        <f ca="1">[1]!Tabel1[[#This Row],[Vægtet Honorar]]*([1]!Tabel1[[#This Row],[Sidst redigeret]]&gt;TODAY()-40)*([1]!Tabel1[[#This Row],[Status]]="Pågår")</f>
        <v>0</v>
      </c>
      <c r="AH126" s="13"/>
      <c r="AI126" s="12"/>
      <c r="AJ126" s="12"/>
      <c r="AK126" s="12"/>
      <c r="AL126" s="12"/>
      <c r="AM126" s="12"/>
      <c r="AN126" s="12"/>
      <c r="AO126" s="12"/>
      <c r="AP126" s="12"/>
    </row>
    <row r="127" spans="1:42">
      <c r="A127" t="s">
        <v>390</v>
      </c>
      <c r="B127" s="8"/>
      <c r="C127" s="8" t="s">
        <v>391</v>
      </c>
      <c r="D127" s="8" t="s">
        <v>200</v>
      </c>
      <c r="E127" s="8"/>
      <c r="F127" s="8"/>
      <c r="G127" s="8"/>
      <c r="H127" s="9"/>
      <c r="I127" s="9">
        <f>[1]!Tabel1[[#This Row],[Honorar]]*[1]!Tabel1[[#This Row],[Sandsynlighed]]</f>
        <v>0</v>
      </c>
      <c r="J127" s="10"/>
      <c r="K127" s="1"/>
      <c r="L127" s="8"/>
      <c r="M127" s="11"/>
      <c r="N127" s="1"/>
      <c r="O127" s="10">
        <v>46279.611087962963</v>
      </c>
      <c r="P127" s="10"/>
      <c r="Q127" s="1"/>
      <c r="R127" s="8" t="s">
        <v>49</v>
      </c>
      <c r="S12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2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2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2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2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2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2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2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2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2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2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2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2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27" s="12">
        <f ca="1">[1]!Tabel1[[#This Row],[Vægtet Honorar]]*([1]!Tabel1[[#This Row],[Sidst redigeret]]&gt;TODAY()-40)*([1]!Tabel1[[#This Row],[Er i resplan?]]&lt;&gt;"Ja")*([1]!Tabel1[[#This Row],[Status]]="Pågår")</f>
        <v>0</v>
      </c>
      <c r="AG127" s="12">
        <f ca="1">[1]!Tabel1[[#This Row],[Vægtet Honorar]]*([1]!Tabel1[[#This Row],[Sidst redigeret]]&gt;TODAY()-40)*([1]!Tabel1[[#This Row],[Status]]="Pågår")</f>
        <v>0</v>
      </c>
      <c r="AH127" s="13"/>
      <c r="AI127" s="12"/>
      <c r="AJ127" s="12"/>
      <c r="AK127" s="12"/>
      <c r="AL127" s="12"/>
      <c r="AM127" s="12"/>
      <c r="AN127" s="12"/>
      <c r="AO127" s="12"/>
      <c r="AP127" s="12"/>
    </row>
    <row r="128" spans="1:42">
      <c r="A128" t="s">
        <v>392</v>
      </c>
      <c r="B128" s="8"/>
      <c r="C128" s="8" t="s">
        <v>393</v>
      </c>
      <c r="D128" s="8" t="s">
        <v>206</v>
      </c>
      <c r="E128" s="8" t="s">
        <v>94</v>
      </c>
      <c r="F128" s="8" t="s">
        <v>394</v>
      </c>
      <c r="G128" s="8" t="s">
        <v>395</v>
      </c>
      <c r="H128" s="9">
        <v>1000000</v>
      </c>
      <c r="I128" s="9">
        <f>[1]!Tabel1[[#This Row],[Honorar]]*[1]!Tabel1[[#This Row],[Sandsynlighed]]</f>
        <v>0</v>
      </c>
      <c r="J128" s="10"/>
      <c r="K128" s="1"/>
      <c r="L128" s="8"/>
      <c r="M128" s="11">
        <v>0</v>
      </c>
      <c r="N128" s="1"/>
      <c r="O128" s="10">
        <v>46279.611087962963</v>
      </c>
      <c r="P128" s="1" t="s">
        <v>72</v>
      </c>
      <c r="Q128" s="1" t="s">
        <v>72</v>
      </c>
      <c r="R128" s="8" t="s">
        <v>49</v>
      </c>
      <c r="S12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2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2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2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2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2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2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2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2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2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2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2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2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28" s="12">
        <f ca="1">[1]!Tabel1[[#This Row],[Vægtet Honorar]]*([1]!Tabel1[[#This Row],[Sidst redigeret]]&gt;TODAY()-40)*([1]!Tabel1[[#This Row],[Er i resplan?]]&lt;&gt;"Ja")*([1]!Tabel1[[#This Row],[Status]]="Pågår")</f>
        <v>0</v>
      </c>
      <c r="AG128" s="12">
        <f ca="1">[1]!Tabel1[[#This Row],[Vægtet Honorar]]*([1]!Tabel1[[#This Row],[Sidst redigeret]]&gt;TODAY()-40)*([1]!Tabel1[[#This Row],[Status]]="Pågår")</f>
        <v>0</v>
      </c>
      <c r="AH128" s="13"/>
      <c r="AI128" s="12"/>
      <c r="AJ128" s="12"/>
      <c r="AK128" s="12"/>
      <c r="AL128" s="12"/>
      <c r="AM128" s="12"/>
      <c r="AN128" s="12"/>
      <c r="AO128" s="12"/>
      <c r="AP128" s="12"/>
    </row>
    <row r="129" spans="1:42">
      <c r="A129" t="s">
        <v>396</v>
      </c>
      <c r="B129" s="8"/>
      <c r="C129" s="8" t="s">
        <v>397</v>
      </c>
      <c r="D129" s="8" t="s">
        <v>134</v>
      </c>
      <c r="E129" s="8"/>
      <c r="F129" s="8"/>
      <c r="G129" s="8"/>
      <c r="H129" s="9"/>
      <c r="I129" s="9">
        <f>[1]!Tabel1[[#This Row],[Honorar]]*[1]!Tabel1[[#This Row],[Sandsynlighed]]</f>
        <v>0</v>
      </c>
      <c r="J129" s="10"/>
      <c r="K129" s="1"/>
      <c r="L129" s="8"/>
      <c r="M129" s="11"/>
      <c r="N129" s="1"/>
      <c r="O129" s="10">
        <v>46279.611087962963</v>
      </c>
      <c r="P129" s="10"/>
      <c r="Q129" s="1"/>
      <c r="R129" s="8" t="s">
        <v>49</v>
      </c>
      <c r="S12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2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2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2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2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2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2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2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2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2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2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2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2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29" s="12">
        <f ca="1">[1]!Tabel1[[#This Row],[Vægtet Honorar]]*([1]!Tabel1[[#This Row],[Sidst redigeret]]&gt;TODAY()-40)*([1]!Tabel1[[#This Row],[Er i resplan?]]&lt;&gt;"Ja")*([1]!Tabel1[[#This Row],[Status]]="Pågår")</f>
        <v>0</v>
      </c>
      <c r="AG129" s="12">
        <f ca="1">[1]!Tabel1[[#This Row],[Vægtet Honorar]]*([1]!Tabel1[[#This Row],[Sidst redigeret]]&gt;TODAY()-40)*([1]!Tabel1[[#This Row],[Status]]="Pågår")</f>
        <v>0</v>
      </c>
      <c r="AH129" s="13"/>
      <c r="AI129" s="12"/>
      <c r="AJ129" s="12"/>
      <c r="AK129" s="12"/>
      <c r="AL129" s="12"/>
      <c r="AM129" s="12"/>
      <c r="AN129" s="12"/>
      <c r="AO129" s="12"/>
      <c r="AP129" s="12"/>
    </row>
    <row r="130" spans="1:42">
      <c r="A130" t="s">
        <v>398</v>
      </c>
      <c r="B130" s="8"/>
      <c r="C130" s="8" t="s">
        <v>399</v>
      </c>
      <c r="D130" s="8" t="s">
        <v>269</v>
      </c>
      <c r="E130" s="8"/>
      <c r="F130" s="8"/>
      <c r="G130" s="8"/>
      <c r="H130" s="9"/>
      <c r="I130" s="9">
        <f>[1]!Tabel1[[#This Row],[Honorar]]*[1]!Tabel1[[#This Row],[Sandsynlighed]]</f>
        <v>0</v>
      </c>
      <c r="J130" s="10"/>
      <c r="K130" s="1"/>
      <c r="L130" s="8"/>
      <c r="M130" s="11">
        <v>0</v>
      </c>
      <c r="N130" s="1"/>
      <c r="O130" s="10">
        <v>46279.611087962963</v>
      </c>
      <c r="P130" s="10"/>
      <c r="Q130" s="1"/>
      <c r="R130" s="8" t="s">
        <v>49</v>
      </c>
      <c r="S13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3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3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3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3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3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3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3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3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3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3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3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3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30" s="12">
        <f ca="1">[1]!Tabel1[[#This Row],[Vægtet Honorar]]*([1]!Tabel1[[#This Row],[Sidst redigeret]]&gt;TODAY()-40)*([1]!Tabel1[[#This Row],[Er i resplan?]]&lt;&gt;"Ja")*([1]!Tabel1[[#This Row],[Status]]="Pågår")</f>
        <v>0</v>
      </c>
      <c r="AG130" s="12">
        <f ca="1">[1]!Tabel1[[#This Row],[Vægtet Honorar]]*([1]!Tabel1[[#This Row],[Sidst redigeret]]&gt;TODAY()-40)*([1]!Tabel1[[#This Row],[Status]]="Pågår")</f>
        <v>0</v>
      </c>
      <c r="AH130" s="13"/>
      <c r="AI130" s="12"/>
      <c r="AJ130" s="12"/>
      <c r="AK130" s="12"/>
      <c r="AL130" s="12"/>
      <c r="AM130" s="12"/>
      <c r="AN130" s="12"/>
      <c r="AO130" s="12"/>
      <c r="AP130" s="12"/>
    </row>
    <row r="131" spans="1:42">
      <c r="A131" t="s">
        <v>400</v>
      </c>
      <c r="B131" s="8"/>
      <c r="C131" s="8" t="s">
        <v>401</v>
      </c>
      <c r="D131" s="8" t="s">
        <v>119</v>
      </c>
      <c r="E131" s="8" t="s">
        <v>120</v>
      </c>
      <c r="F131" s="8"/>
      <c r="G131" s="8"/>
      <c r="H131" s="9"/>
      <c r="I131" s="9">
        <f>[1]!Tabel1[[#This Row],[Honorar]]*[1]!Tabel1[[#This Row],[Sandsynlighed]]</f>
        <v>0</v>
      </c>
      <c r="J131" s="10"/>
      <c r="K131" s="1"/>
      <c r="L131" s="8"/>
      <c r="M131" s="11">
        <v>0</v>
      </c>
      <c r="N131" s="1"/>
      <c r="O131" s="10">
        <v>46279.611087962963</v>
      </c>
      <c r="P131" s="10"/>
      <c r="Q131" s="1"/>
      <c r="R131" s="8" t="s">
        <v>49</v>
      </c>
      <c r="S13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3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3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3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3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3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3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3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3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3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3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3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3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31" s="12">
        <f ca="1">[1]!Tabel1[[#This Row],[Vægtet Honorar]]*([1]!Tabel1[[#This Row],[Sidst redigeret]]&gt;TODAY()-40)*([1]!Tabel1[[#This Row],[Er i resplan?]]&lt;&gt;"Ja")*([1]!Tabel1[[#This Row],[Status]]="Pågår")</f>
        <v>0</v>
      </c>
      <c r="AG131" s="12">
        <f ca="1">[1]!Tabel1[[#This Row],[Vægtet Honorar]]*([1]!Tabel1[[#This Row],[Sidst redigeret]]&gt;TODAY()-40)*([1]!Tabel1[[#This Row],[Status]]="Pågår")</f>
        <v>0</v>
      </c>
      <c r="AH131" s="13"/>
      <c r="AI131" s="12"/>
      <c r="AJ131" s="12" t="s">
        <v>402</v>
      </c>
      <c r="AK131" s="12"/>
      <c r="AL131" s="12" t="s">
        <v>403</v>
      </c>
      <c r="AM131" s="12" t="s">
        <v>404</v>
      </c>
      <c r="AN131" s="12" t="s">
        <v>405</v>
      </c>
      <c r="AO131" s="12"/>
      <c r="AP131" s="12"/>
    </row>
    <row r="132" spans="1:42">
      <c r="A132" t="s">
        <v>406</v>
      </c>
      <c r="B132" s="8"/>
      <c r="C132" s="8" t="s">
        <v>407</v>
      </c>
      <c r="D132" s="8" t="s">
        <v>57</v>
      </c>
      <c r="E132" s="8"/>
      <c r="F132" s="8"/>
      <c r="G132" s="8"/>
      <c r="H132" s="9"/>
      <c r="I132" s="9">
        <f>[1]!Tabel1[[#This Row],[Honorar]]*[1]!Tabel1[[#This Row],[Sandsynlighed]]</f>
        <v>0</v>
      </c>
      <c r="J132" s="10"/>
      <c r="K132" s="1"/>
      <c r="L132" s="8" t="s">
        <v>408</v>
      </c>
      <c r="M132" s="11"/>
      <c r="N132" s="1"/>
      <c r="O132" s="10">
        <v>46279.611087962963</v>
      </c>
      <c r="P132" s="10"/>
      <c r="Q132" s="1"/>
      <c r="R132" s="8" t="s">
        <v>49</v>
      </c>
      <c r="S13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3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3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3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3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3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3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3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3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3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3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3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3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32" s="12">
        <f ca="1">[1]!Tabel1[[#This Row],[Vægtet Honorar]]*([1]!Tabel1[[#This Row],[Sidst redigeret]]&gt;TODAY()-40)*([1]!Tabel1[[#This Row],[Er i resplan?]]&lt;&gt;"Ja")*([1]!Tabel1[[#This Row],[Status]]="Pågår")</f>
        <v>0</v>
      </c>
      <c r="AG132" s="12">
        <f ca="1">[1]!Tabel1[[#This Row],[Vægtet Honorar]]*([1]!Tabel1[[#This Row],[Sidst redigeret]]&gt;TODAY()-40)*([1]!Tabel1[[#This Row],[Status]]="Pågår")</f>
        <v>0</v>
      </c>
      <c r="AH132" s="13"/>
      <c r="AI132" s="12"/>
      <c r="AJ132" s="12"/>
      <c r="AK132" s="12"/>
      <c r="AL132" s="12"/>
      <c r="AM132" s="12"/>
      <c r="AN132" s="12"/>
      <c r="AO132" s="12"/>
      <c r="AP132" s="12"/>
    </row>
    <row r="133" spans="1:42">
      <c r="A133" t="s">
        <v>409</v>
      </c>
      <c r="B133" s="8"/>
      <c r="C133" s="8" t="s">
        <v>410</v>
      </c>
      <c r="D133" s="8" t="s">
        <v>57</v>
      </c>
      <c r="E133" s="8"/>
      <c r="F133" s="8"/>
      <c r="G133" s="8"/>
      <c r="H133" s="9"/>
      <c r="I133" s="9">
        <f>[1]!Tabel1[[#This Row],[Honorar]]*[1]!Tabel1[[#This Row],[Sandsynlighed]]</f>
        <v>0</v>
      </c>
      <c r="J133" s="10"/>
      <c r="K133" s="1"/>
      <c r="L133" s="8"/>
      <c r="M133" s="11"/>
      <c r="N133" s="1"/>
      <c r="O133" s="10">
        <v>46279.611087962963</v>
      </c>
      <c r="P133" s="10"/>
      <c r="Q133" s="1"/>
      <c r="R133" s="8" t="s">
        <v>49</v>
      </c>
      <c r="S13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3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3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3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3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3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3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3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3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3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3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3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3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33" s="12">
        <f ca="1">[1]!Tabel1[[#This Row],[Vægtet Honorar]]*([1]!Tabel1[[#This Row],[Sidst redigeret]]&gt;TODAY()-40)*([1]!Tabel1[[#This Row],[Er i resplan?]]&lt;&gt;"Ja")*([1]!Tabel1[[#This Row],[Status]]="Pågår")</f>
        <v>0</v>
      </c>
      <c r="AG133" s="12">
        <f ca="1">[1]!Tabel1[[#This Row],[Vægtet Honorar]]*([1]!Tabel1[[#This Row],[Sidst redigeret]]&gt;TODAY()-40)*([1]!Tabel1[[#This Row],[Status]]="Pågår")</f>
        <v>0</v>
      </c>
      <c r="AH133" s="13"/>
      <c r="AI133" s="12"/>
      <c r="AJ133" s="12"/>
      <c r="AK133" s="12"/>
      <c r="AL133" s="12"/>
      <c r="AM133" s="12"/>
      <c r="AN133" s="12"/>
      <c r="AO133" s="12"/>
      <c r="AP133" s="12"/>
    </row>
    <row r="134" spans="1:42">
      <c r="A134" t="s">
        <v>411</v>
      </c>
      <c r="B134" s="8"/>
      <c r="C134" s="8" t="s">
        <v>412</v>
      </c>
      <c r="D134" s="8" t="s">
        <v>44</v>
      </c>
      <c r="E134" s="8" t="s">
        <v>71</v>
      </c>
      <c r="F134" s="8"/>
      <c r="G134" s="8"/>
      <c r="H134" s="9">
        <v>2000000</v>
      </c>
      <c r="I134" s="16">
        <f>[1]!Tabel1[[#This Row],[Honorar]]*[1]!Tabel1[[#This Row],[Sandsynlighed]]</f>
        <v>0</v>
      </c>
      <c r="J134" s="10" t="s">
        <v>413</v>
      </c>
      <c r="K134" s="1">
        <v>2027</v>
      </c>
      <c r="L134" s="8" t="s">
        <v>414</v>
      </c>
      <c r="M134" s="11">
        <v>0.1</v>
      </c>
      <c r="N134" s="1"/>
      <c r="O134" s="10">
        <v>46279.611087962963</v>
      </c>
      <c r="P134" s="10"/>
      <c r="Q134" s="1" t="s">
        <v>46</v>
      </c>
      <c r="R134" s="8" t="s">
        <v>343</v>
      </c>
      <c r="S13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3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3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3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3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3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3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3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3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3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3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3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3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34" s="12">
        <f ca="1">[1]!Tabel1[[#This Row],[Vægtet Honorar]]*([1]!Tabel1[[#This Row],[Sidst redigeret]]&gt;TODAY()-40)*([1]!Tabel1[[#This Row],[Er i resplan?]]&lt;&gt;"Ja")*([1]!Tabel1[[#This Row],[Status]]="Pågår")</f>
        <v>0</v>
      </c>
      <c r="AG134" s="12">
        <f ca="1">[1]!Tabel1[[#This Row],[Vægtet Honorar]]*([1]!Tabel1[[#This Row],[Sidst redigeret]]&gt;TODAY()-40)*([1]!Tabel1[[#This Row],[Status]]="Pågår")</f>
        <v>0</v>
      </c>
      <c r="AH134" s="13"/>
      <c r="AI134" s="12"/>
      <c r="AJ134" s="12"/>
      <c r="AK134" s="12"/>
      <c r="AL134" s="12"/>
      <c r="AM134" s="12"/>
      <c r="AN134" s="12"/>
      <c r="AO134" s="12"/>
      <c r="AP134" s="12"/>
    </row>
    <row r="135" spans="1:42">
      <c r="A135" t="s">
        <v>415</v>
      </c>
      <c r="B135" s="8"/>
      <c r="C135" s="8" t="s">
        <v>416</v>
      </c>
      <c r="D135" s="8" t="s">
        <v>203</v>
      </c>
      <c r="E135" s="8"/>
      <c r="F135" s="8"/>
      <c r="G135" s="8"/>
      <c r="H135" s="9"/>
      <c r="I135" s="9">
        <f>[1]!Tabel1[[#This Row],[Honorar]]*[1]!Tabel1[[#This Row],[Sandsynlighed]]</f>
        <v>0</v>
      </c>
      <c r="J135" s="10"/>
      <c r="K135" s="1"/>
      <c r="L135" s="8"/>
      <c r="M135" s="11"/>
      <c r="N135" s="1"/>
      <c r="O135" s="10">
        <v>46279.611087962963</v>
      </c>
      <c r="P135" s="10"/>
      <c r="Q135" s="1"/>
      <c r="R135" s="8" t="s">
        <v>49</v>
      </c>
      <c r="S13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3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3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3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3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3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3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3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3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3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3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3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3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35" s="12">
        <f ca="1">[1]!Tabel1[[#This Row],[Vægtet Honorar]]*([1]!Tabel1[[#This Row],[Sidst redigeret]]&gt;TODAY()-40)*([1]!Tabel1[[#This Row],[Er i resplan?]]&lt;&gt;"Ja")*([1]!Tabel1[[#This Row],[Status]]="Pågår")</f>
        <v>0</v>
      </c>
      <c r="AG135" s="12">
        <f ca="1">[1]!Tabel1[[#This Row],[Vægtet Honorar]]*([1]!Tabel1[[#This Row],[Sidst redigeret]]&gt;TODAY()-40)*([1]!Tabel1[[#This Row],[Status]]="Pågår")</f>
        <v>0</v>
      </c>
      <c r="AH135" s="13"/>
      <c r="AI135" s="12"/>
      <c r="AJ135" s="12"/>
      <c r="AK135" s="12"/>
      <c r="AL135" s="12"/>
      <c r="AM135" s="12"/>
      <c r="AN135" s="12"/>
      <c r="AO135" s="12"/>
      <c r="AP135" s="12"/>
    </row>
    <row r="136" spans="1:42">
      <c r="A136" t="s">
        <v>417</v>
      </c>
      <c r="B136" s="8"/>
      <c r="C136" s="8" t="s">
        <v>418</v>
      </c>
      <c r="D136" s="8" t="s">
        <v>57</v>
      </c>
      <c r="E136" s="8"/>
      <c r="F136" s="8"/>
      <c r="G136" s="8"/>
      <c r="H136" s="9"/>
      <c r="I136" s="9">
        <f>[1]!Tabel1[[#This Row],[Honorar]]*[1]!Tabel1[[#This Row],[Sandsynlighed]]</f>
        <v>0</v>
      </c>
      <c r="J136" s="10"/>
      <c r="K136" s="1"/>
      <c r="L136" s="8"/>
      <c r="M136" s="11"/>
      <c r="N136" s="1"/>
      <c r="O136" s="10">
        <v>46279.611087962963</v>
      </c>
      <c r="P136" s="10"/>
      <c r="Q136" s="1" t="s">
        <v>46</v>
      </c>
      <c r="R136" s="8" t="s">
        <v>49</v>
      </c>
      <c r="S13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3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3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3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3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3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3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3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3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3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3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3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3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36" s="12">
        <f ca="1">[1]!Tabel1[[#This Row],[Vægtet Honorar]]*([1]!Tabel1[[#This Row],[Sidst redigeret]]&gt;TODAY()-40)*([1]!Tabel1[[#This Row],[Er i resplan?]]&lt;&gt;"Ja")*([1]!Tabel1[[#This Row],[Status]]="Pågår")</f>
        <v>0</v>
      </c>
      <c r="AG136" s="12">
        <f ca="1">[1]!Tabel1[[#This Row],[Vægtet Honorar]]*([1]!Tabel1[[#This Row],[Sidst redigeret]]&gt;TODAY()-40)*([1]!Tabel1[[#This Row],[Status]]="Pågår")</f>
        <v>0</v>
      </c>
      <c r="AH136" s="13"/>
      <c r="AI136" s="12"/>
      <c r="AJ136" s="12"/>
      <c r="AK136" s="12"/>
      <c r="AL136" s="12"/>
      <c r="AM136" s="12"/>
      <c r="AN136" s="12"/>
      <c r="AO136" s="12"/>
      <c r="AP136" s="12"/>
    </row>
    <row r="137" spans="1:42">
      <c r="A137" t="s">
        <v>419</v>
      </c>
      <c r="B137" s="8">
        <v>222460</v>
      </c>
      <c r="C137" s="8" t="s">
        <v>420</v>
      </c>
      <c r="D137" s="8" t="s">
        <v>421</v>
      </c>
      <c r="E137" s="8" t="s">
        <v>120</v>
      </c>
      <c r="F137" s="8"/>
      <c r="G137" s="8"/>
      <c r="H137" s="9"/>
      <c r="I137" s="9">
        <f>[1]!Tabel1[[#This Row],[Honorar]]*[1]!Tabel1[[#This Row],[Sandsynlighed]]</f>
        <v>0</v>
      </c>
      <c r="J137" s="10"/>
      <c r="K137" s="1"/>
      <c r="L137" s="8"/>
      <c r="M137" s="11">
        <v>0</v>
      </c>
      <c r="N137" s="1"/>
      <c r="O137" s="10">
        <v>46279.611087962963</v>
      </c>
      <c r="P137" s="10"/>
      <c r="Q137" s="1"/>
      <c r="R137" s="8" t="s">
        <v>47</v>
      </c>
      <c r="S13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3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3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3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3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3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3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3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3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3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3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3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3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37" s="12">
        <f ca="1">[1]!Tabel1[[#This Row],[Vægtet Honorar]]*([1]!Tabel1[[#This Row],[Sidst redigeret]]&gt;TODAY()-40)*([1]!Tabel1[[#This Row],[Er i resplan?]]&lt;&gt;"Ja")*([1]!Tabel1[[#This Row],[Status]]="Pågår")</f>
        <v>0</v>
      </c>
      <c r="AG137" s="12">
        <f ca="1">[1]!Tabel1[[#This Row],[Vægtet Honorar]]*([1]!Tabel1[[#This Row],[Sidst redigeret]]&gt;TODAY()-40)*([1]!Tabel1[[#This Row],[Status]]="Pågår")</f>
        <v>0</v>
      </c>
      <c r="AH137" s="13"/>
      <c r="AI137" s="12"/>
      <c r="AJ137" s="12"/>
      <c r="AK137" s="12"/>
      <c r="AL137" s="12"/>
      <c r="AM137" s="12"/>
      <c r="AN137" s="12"/>
      <c r="AO137" s="12"/>
      <c r="AP137" s="12"/>
    </row>
    <row r="138" spans="1:42">
      <c r="A138" t="s">
        <v>422</v>
      </c>
      <c r="B138" s="8"/>
      <c r="C138" s="8" t="s">
        <v>423</v>
      </c>
      <c r="D138" s="8" t="s">
        <v>424</v>
      </c>
      <c r="E138" s="8"/>
      <c r="F138" s="8"/>
      <c r="G138" s="8"/>
      <c r="H138" s="9"/>
      <c r="I138" s="9">
        <f>[1]!Tabel1[[#This Row],[Honorar]]*[1]!Tabel1[[#This Row],[Sandsynlighed]]</f>
        <v>0</v>
      </c>
      <c r="J138" s="10"/>
      <c r="K138" s="1"/>
      <c r="L138" s="8" t="s">
        <v>311</v>
      </c>
      <c r="M138" s="11"/>
      <c r="N138" s="1"/>
      <c r="O138" s="10">
        <v>46279.611087962963</v>
      </c>
      <c r="P138" s="10"/>
      <c r="Q138" s="1" t="s">
        <v>72</v>
      </c>
      <c r="R138" s="8" t="s">
        <v>49</v>
      </c>
      <c r="S13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3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3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3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3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3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3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3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3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3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3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3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3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38" s="12">
        <f ca="1">[1]!Tabel1[[#This Row],[Vægtet Honorar]]*([1]!Tabel1[[#This Row],[Sidst redigeret]]&gt;TODAY()-40)*([1]!Tabel1[[#This Row],[Er i resplan?]]&lt;&gt;"Ja")*([1]!Tabel1[[#This Row],[Status]]="Pågår")</f>
        <v>0</v>
      </c>
      <c r="AG138" s="12">
        <f ca="1">[1]!Tabel1[[#This Row],[Vægtet Honorar]]*([1]!Tabel1[[#This Row],[Sidst redigeret]]&gt;TODAY()-40)*([1]!Tabel1[[#This Row],[Status]]="Pågår")</f>
        <v>0</v>
      </c>
      <c r="AH138" s="13"/>
      <c r="AI138" s="12"/>
      <c r="AJ138" s="12"/>
      <c r="AK138" s="12"/>
      <c r="AL138" s="12"/>
      <c r="AM138" s="12"/>
      <c r="AN138" s="12"/>
      <c r="AO138" s="12"/>
      <c r="AP138" s="12"/>
    </row>
    <row r="139" spans="1:42">
      <c r="A139" t="s">
        <v>425</v>
      </c>
      <c r="B139" s="8"/>
      <c r="C139" s="8" t="s">
        <v>426</v>
      </c>
      <c r="D139" s="8" t="s">
        <v>93</v>
      </c>
      <c r="E139" s="8"/>
      <c r="F139" s="8"/>
      <c r="G139" s="8"/>
      <c r="H139" s="9"/>
      <c r="I139" s="9">
        <f>[1]!Tabel1[[#This Row],[Honorar]]*[1]!Tabel1[[#This Row],[Sandsynlighed]]</f>
        <v>200000</v>
      </c>
      <c r="J139" s="10"/>
      <c r="K139" s="1"/>
      <c r="L139" s="8"/>
      <c r="M139" s="11">
        <v>1</v>
      </c>
      <c r="N139" s="14">
        <v>45171.510300925926</v>
      </c>
      <c r="O139" s="10">
        <v>46279.611087962963</v>
      </c>
      <c r="P139" s="10"/>
      <c r="Q139" s="1"/>
      <c r="R139" s="8" t="s">
        <v>47</v>
      </c>
      <c r="S13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3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3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3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3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3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3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3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3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3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3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3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3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39" s="12">
        <f ca="1">[1]!Tabel1[[#This Row],[Vægtet Honorar]]*([1]!Tabel1[[#This Row],[Sidst redigeret]]&gt;TODAY()-40)*([1]!Tabel1[[#This Row],[Er i resplan?]]&lt;&gt;"Ja")*([1]!Tabel1[[#This Row],[Status]]="Pågår")</f>
        <v>0</v>
      </c>
      <c r="AG139" s="12">
        <f ca="1">[1]!Tabel1[[#This Row],[Vægtet Honorar]]*([1]!Tabel1[[#This Row],[Sidst redigeret]]&gt;TODAY()-40)*([1]!Tabel1[[#This Row],[Status]]="Pågår")</f>
        <v>200000</v>
      </c>
      <c r="AH139" s="13"/>
      <c r="AI139" s="12"/>
      <c r="AJ139" s="12"/>
      <c r="AK139" s="12"/>
      <c r="AL139" s="12"/>
      <c r="AM139" s="12"/>
      <c r="AN139" s="12"/>
      <c r="AO139" s="12"/>
      <c r="AP139" s="12"/>
    </row>
    <row r="140" spans="1:42">
      <c r="A140" t="s">
        <v>427</v>
      </c>
      <c r="B140" s="8"/>
      <c r="C140" s="8" t="s">
        <v>428</v>
      </c>
      <c r="D140" s="8" t="s">
        <v>269</v>
      </c>
      <c r="E140" s="8"/>
      <c r="F140" s="8"/>
      <c r="G140" s="8"/>
      <c r="H140" s="9"/>
      <c r="I140" s="9">
        <f>[1]!Tabel1[[#This Row],[Honorar]]*[1]!Tabel1[[#This Row],[Sandsynlighed]]</f>
        <v>0</v>
      </c>
      <c r="J140" s="10"/>
      <c r="K140" s="1"/>
      <c r="L140" s="8"/>
      <c r="M140" s="11">
        <v>0</v>
      </c>
      <c r="N140" s="1"/>
      <c r="O140" s="10">
        <v>46279.611087962963</v>
      </c>
      <c r="P140" s="10"/>
      <c r="Q140" s="1"/>
      <c r="R140" s="8" t="s">
        <v>49</v>
      </c>
      <c r="S14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4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4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4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4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4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4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4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4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4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4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4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4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40" s="12">
        <f ca="1">[1]!Tabel1[[#This Row],[Vægtet Honorar]]*([1]!Tabel1[[#This Row],[Sidst redigeret]]&gt;TODAY()-40)*([1]!Tabel1[[#This Row],[Er i resplan?]]&lt;&gt;"Ja")*([1]!Tabel1[[#This Row],[Status]]="Pågår")</f>
        <v>0</v>
      </c>
      <c r="AG140" s="12">
        <f ca="1">[1]!Tabel1[[#This Row],[Vægtet Honorar]]*([1]!Tabel1[[#This Row],[Sidst redigeret]]&gt;TODAY()-40)*([1]!Tabel1[[#This Row],[Status]]="Pågår")</f>
        <v>0</v>
      </c>
      <c r="AH140" s="13"/>
      <c r="AI140" s="12"/>
      <c r="AJ140" s="12"/>
      <c r="AK140" s="12"/>
      <c r="AL140" s="12"/>
      <c r="AM140" s="12"/>
      <c r="AN140" s="12"/>
      <c r="AO140" s="12"/>
      <c r="AP140" s="12"/>
    </row>
    <row r="141" spans="1:42">
      <c r="A141" t="s">
        <v>429</v>
      </c>
      <c r="B141" s="8"/>
      <c r="C141" s="8" t="s">
        <v>430</v>
      </c>
      <c r="D141" s="8" t="s">
        <v>134</v>
      </c>
      <c r="E141" s="8"/>
      <c r="F141" s="8"/>
      <c r="G141" s="8"/>
      <c r="H141" s="9"/>
      <c r="I141" s="9">
        <f>[1]!Tabel1[[#This Row],[Honorar]]*[1]!Tabel1[[#This Row],[Sandsynlighed]]</f>
        <v>0</v>
      </c>
      <c r="J141" s="10"/>
      <c r="K141" s="1"/>
      <c r="L141" s="8"/>
      <c r="M141" s="11"/>
      <c r="N141" s="1"/>
      <c r="O141" s="10">
        <v>46279.611087962963</v>
      </c>
      <c r="P141" s="10"/>
      <c r="Q141" s="1"/>
      <c r="R141" s="8" t="s">
        <v>49</v>
      </c>
      <c r="S14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4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4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4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4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4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4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4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4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4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4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4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4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41" s="12">
        <f ca="1">[1]!Tabel1[[#This Row],[Vægtet Honorar]]*([1]!Tabel1[[#This Row],[Sidst redigeret]]&gt;TODAY()-40)*([1]!Tabel1[[#This Row],[Er i resplan?]]&lt;&gt;"Ja")*([1]!Tabel1[[#This Row],[Status]]="Pågår")</f>
        <v>0</v>
      </c>
      <c r="AG141" s="12">
        <f ca="1">[1]!Tabel1[[#This Row],[Vægtet Honorar]]*([1]!Tabel1[[#This Row],[Sidst redigeret]]&gt;TODAY()-40)*([1]!Tabel1[[#This Row],[Status]]="Pågår")</f>
        <v>0</v>
      </c>
      <c r="AH141" s="13"/>
      <c r="AI141" s="12"/>
      <c r="AJ141" s="12"/>
      <c r="AK141" s="12"/>
      <c r="AL141" s="12"/>
      <c r="AM141" s="12"/>
      <c r="AN141" s="12"/>
      <c r="AO141" s="12"/>
      <c r="AP141" s="12"/>
    </row>
    <row r="142" spans="1:42">
      <c r="A142" t="s">
        <v>431</v>
      </c>
      <c r="B142" s="8"/>
      <c r="C142" s="8" t="s">
        <v>432</v>
      </c>
      <c r="D142" s="8" t="s">
        <v>70</v>
      </c>
      <c r="E142" s="8" t="s">
        <v>102</v>
      </c>
      <c r="F142" s="8" t="s">
        <v>111</v>
      </c>
      <c r="G142" s="8"/>
      <c r="H142" s="9">
        <v>175000</v>
      </c>
      <c r="I142" s="9">
        <f>[1]!Tabel1[[#This Row],[Honorar]]*[1]!Tabel1[[#This Row],[Sandsynlighed]]</f>
        <v>0</v>
      </c>
      <c r="J142" s="10" t="s">
        <v>103</v>
      </c>
      <c r="K142" s="1">
        <v>2023</v>
      </c>
      <c r="L142" s="8" t="s">
        <v>104</v>
      </c>
      <c r="M142" s="11">
        <v>1</v>
      </c>
      <c r="N142" s="1" t="s">
        <v>105</v>
      </c>
      <c r="O142" s="10">
        <v>46279.611087962963</v>
      </c>
      <c r="P142" s="10"/>
      <c r="Q142" s="1" t="s">
        <v>46</v>
      </c>
      <c r="R142" s="8" t="s">
        <v>47</v>
      </c>
      <c r="S14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4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4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4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4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4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4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4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4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4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4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4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4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42" s="12">
        <f ca="1">[1]!Tabel1[[#This Row],[Vægtet Honorar]]*([1]!Tabel1[[#This Row],[Sidst redigeret]]&gt;TODAY()-40)*([1]!Tabel1[[#This Row],[Er i resplan?]]&lt;&gt;"Ja")*([1]!Tabel1[[#This Row],[Status]]="Pågår")</f>
        <v>0</v>
      </c>
      <c r="AG142" s="12">
        <f ca="1">[1]!Tabel1[[#This Row],[Vægtet Honorar]]*([1]!Tabel1[[#This Row],[Sidst redigeret]]&gt;TODAY()-40)*([1]!Tabel1[[#This Row],[Status]]="Pågår")</f>
        <v>0</v>
      </c>
      <c r="AH142" s="13"/>
      <c r="AI142" s="12"/>
      <c r="AJ142" s="12"/>
      <c r="AK142" s="12"/>
      <c r="AL142" s="12"/>
      <c r="AM142" s="12"/>
      <c r="AN142" s="12"/>
      <c r="AO142" s="12"/>
      <c r="AP142" s="12"/>
    </row>
    <row r="143" spans="1:42">
      <c r="A143" t="s">
        <v>433</v>
      </c>
      <c r="B143" s="8"/>
      <c r="C143" s="8" t="s">
        <v>434</v>
      </c>
      <c r="D143" s="8" t="s">
        <v>435</v>
      </c>
      <c r="E143" s="8"/>
      <c r="F143" s="8"/>
      <c r="G143" s="8"/>
      <c r="H143" s="9"/>
      <c r="I143" s="9">
        <f>[1]!Tabel1[[#This Row],[Honorar]]*[1]!Tabel1[[#This Row],[Sandsynlighed]]</f>
        <v>0</v>
      </c>
      <c r="J143" s="10"/>
      <c r="K143" s="1"/>
      <c r="L143" s="8"/>
      <c r="M143" s="11"/>
      <c r="N143" s="1"/>
      <c r="O143" s="10">
        <v>46279.611087962963</v>
      </c>
      <c r="P143" s="10"/>
      <c r="Q143" s="1"/>
      <c r="R143" s="8" t="s">
        <v>49</v>
      </c>
      <c r="S14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4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4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4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4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4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4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4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4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4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4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4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4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43" s="12">
        <f ca="1">[1]!Tabel1[[#This Row],[Vægtet Honorar]]*([1]!Tabel1[[#This Row],[Sidst redigeret]]&gt;TODAY()-40)*([1]!Tabel1[[#This Row],[Er i resplan?]]&lt;&gt;"Ja")*([1]!Tabel1[[#This Row],[Status]]="Pågår")</f>
        <v>0</v>
      </c>
      <c r="AG143" s="12">
        <f ca="1">[1]!Tabel1[[#This Row],[Vægtet Honorar]]*([1]!Tabel1[[#This Row],[Sidst redigeret]]&gt;TODAY()-40)*([1]!Tabel1[[#This Row],[Status]]="Pågår")</f>
        <v>0</v>
      </c>
      <c r="AH143" s="13"/>
      <c r="AI143" s="12"/>
      <c r="AJ143" s="12"/>
      <c r="AK143" s="12"/>
      <c r="AL143" s="12"/>
      <c r="AM143" s="12"/>
      <c r="AN143" s="12"/>
      <c r="AO143" s="12"/>
      <c r="AP143" s="12"/>
    </row>
    <row r="144" spans="1:42">
      <c r="A144" t="s">
        <v>436</v>
      </c>
      <c r="B144" s="8"/>
      <c r="C144" s="8" t="s">
        <v>437</v>
      </c>
      <c r="D144" s="8" t="s">
        <v>44</v>
      </c>
      <c r="E144" s="8" t="s">
        <v>71</v>
      </c>
      <c r="F144" s="8"/>
      <c r="G144" s="8"/>
      <c r="H144" s="9"/>
      <c r="I144" s="9">
        <f>[1]!Tabel1[[#This Row],[Honorar]]*[1]!Tabel1[[#This Row],[Sandsynlighed]]</f>
        <v>0</v>
      </c>
      <c r="J144" s="10"/>
      <c r="K144" s="1"/>
      <c r="L144" s="8" t="s">
        <v>75</v>
      </c>
      <c r="M144" s="11"/>
      <c r="N144" s="1"/>
      <c r="O144" s="10">
        <v>46279.611087962963</v>
      </c>
      <c r="P144" s="10"/>
      <c r="Q144" s="1" t="s">
        <v>72</v>
      </c>
      <c r="R144" s="8" t="s">
        <v>75</v>
      </c>
      <c r="S14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4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4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4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4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4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4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4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4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4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4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4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4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44" s="12">
        <f ca="1">[1]!Tabel1[[#This Row],[Vægtet Honorar]]*([1]!Tabel1[[#This Row],[Sidst redigeret]]&gt;TODAY()-40)*([1]!Tabel1[[#This Row],[Er i resplan?]]&lt;&gt;"Ja")*([1]!Tabel1[[#This Row],[Status]]="Pågår")</f>
        <v>0</v>
      </c>
      <c r="AG144" s="12">
        <f ca="1">[1]!Tabel1[[#This Row],[Vægtet Honorar]]*([1]!Tabel1[[#This Row],[Sidst redigeret]]&gt;TODAY()-40)*([1]!Tabel1[[#This Row],[Status]]="Pågår")</f>
        <v>0</v>
      </c>
      <c r="AH144" s="13"/>
      <c r="AI144" s="12"/>
      <c r="AJ144" s="12"/>
      <c r="AK144" s="12"/>
      <c r="AL144" s="12"/>
      <c r="AM144" s="12"/>
      <c r="AN144" s="12"/>
      <c r="AO144" s="12"/>
      <c r="AP144" s="12"/>
    </row>
    <row r="145" spans="1:42">
      <c r="A145" t="s">
        <v>438</v>
      </c>
      <c r="B145" s="8"/>
      <c r="C145" s="8" t="s">
        <v>439</v>
      </c>
      <c r="D145" s="8" t="s">
        <v>158</v>
      </c>
      <c r="E145" s="8"/>
      <c r="F145" s="8"/>
      <c r="G145" s="8"/>
      <c r="H145" s="9"/>
      <c r="I145" s="9">
        <f>[1]!Tabel1[[#This Row],[Honorar]]*[1]!Tabel1[[#This Row],[Sandsynlighed]]</f>
        <v>0</v>
      </c>
      <c r="J145" s="10"/>
      <c r="K145" s="1"/>
      <c r="L145" s="8"/>
      <c r="M145" s="11"/>
      <c r="N145" s="1"/>
      <c r="O145" s="10">
        <v>46279.611087962963</v>
      </c>
      <c r="P145" s="10"/>
      <c r="Q145" s="1"/>
      <c r="R145" s="8" t="s">
        <v>49</v>
      </c>
      <c r="S14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4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4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4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4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4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4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4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4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4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4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4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4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45" s="12">
        <f ca="1">[1]!Tabel1[[#This Row],[Vægtet Honorar]]*([1]!Tabel1[[#This Row],[Sidst redigeret]]&gt;TODAY()-40)*([1]!Tabel1[[#This Row],[Er i resplan?]]&lt;&gt;"Ja")*([1]!Tabel1[[#This Row],[Status]]="Pågår")</f>
        <v>0</v>
      </c>
      <c r="AG145" s="12">
        <f ca="1">[1]!Tabel1[[#This Row],[Vægtet Honorar]]*([1]!Tabel1[[#This Row],[Sidst redigeret]]&gt;TODAY()-40)*([1]!Tabel1[[#This Row],[Status]]="Pågår")</f>
        <v>0</v>
      </c>
      <c r="AH145" s="13"/>
      <c r="AI145" s="12"/>
      <c r="AJ145" s="12"/>
      <c r="AK145" s="12"/>
      <c r="AL145" s="12"/>
      <c r="AM145" s="12"/>
      <c r="AN145" s="12"/>
      <c r="AO145" s="12"/>
      <c r="AP145" s="12"/>
    </row>
    <row r="146" spans="1:42">
      <c r="A146" t="s">
        <v>440</v>
      </c>
      <c r="B146" s="8"/>
      <c r="C146" s="8" t="s">
        <v>441</v>
      </c>
      <c r="D146" s="8" t="s">
        <v>57</v>
      </c>
      <c r="E146" s="8"/>
      <c r="F146" s="8"/>
      <c r="G146" s="8"/>
      <c r="H146" s="9"/>
      <c r="I146" s="9">
        <f>[1]!Tabel1[[#This Row],[Honorar]]*[1]!Tabel1[[#This Row],[Sandsynlighed]]</f>
        <v>0</v>
      </c>
      <c r="J146" s="10"/>
      <c r="K146" s="1"/>
      <c r="L146" s="8"/>
      <c r="M146" s="11"/>
      <c r="N146" s="1"/>
      <c r="O146" s="10">
        <v>46279.611087962963</v>
      </c>
      <c r="P146" s="10"/>
      <c r="Q146" s="1"/>
      <c r="R146" s="8" t="s">
        <v>49</v>
      </c>
      <c r="S14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4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4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4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4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4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4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4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4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4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4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4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4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46" s="12">
        <f ca="1">[1]!Tabel1[[#This Row],[Vægtet Honorar]]*([1]!Tabel1[[#This Row],[Sidst redigeret]]&gt;TODAY()-40)*([1]!Tabel1[[#This Row],[Er i resplan?]]&lt;&gt;"Ja")*([1]!Tabel1[[#This Row],[Status]]="Pågår")</f>
        <v>0</v>
      </c>
      <c r="AG146" s="12">
        <f ca="1">[1]!Tabel1[[#This Row],[Vægtet Honorar]]*([1]!Tabel1[[#This Row],[Sidst redigeret]]&gt;TODAY()-40)*([1]!Tabel1[[#This Row],[Status]]="Pågår")</f>
        <v>0</v>
      </c>
      <c r="AH146" s="13"/>
      <c r="AI146" s="12" t="s">
        <v>442</v>
      </c>
      <c r="AJ146" s="12" t="s">
        <v>384</v>
      </c>
      <c r="AK146" s="12" t="s">
        <v>443</v>
      </c>
      <c r="AL146" s="12" t="s">
        <v>443</v>
      </c>
      <c r="AM146" s="12" t="s">
        <v>443</v>
      </c>
      <c r="AN146" s="12" t="s">
        <v>443</v>
      </c>
      <c r="AO146" s="12" t="s">
        <v>443</v>
      </c>
      <c r="AP146" s="12" t="s">
        <v>443</v>
      </c>
    </row>
    <row r="147" spans="1:42">
      <c r="A147" t="s">
        <v>444</v>
      </c>
      <c r="B147" s="8"/>
      <c r="C147" s="8" t="s">
        <v>445</v>
      </c>
      <c r="D147" s="8" t="s">
        <v>70</v>
      </c>
      <c r="E147" s="8" t="s">
        <v>102</v>
      </c>
      <c r="F147" s="8"/>
      <c r="G147" s="8"/>
      <c r="H147" s="9">
        <v>20000</v>
      </c>
      <c r="I147" s="9">
        <f>[1]!Tabel1[[#This Row],[Honorar]]*[1]!Tabel1[[#This Row],[Sandsynlighed]]</f>
        <v>175000</v>
      </c>
      <c r="J147" s="10" t="s">
        <v>103</v>
      </c>
      <c r="K147" s="1"/>
      <c r="L147" s="8" t="s">
        <v>104</v>
      </c>
      <c r="M147" s="11">
        <v>1</v>
      </c>
      <c r="N147" s="1"/>
      <c r="O147" s="10">
        <v>46279.611087962963</v>
      </c>
      <c r="P147" s="10"/>
      <c r="Q147" s="1" t="s">
        <v>46</v>
      </c>
      <c r="R147" s="8" t="s">
        <v>47</v>
      </c>
      <c r="S14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4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4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4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4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4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4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4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4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4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4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4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4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47" s="12">
        <f ca="1">[1]!Tabel1[[#This Row],[Vægtet Honorar]]*([1]!Tabel1[[#This Row],[Sidst redigeret]]&gt;TODAY()-40)*([1]!Tabel1[[#This Row],[Er i resplan?]]&lt;&gt;"Ja")*([1]!Tabel1[[#This Row],[Status]]="Pågår")</f>
        <v>0</v>
      </c>
      <c r="AG147" s="12">
        <f ca="1">[1]!Tabel1[[#This Row],[Vægtet Honorar]]*([1]!Tabel1[[#This Row],[Sidst redigeret]]&gt;TODAY()-40)*([1]!Tabel1[[#This Row],[Status]]="Pågår")</f>
        <v>0</v>
      </c>
      <c r="AH147" s="13"/>
      <c r="AI147" s="12"/>
      <c r="AJ147" s="12"/>
      <c r="AK147" s="12"/>
      <c r="AL147" s="12"/>
      <c r="AM147" s="12"/>
      <c r="AN147" s="12"/>
      <c r="AO147" s="12"/>
      <c r="AP147" s="12"/>
    </row>
    <row r="148" spans="1:42">
      <c r="A148" t="s">
        <v>446</v>
      </c>
      <c r="B148" s="8"/>
      <c r="C148" s="8" t="s">
        <v>447</v>
      </c>
      <c r="D148" s="8"/>
      <c r="E148" s="8"/>
      <c r="F148" s="8"/>
      <c r="G148" s="8"/>
      <c r="H148" s="9"/>
      <c r="I148" s="9">
        <f>[1]!Tabel1[[#This Row],[Honorar]]*[1]!Tabel1[[#This Row],[Sandsynlighed]]</f>
        <v>0</v>
      </c>
      <c r="J148" s="10"/>
      <c r="K148" s="1"/>
      <c r="L148" s="8"/>
      <c r="M148" s="11"/>
      <c r="N148" s="1"/>
      <c r="O148" s="10">
        <v>46279.611087962963</v>
      </c>
      <c r="P148" s="10"/>
      <c r="Q148" s="1"/>
      <c r="R148" s="8" t="s">
        <v>49</v>
      </c>
      <c r="S14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4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4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4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4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4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4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4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4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4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4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4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4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48" s="12">
        <f ca="1">[1]!Tabel1[[#This Row],[Vægtet Honorar]]*([1]!Tabel1[[#This Row],[Sidst redigeret]]&gt;TODAY()-40)*([1]!Tabel1[[#This Row],[Er i resplan?]]&lt;&gt;"Ja")*([1]!Tabel1[[#This Row],[Status]]="Pågår")</f>
        <v>0</v>
      </c>
      <c r="AG148" s="12">
        <f ca="1">[1]!Tabel1[[#This Row],[Vægtet Honorar]]*([1]!Tabel1[[#This Row],[Sidst redigeret]]&gt;TODAY()-40)*([1]!Tabel1[[#This Row],[Status]]="Pågår")</f>
        <v>0</v>
      </c>
      <c r="AH148" s="13"/>
      <c r="AI148" s="12"/>
      <c r="AJ148" s="12"/>
      <c r="AK148" s="12"/>
      <c r="AL148" s="12"/>
      <c r="AM148" s="12"/>
      <c r="AN148" s="12"/>
      <c r="AO148" s="12"/>
      <c r="AP148" s="12"/>
    </row>
    <row r="149" spans="1:42">
      <c r="A149" t="s">
        <v>448</v>
      </c>
      <c r="B149" s="8">
        <v>221172</v>
      </c>
      <c r="C149" s="8" t="s">
        <v>449</v>
      </c>
      <c r="D149" s="8" t="s">
        <v>421</v>
      </c>
      <c r="E149" s="8" t="s">
        <v>120</v>
      </c>
      <c r="F149" s="8" t="s">
        <v>450</v>
      </c>
      <c r="G149" s="8" t="s">
        <v>450</v>
      </c>
      <c r="H149" s="9">
        <v>500000</v>
      </c>
      <c r="I149" s="9">
        <f>[1]!Tabel1[[#This Row],[Honorar]]*[1]!Tabel1[[#This Row],[Sandsynlighed]]</f>
        <v>0</v>
      </c>
      <c r="J149" s="10" t="s">
        <v>451</v>
      </c>
      <c r="K149" s="1" t="s">
        <v>452</v>
      </c>
      <c r="L149" s="8" t="s">
        <v>104</v>
      </c>
      <c r="M149" s="11">
        <v>1</v>
      </c>
      <c r="N149" s="1"/>
      <c r="O149" s="10">
        <v>46279.611087962963</v>
      </c>
      <c r="P149" s="10"/>
      <c r="Q149" s="1"/>
      <c r="R149" s="8" t="s">
        <v>47</v>
      </c>
      <c r="S14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4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4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4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4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4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4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4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4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4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4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4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4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49" s="12">
        <f ca="1">[1]!Tabel1[[#This Row],[Vægtet Honorar]]*([1]!Tabel1[[#This Row],[Sidst redigeret]]&gt;TODAY()-40)*([1]!Tabel1[[#This Row],[Er i resplan?]]&lt;&gt;"Ja")*([1]!Tabel1[[#This Row],[Status]]="Pågår")</f>
        <v>0</v>
      </c>
      <c r="AG149" s="12">
        <f ca="1">[1]!Tabel1[[#This Row],[Vægtet Honorar]]*([1]!Tabel1[[#This Row],[Sidst redigeret]]&gt;TODAY()-40)*([1]!Tabel1[[#This Row],[Status]]="Pågår")</f>
        <v>0</v>
      </c>
      <c r="AH149" s="13"/>
      <c r="AI149" s="12"/>
      <c r="AJ149" s="12"/>
      <c r="AK149" s="12"/>
      <c r="AL149" s="12"/>
      <c r="AM149" s="12"/>
      <c r="AN149" s="12"/>
      <c r="AO149" s="12"/>
      <c r="AP149" s="12"/>
    </row>
    <row r="150" spans="1:42">
      <c r="A150" t="s">
        <v>453</v>
      </c>
      <c r="B150" s="8"/>
      <c r="C150" s="8" t="s">
        <v>454</v>
      </c>
      <c r="D150" s="8"/>
      <c r="E150" s="8"/>
      <c r="F150" s="8"/>
      <c r="G150" s="8"/>
      <c r="H150" s="9"/>
      <c r="I150" s="9">
        <f>[1]!Tabel1[[#This Row],[Honorar]]*[1]!Tabel1[[#This Row],[Sandsynlighed]]</f>
        <v>0</v>
      </c>
      <c r="J150" s="10"/>
      <c r="K150" s="1"/>
      <c r="L150" s="8"/>
      <c r="M150" s="11"/>
      <c r="N150" s="1"/>
      <c r="O150" s="10">
        <v>46279.611087962963</v>
      </c>
      <c r="P150" s="10"/>
      <c r="Q150" s="1"/>
      <c r="R150" s="8" t="s">
        <v>49</v>
      </c>
      <c r="S15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5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5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5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5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5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5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5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5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5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5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5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5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50" s="12">
        <f ca="1">[1]!Tabel1[[#This Row],[Vægtet Honorar]]*([1]!Tabel1[[#This Row],[Sidst redigeret]]&gt;TODAY()-40)*([1]!Tabel1[[#This Row],[Er i resplan?]]&lt;&gt;"Ja")*([1]!Tabel1[[#This Row],[Status]]="Pågår")</f>
        <v>0</v>
      </c>
      <c r="AG150" s="12">
        <f ca="1">[1]!Tabel1[[#This Row],[Vægtet Honorar]]*([1]!Tabel1[[#This Row],[Sidst redigeret]]&gt;TODAY()-40)*([1]!Tabel1[[#This Row],[Status]]="Pågår")</f>
        <v>0</v>
      </c>
      <c r="AH150" s="13"/>
      <c r="AI150" s="12"/>
      <c r="AJ150" s="12"/>
      <c r="AK150" s="12"/>
      <c r="AL150" s="12"/>
      <c r="AM150" s="12"/>
      <c r="AN150" s="12"/>
      <c r="AO150" s="12"/>
      <c r="AP150" s="12"/>
    </row>
    <row r="151" spans="1:42">
      <c r="A151" t="s">
        <v>455</v>
      </c>
      <c r="B151" s="8"/>
      <c r="C151" s="8" t="s">
        <v>456</v>
      </c>
      <c r="D151" s="8" t="s">
        <v>119</v>
      </c>
      <c r="E151" s="8" t="s">
        <v>120</v>
      </c>
      <c r="F151" s="8"/>
      <c r="G151" s="8"/>
      <c r="H151" s="9"/>
      <c r="I151" s="9">
        <f>[1]!Tabel1[[#This Row],[Honorar]]*[1]!Tabel1[[#This Row],[Sandsynlighed]]</f>
        <v>0</v>
      </c>
      <c r="J151" s="10"/>
      <c r="K151" s="1"/>
      <c r="L151" s="8" t="s">
        <v>104</v>
      </c>
      <c r="M151" s="11">
        <v>1</v>
      </c>
      <c r="N151" s="1"/>
      <c r="O151" s="10">
        <v>46279.611087962963</v>
      </c>
      <c r="P151" s="10"/>
      <c r="Q151" s="1"/>
      <c r="R151" s="8" t="s">
        <v>47</v>
      </c>
      <c r="S15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5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5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5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5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5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5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5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5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5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5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5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5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51" s="12">
        <f ca="1">[1]!Tabel1[[#This Row],[Vægtet Honorar]]*([1]!Tabel1[[#This Row],[Sidst redigeret]]&gt;TODAY()-40)*([1]!Tabel1[[#This Row],[Er i resplan?]]&lt;&gt;"Ja")*([1]!Tabel1[[#This Row],[Status]]="Pågår")</f>
        <v>0</v>
      </c>
      <c r="AG151" s="12">
        <f ca="1">[1]!Tabel1[[#This Row],[Vægtet Honorar]]*([1]!Tabel1[[#This Row],[Sidst redigeret]]&gt;TODAY()-40)*([1]!Tabel1[[#This Row],[Status]]="Pågår")</f>
        <v>0</v>
      </c>
      <c r="AH151" s="13"/>
      <c r="AI151" s="12"/>
      <c r="AJ151" s="12"/>
      <c r="AK151" s="12"/>
      <c r="AL151" s="12"/>
      <c r="AM151" s="12"/>
      <c r="AN151" s="12"/>
      <c r="AO151" s="12"/>
      <c r="AP151" s="12"/>
    </row>
    <row r="152" spans="1:42">
      <c r="A152" t="s">
        <v>457</v>
      </c>
      <c r="B152" s="8"/>
      <c r="C152" s="8" t="s">
        <v>458</v>
      </c>
      <c r="D152" s="8" t="s">
        <v>459</v>
      </c>
      <c r="E152" s="8" t="s">
        <v>94</v>
      </c>
      <c r="F152" s="8" t="s">
        <v>460</v>
      </c>
      <c r="G152" s="8" t="s">
        <v>461</v>
      </c>
      <c r="H152" s="9">
        <v>2000000</v>
      </c>
      <c r="I152" s="9">
        <f>[1]!Tabel1[[#This Row],[Honorar]]*[1]!Tabel1[[#This Row],[Sandsynlighed]]</f>
        <v>20000</v>
      </c>
      <c r="J152" s="10"/>
      <c r="K152" s="1"/>
      <c r="L152" s="8" t="s">
        <v>462</v>
      </c>
      <c r="M152" s="11">
        <v>1</v>
      </c>
      <c r="N152" s="1"/>
      <c r="O152" s="10">
        <v>46279.611087962963</v>
      </c>
      <c r="P152" s="1" t="s">
        <v>72</v>
      </c>
      <c r="Q152" s="1" t="s">
        <v>46</v>
      </c>
      <c r="R152" s="8" t="s">
        <v>47</v>
      </c>
      <c r="S15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5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5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5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5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5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5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5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5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5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5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5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5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52" s="12">
        <f ca="1">[1]!Tabel1[[#This Row],[Vægtet Honorar]]*([1]!Tabel1[[#This Row],[Sidst redigeret]]&gt;TODAY()-40)*([1]!Tabel1[[#This Row],[Er i resplan?]]&lt;&gt;"Ja")*([1]!Tabel1[[#This Row],[Status]]="Pågår")</f>
        <v>0</v>
      </c>
      <c r="AG152" s="12">
        <f ca="1">[1]!Tabel1[[#This Row],[Vægtet Honorar]]*([1]!Tabel1[[#This Row],[Sidst redigeret]]&gt;TODAY()-40)*([1]!Tabel1[[#This Row],[Status]]="Pågår")</f>
        <v>0</v>
      </c>
      <c r="AH152" s="13"/>
      <c r="AI152" s="12"/>
      <c r="AJ152" s="12"/>
      <c r="AK152" s="12"/>
      <c r="AL152" s="12"/>
      <c r="AM152" s="12"/>
      <c r="AN152" s="12"/>
      <c r="AO152" s="12"/>
      <c r="AP152" s="12"/>
    </row>
    <row r="153" spans="1:42">
      <c r="A153" t="s">
        <v>463</v>
      </c>
      <c r="B153" s="8"/>
      <c r="C153" s="8" t="s">
        <v>464</v>
      </c>
      <c r="D153" s="8" t="s">
        <v>57</v>
      </c>
      <c r="E153" s="8"/>
      <c r="F153" s="8"/>
      <c r="G153" s="8"/>
      <c r="H153" s="9"/>
      <c r="I153" s="9">
        <f>[1]!Tabel1[[#This Row],[Honorar]]*[1]!Tabel1[[#This Row],[Sandsynlighed]]</f>
        <v>0</v>
      </c>
      <c r="J153" s="10"/>
      <c r="K153" s="1"/>
      <c r="L153" s="8" t="s">
        <v>465</v>
      </c>
      <c r="M153" s="11">
        <v>0</v>
      </c>
      <c r="N153" s="1"/>
      <c r="O153" s="10">
        <v>46279.611087962963</v>
      </c>
      <c r="P153" s="10"/>
      <c r="Q153" s="1"/>
      <c r="R153" s="8" t="s">
        <v>49</v>
      </c>
      <c r="S15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5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5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5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5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5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5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5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5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5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5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5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5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53" s="12">
        <f ca="1">[1]!Tabel1[[#This Row],[Vægtet Honorar]]*([1]!Tabel1[[#This Row],[Sidst redigeret]]&gt;TODAY()-40)*([1]!Tabel1[[#This Row],[Er i resplan?]]&lt;&gt;"Ja")*([1]!Tabel1[[#This Row],[Status]]="Pågår")</f>
        <v>0</v>
      </c>
      <c r="AG153" s="12">
        <f ca="1">[1]!Tabel1[[#This Row],[Vægtet Honorar]]*([1]!Tabel1[[#This Row],[Sidst redigeret]]&gt;TODAY()-40)*([1]!Tabel1[[#This Row],[Status]]="Pågår")</f>
        <v>0</v>
      </c>
      <c r="AH153" s="13"/>
      <c r="AI153" s="12"/>
      <c r="AJ153" s="12"/>
      <c r="AK153" s="12"/>
      <c r="AL153" s="12"/>
      <c r="AM153" s="12"/>
      <c r="AN153" s="12"/>
      <c r="AO153" s="12"/>
      <c r="AP153" s="12"/>
    </row>
    <row r="154" spans="1:42">
      <c r="A154" t="s">
        <v>466</v>
      </c>
      <c r="B154" s="8"/>
      <c r="C154" s="8" t="s">
        <v>467</v>
      </c>
      <c r="D154" s="8" t="s">
        <v>269</v>
      </c>
      <c r="E154" s="8"/>
      <c r="F154" s="8"/>
      <c r="G154" s="8"/>
      <c r="H154" s="9"/>
      <c r="I154" s="9">
        <f>[1]!Tabel1[[#This Row],[Honorar]]*[1]!Tabel1[[#This Row],[Sandsynlighed]]</f>
        <v>500000</v>
      </c>
      <c r="J154" s="10"/>
      <c r="K154" s="1"/>
      <c r="L154" s="8"/>
      <c r="M154" s="11">
        <v>0</v>
      </c>
      <c r="N154" s="1"/>
      <c r="O154" s="10">
        <v>46279.611087962963</v>
      </c>
      <c r="P154" s="10"/>
      <c r="Q154" s="1"/>
      <c r="R154" s="8" t="s">
        <v>49</v>
      </c>
      <c r="S15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5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5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5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5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5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5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5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5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5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5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5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5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54" s="12">
        <f ca="1">[1]!Tabel1[[#This Row],[Vægtet Honorar]]*([1]!Tabel1[[#This Row],[Sidst redigeret]]&gt;TODAY()-40)*([1]!Tabel1[[#This Row],[Er i resplan?]]&lt;&gt;"Ja")*([1]!Tabel1[[#This Row],[Status]]="Pågår")</f>
        <v>0</v>
      </c>
      <c r="AG154" s="12">
        <f ca="1">[1]!Tabel1[[#This Row],[Vægtet Honorar]]*([1]!Tabel1[[#This Row],[Sidst redigeret]]&gt;TODAY()-40)*([1]!Tabel1[[#This Row],[Status]]="Pågår")</f>
        <v>0</v>
      </c>
      <c r="AH154" s="13"/>
      <c r="AI154" s="12"/>
      <c r="AJ154" s="12"/>
      <c r="AK154" s="12"/>
      <c r="AL154" s="12"/>
      <c r="AM154" s="12"/>
      <c r="AN154" s="12"/>
      <c r="AO154" s="12"/>
      <c r="AP154" s="12"/>
    </row>
    <row r="155" spans="1:42">
      <c r="A155" t="s">
        <v>468</v>
      </c>
      <c r="B155" s="8"/>
      <c r="C155" s="8" t="s">
        <v>469</v>
      </c>
      <c r="D155" s="8" t="s">
        <v>269</v>
      </c>
      <c r="E155" s="8"/>
      <c r="F155" s="8"/>
      <c r="G155" s="8"/>
      <c r="H155" s="9"/>
      <c r="I155" s="9">
        <f>[1]!Tabel1[[#This Row],[Honorar]]*[1]!Tabel1[[#This Row],[Sandsynlighed]]</f>
        <v>0</v>
      </c>
      <c r="J155" s="10"/>
      <c r="K155" s="1"/>
      <c r="L155" s="8"/>
      <c r="M155" s="11">
        <v>0</v>
      </c>
      <c r="N155" s="1"/>
      <c r="O155" s="10">
        <v>46279.611087962963</v>
      </c>
      <c r="P155" s="10"/>
      <c r="Q155" s="1"/>
      <c r="R155" s="8" t="s">
        <v>49</v>
      </c>
      <c r="S15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5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5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5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5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5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5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5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5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5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5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5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5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55" s="12">
        <f ca="1">[1]!Tabel1[[#This Row],[Vægtet Honorar]]*([1]!Tabel1[[#This Row],[Sidst redigeret]]&gt;TODAY()-40)*([1]!Tabel1[[#This Row],[Er i resplan?]]&lt;&gt;"Ja")*([1]!Tabel1[[#This Row],[Status]]="Pågår")</f>
        <v>0</v>
      </c>
      <c r="AG155" s="12">
        <f ca="1">[1]!Tabel1[[#This Row],[Vægtet Honorar]]*([1]!Tabel1[[#This Row],[Sidst redigeret]]&gt;TODAY()-40)*([1]!Tabel1[[#This Row],[Status]]="Pågår")</f>
        <v>0</v>
      </c>
      <c r="AH155" s="13"/>
      <c r="AI155" s="12"/>
      <c r="AJ155" s="12"/>
      <c r="AK155" s="12"/>
      <c r="AL155" s="12"/>
      <c r="AM155" s="12"/>
      <c r="AN155" s="12"/>
      <c r="AO155" s="12"/>
      <c r="AP155" s="12"/>
    </row>
    <row r="156" spans="1:42">
      <c r="A156" t="s">
        <v>470</v>
      </c>
      <c r="B156" s="8"/>
      <c r="C156" s="8" t="s">
        <v>471</v>
      </c>
      <c r="D156" s="8"/>
      <c r="E156" s="8"/>
      <c r="F156" s="8"/>
      <c r="G156" s="8"/>
      <c r="H156" s="9"/>
      <c r="I156" s="9">
        <f>[1]!Tabel1[[#This Row],[Honorar]]*[1]!Tabel1[[#This Row],[Sandsynlighed]]</f>
        <v>0</v>
      </c>
      <c r="J156" s="10"/>
      <c r="K156" s="1"/>
      <c r="L156" s="8" t="s">
        <v>472</v>
      </c>
      <c r="M156" s="11"/>
      <c r="N156" s="1"/>
      <c r="O156" s="10">
        <v>46279.611087962963</v>
      </c>
      <c r="P156" s="10"/>
      <c r="Q156" s="1"/>
      <c r="R156" s="8" t="s">
        <v>49</v>
      </c>
      <c r="S15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5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5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5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5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5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5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5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5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5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5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5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5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56" s="12">
        <f ca="1">[1]!Tabel1[[#This Row],[Vægtet Honorar]]*([1]!Tabel1[[#This Row],[Sidst redigeret]]&gt;TODAY()-40)*([1]!Tabel1[[#This Row],[Er i resplan?]]&lt;&gt;"Ja")*([1]!Tabel1[[#This Row],[Status]]="Pågår")</f>
        <v>0</v>
      </c>
      <c r="AG156" s="12">
        <f ca="1">[1]!Tabel1[[#This Row],[Vægtet Honorar]]*([1]!Tabel1[[#This Row],[Sidst redigeret]]&gt;TODAY()-40)*([1]!Tabel1[[#This Row],[Status]]="Pågår")</f>
        <v>0</v>
      </c>
      <c r="AH156" s="13"/>
      <c r="AI156" s="12"/>
      <c r="AJ156" s="12"/>
      <c r="AK156" s="12"/>
      <c r="AL156" s="12"/>
      <c r="AM156" s="12"/>
      <c r="AN156" s="12"/>
      <c r="AO156" s="12"/>
      <c r="AP156" s="12"/>
    </row>
    <row r="157" spans="1:42">
      <c r="A157" t="s">
        <v>473</v>
      </c>
      <c r="B157" s="8"/>
      <c r="C157" s="8" t="s">
        <v>474</v>
      </c>
      <c r="D157" s="8" t="s">
        <v>44</v>
      </c>
      <c r="E157" s="8" t="s">
        <v>71</v>
      </c>
      <c r="F157" s="8"/>
      <c r="G157" s="8"/>
      <c r="H157" s="9">
        <v>200000</v>
      </c>
      <c r="I157" s="9">
        <f>[1]!Tabel1[[#This Row],[Honorar]]*[1]!Tabel1[[#This Row],[Sandsynlighed]]</f>
        <v>2000000</v>
      </c>
      <c r="J157" s="10"/>
      <c r="K157" s="1"/>
      <c r="L157" s="8" t="s">
        <v>475</v>
      </c>
      <c r="M157" s="11">
        <v>0.25</v>
      </c>
      <c r="N157" s="1"/>
      <c r="O157" s="10">
        <v>46279.611087962963</v>
      </c>
      <c r="P157" s="10"/>
      <c r="Q157" s="1" t="s">
        <v>46</v>
      </c>
      <c r="R157" s="8" t="s">
        <v>49</v>
      </c>
      <c r="S15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5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5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5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5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5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5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5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5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5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5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5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5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57" s="12">
        <f ca="1">[1]!Tabel1[[#This Row],[Vægtet Honorar]]*([1]!Tabel1[[#This Row],[Sidst redigeret]]&gt;TODAY()-40)*([1]!Tabel1[[#This Row],[Er i resplan?]]&lt;&gt;"Ja")*([1]!Tabel1[[#This Row],[Status]]="Pågår")</f>
        <v>0</v>
      </c>
      <c r="AG157" s="12">
        <f ca="1">[1]!Tabel1[[#This Row],[Vægtet Honorar]]*([1]!Tabel1[[#This Row],[Sidst redigeret]]&gt;TODAY()-40)*([1]!Tabel1[[#This Row],[Status]]="Pågår")</f>
        <v>0</v>
      </c>
      <c r="AH157" s="13"/>
      <c r="AI157" s="12"/>
      <c r="AJ157" s="12"/>
      <c r="AK157" s="12"/>
      <c r="AL157" s="12"/>
      <c r="AM157" s="12"/>
      <c r="AN157" s="12"/>
      <c r="AO157" s="12"/>
      <c r="AP157" s="12"/>
    </row>
    <row r="158" spans="1:42">
      <c r="A158" t="s">
        <v>476</v>
      </c>
      <c r="B158" s="8"/>
      <c r="C158" s="8" t="s">
        <v>477</v>
      </c>
      <c r="D158" s="8" t="s">
        <v>44</v>
      </c>
      <c r="E158" s="8" t="s">
        <v>71</v>
      </c>
      <c r="F158" s="8" t="s">
        <v>478</v>
      </c>
      <c r="G158" s="8"/>
      <c r="H158" s="9"/>
      <c r="I158" s="9">
        <f>[1]!Tabel1[[#This Row],[Honorar]]*[1]!Tabel1[[#This Row],[Sandsynlighed]]</f>
        <v>0</v>
      </c>
      <c r="J158" s="10"/>
      <c r="K158" s="1"/>
      <c r="L158" s="8" t="s">
        <v>479</v>
      </c>
      <c r="M158" s="11">
        <v>1</v>
      </c>
      <c r="N158" s="1"/>
      <c r="O158" s="10">
        <v>46279.611087962963</v>
      </c>
      <c r="P158" s="10"/>
      <c r="Q158" s="1" t="s">
        <v>46</v>
      </c>
      <c r="R158" s="8" t="s">
        <v>47</v>
      </c>
      <c r="S15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5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5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5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5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5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5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5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5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5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5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5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5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58" s="12">
        <f ca="1">[1]!Tabel1[[#This Row],[Vægtet Honorar]]*([1]!Tabel1[[#This Row],[Sidst redigeret]]&gt;TODAY()-40)*([1]!Tabel1[[#This Row],[Er i resplan?]]&lt;&gt;"Ja")*([1]!Tabel1[[#This Row],[Status]]="Pågår")</f>
        <v>0</v>
      </c>
      <c r="AG158" s="12">
        <f ca="1">[1]!Tabel1[[#This Row],[Vægtet Honorar]]*([1]!Tabel1[[#This Row],[Sidst redigeret]]&gt;TODAY()-40)*([1]!Tabel1[[#This Row],[Status]]="Pågår")</f>
        <v>0</v>
      </c>
      <c r="AH158" s="13"/>
      <c r="AI158" s="12"/>
      <c r="AJ158" s="12"/>
      <c r="AK158" s="12"/>
      <c r="AL158" s="12"/>
      <c r="AM158" s="12"/>
      <c r="AN158" s="12"/>
      <c r="AO158" s="12"/>
      <c r="AP158" s="12"/>
    </row>
    <row r="159" spans="1:42">
      <c r="A159" t="s">
        <v>480</v>
      </c>
      <c r="B159" s="8"/>
      <c r="C159" s="8" t="s">
        <v>481</v>
      </c>
      <c r="D159" s="8" t="s">
        <v>44</v>
      </c>
      <c r="E159" s="8" t="s">
        <v>71</v>
      </c>
      <c r="F159" s="8" t="s">
        <v>482</v>
      </c>
      <c r="G159" s="8" t="s">
        <v>483</v>
      </c>
      <c r="H159" s="9">
        <v>1000000</v>
      </c>
      <c r="I159" s="9">
        <f>[1]!Tabel1[[#This Row],[Honorar]]*[1]!Tabel1[[#This Row],[Sandsynlighed]]</f>
        <v>0</v>
      </c>
      <c r="J159" s="10" t="s">
        <v>484</v>
      </c>
      <c r="K159" s="1" t="s">
        <v>413</v>
      </c>
      <c r="L159" s="8" t="s">
        <v>485</v>
      </c>
      <c r="M159" s="11">
        <v>0</v>
      </c>
      <c r="N159" s="1" t="s">
        <v>486</v>
      </c>
      <c r="O159" s="10">
        <v>46279.611087962963</v>
      </c>
      <c r="P159" s="10"/>
      <c r="Q159" s="1" t="s">
        <v>72</v>
      </c>
      <c r="R159" s="8" t="s">
        <v>75</v>
      </c>
      <c r="S15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5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5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5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5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5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5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5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5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5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5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5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5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59" s="12">
        <f ca="1">[1]!Tabel1[[#This Row],[Vægtet Honorar]]*([1]!Tabel1[[#This Row],[Sidst redigeret]]&gt;TODAY()-40)*([1]!Tabel1[[#This Row],[Er i resplan?]]&lt;&gt;"Ja")*([1]!Tabel1[[#This Row],[Status]]="Pågår")</f>
        <v>0</v>
      </c>
      <c r="AG159" s="12">
        <f ca="1">[1]!Tabel1[[#This Row],[Vægtet Honorar]]*([1]!Tabel1[[#This Row],[Sidst redigeret]]&gt;TODAY()-40)*([1]!Tabel1[[#This Row],[Status]]="Pågår")</f>
        <v>0</v>
      </c>
      <c r="AH159" s="13"/>
      <c r="AI159" s="12"/>
      <c r="AJ159" s="12"/>
      <c r="AK159" s="12"/>
      <c r="AL159" s="12"/>
      <c r="AM159" s="12"/>
      <c r="AN159" s="12"/>
      <c r="AO159" s="12"/>
      <c r="AP159" s="12"/>
    </row>
    <row r="160" spans="1:42">
      <c r="A160" t="s">
        <v>487</v>
      </c>
      <c r="B160" s="8"/>
      <c r="C160" s="8" t="s">
        <v>488</v>
      </c>
      <c r="D160" s="8" t="s">
        <v>334</v>
      </c>
      <c r="E160" s="8" t="s">
        <v>71</v>
      </c>
      <c r="F160" s="8"/>
      <c r="G160" s="8"/>
      <c r="H160" s="9">
        <v>600000</v>
      </c>
      <c r="I160" s="9">
        <f>[1]!Tabel1[[#This Row],[Honorar]]*[1]!Tabel1[[#This Row],[Sandsynlighed]]</f>
        <v>0</v>
      </c>
      <c r="J160" s="10"/>
      <c r="K160" s="1"/>
      <c r="L160" s="8" t="s">
        <v>489</v>
      </c>
      <c r="M160" s="11">
        <v>1</v>
      </c>
      <c r="N160" s="1"/>
      <c r="O160" s="10">
        <v>46279.611087962963</v>
      </c>
      <c r="P160" s="10"/>
      <c r="Q160" s="1" t="s">
        <v>46</v>
      </c>
      <c r="R160" s="8" t="s">
        <v>47</v>
      </c>
      <c r="S16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6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6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6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6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6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6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6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6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6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6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6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6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60" s="12">
        <f ca="1">[1]!Tabel1[[#This Row],[Vægtet Honorar]]*([1]!Tabel1[[#This Row],[Sidst redigeret]]&gt;TODAY()-40)*([1]!Tabel1[[#This Row],[Er i resplan?]]&lt;&gt;"Ja")*([1]!Tabel1[[#This Row],[Status]]="Pågår")</f>
        <v>0</v>
      </c>
      <c r="AG160" s="12">
        <f ca="1">[1]!Tabel1[[#This Row],[Vægtet Honorar]]*([1]!Tabel1[[#This Row],[Sidst redigeret]]&gt;TODAY()-40)*([1]!Tabel1[[#This Row],[Status]]="Pågår")</f>
        <v>0</v>
      </c>
      <c r="AH160" s="13"/>
      <c r="AI160" s="12"/>
      <c r="AJ160" s="12"/>
      <c r="AK160" s="12"/>
      <c r="AL160" s="12"/>
      <c r="AM160" s="12"/>
      <c r="AN160" s="12"/>
      <c r="AO160" s="12"/>
      <c r="AP160" s="12"/>
    </row>
    <row r="161" spans="1:42">
      <c r="A161" t="s">
        <v>490</v>
      </c>
      <c r="B161" s="8"/>
      <c r="C161" s="8" t="s">
        <v>491</v>
      </c>
      <c r="D161" s="8" t="s">
        <v>57</v>
      </c>
      <c r="E161" s="8" t="s">
        <v>167</v>
      </c>
      <c r="F161" s="8"/>
      <c r="G161" s="8"/>
      <c r="H161" s="9"/>
      <c r="I161" s="9">
        <f>[1]!Tabel1[[#This Row],[Honorar]]*[1]!Tabel1[[#This Row],[Sandsynlighed]]</f>
        <v>0</v>
      </c>
      <c r="J161" s="10"/>
      <c r="K161" s="1"/>
      <c r="L161" s="8"/>
      <c r="M161" s="11"/>
      <c r="N161" s="1"/>
      <c r="O161" s="10">
        <v>46279.611087962963</v>
      </c>
      <c r="P161" s="10"/>
      <c r="Q161" s="1"/>
      <c r="R161" s="8" t="s">
        <v>49</v>
      </c>
      <c r="S16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6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6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6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6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6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6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6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6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6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6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6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6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61" s="12">
        <f ca="1">[1]!Tabel1[[#This Row],[Vægtet Honorar]]*([1]!Tabel1[[#This Row],[Sidst redigeret]]&gt;TODAY()-40)*([1]!Tabel1[[#This Row],[Er i resplan?]]&lt;&gt;"Ja")*([1]!Tabel1[[#This Row],[Status]]="Pågår")</f>
        <v>0</v>
      </c>
      <c r="AG161" s="12">
        <f ca="1">[1]!Tabel1[[#This Row],[Vægtet Honorar]]*([1]!Tabel1[[#This Row],[Sidst redigeret]]&gt;TODAY()-40)*([1]!Tabel1[[#This Row],[Status]]="Pågår")</f>
        <v>0</v>
      </c>
      <c r="AH161" s="13"/>
      <c r="AI161" s="12"/>
      <c r="AJ161" s="12"/>
      <c r="AK161" s="12"/>
      <c r="AL161" s="12"/>
      <c r="AM161" s="12"/>
      <c r="AN161" s="12"/>
      <c r="AO161" s="12"/>
      <c r="AP161" s="12"/>
    </row>
    <row r="162" spans="1:42">
      <c r="A162" t="s">
        <v>492</v>
      </c>
      <c r="B162" s="8"/>
      <c r="C162" s="8" t="s">
        <v>493</v>
      </c>
      <c r="D162" s="8" t="s">
        <v>44</v>
      </c>
      <c r="E162" s="8" t="s">
        <v>71</v>
      </c>
      <c r="F162" s="8"/>
      <c r="G162" s="8"/>
      <c r="H162" s="9"/>
      <c r="I162" s="9">
        <f>[1]!Tabel1[[#This Row],[Honorar]]*[1]!Tabel1[[#This Row],[Sandsynlighed]]</f>
        <v>50000</v>
      </c>
      <c r="J162" s="10"/>
      <c r="K162" s="1"/>
      <c r="L162" s="8" t="s">
        <v>311</v>
      </c>
      <c r="M162" s="11"/>
      <c r="N162" s="1"/>
      <c r="O162" s="10">
        <v>46279.611087962963</v>
      </c>
      <c r="P162" s="10"/>
      <c r="Q162" s="1"/>
      <c r="R162" s="8" t="s">
        <v>49</v>
      </c>
      <c r="S16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6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6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6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6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6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6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6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6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6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6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6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6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62" s="12">
        <f ca="1">[1]!Tabel1[[#This Row],[Vægtet Honorar]]*([1]!Tabel1[[#This Row],[Sidst redigeret]]&gt;TODAY()-40)*([1]!Tabel1[[#This Row],[Er i resplan?]]&lt;&gt;"Ja")*([1]!Tabel1[[#This Row],[Status]]="Pågår")</f>
        <v>0</v>
      </c>
      <c r="AG162" s="12">
        <f ca="1">[1]!Tabel1[[#This Row],[Vægtet Honorar]]*([1]!Tabel1[[#This Row],[Sidst redigeret]]&gt;TODAY()-40)*([1]!Tabel1[[#This Row],[Status]]="Pågår")</f>
        <v>0</v>
      </c>
      <c r="AH162" s="13"/>
      <c r="AI162" s="12"/>
      <c r="AJ162" s="12"/>
      <c r="AK162" s="12"/>
      <c r="AL162" s="12"/>
      <c r="AM162" s="12"/>
      <c r="AN162" s="12"/>
      <c r="AO162" s="12"/>
      <c r="AP162" s="12"/>
    </row>
    <row r="163" spans="1:42">
      <c r="A163" t="s">
        <v>494</v>
      </c>
      <c r="B163" s="8"/>
      <c r="C163" s="8" t="s">
        <v>495</v>
      </c>
      <c r="D163" s="8" t="s">
        <v>44</v>
      </c>
      <c r="E163" s="8" t="s">
        <v>71</v>
      </c>
      <c r="F163" s="8"/>
      <c r="G163" s="8"/>
      <c r="H163" s="9"/>
      <c r="I163" s="9">
        <f>[1]!Tabel1[[#This Row],[Honorar]]*[1]!Tabel1[[#This Row],[Sandsynlighed]]</f>
        <v>0</v>
      </c>
      <c r="J163" s="10"/>
      <c r="K163" s="1"/>
      <c r="L163" s="8" t="s">
        <v>311</v>
      </c>
      <c r="M163" s="11"/>
      <c r="N163" s="1"/>
      <c r="O163" s="10">
        <v>46279.611087962963</v>
      </c>
      <c r="P163" s="10"/>
      <c r="Q163" s="1"/>
      <c r="R163" s="8" t="s">
        <v>49</v>
      </c>
      <c r="S16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6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6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6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6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6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6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6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6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6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6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6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6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63" s="12">
        <f ca="1">[1]!Tabel1[[#This Row],[Vægtet Honorar]]*([1]!Tabel1[[#This Row],[Sidst redigeret]]&gt;TODAY()-40)*([1]!Tabel1[[#This Row],[Er i resplan?]]&lt;&gt;"Ja")*([1]!Tabel1[[#This Row],[Status]]="Pågår")</f>
        <v>0</v>
      </c>
      <c r="AG163" s="12">
        <f ca="1">[1]!Tabel1[[#This Row],[Vægtet Honorar]]*([1]!Tabel1[[#This Row],[Sidst redigeret]]&gt;TODAY()-40)*([1]!Tabel1[[#This Row],[Status]]="Pågår")</f>
        <v>0</v>
      </c>
      <c r="AH163" s="13"/>
      <c r="AI163" s="12"/>
      <c r="AJ163" s="12"/>
      <c r="AK163" s="12"/>
      <c r="AL163" s="12"/>
      <c r="AM163" s="12"/>
      <c r="AN163" s="12"/>
      <c r="AO163" s="12"/>
      <c r="AP163" s="12"/>
    </row>
    <row r="164" spans="1:42">
      <c r="A164" t="s">
        <v>496</v>
      </c>
      <c r="B164" s="8"/>
      <c r="C164" s="8" t="s">
        <v>497</v>
      </c>
      <c r="D164" s="8" t="s">
        <v>158</v>
      </c>
      <c r="E164" s="8"/>
      <c r="F164" s="8"/>
      <c r="G164" s="8"/>
      <c r="H164" s="9"/>
      <c r="I164" s="9">
        <f>[1]!Tabel1[[#This Row],[Honorar]]*[1]!Tabel1[[#This Row],[Sandsynlighed]]</f>
        <v>0</v>
      </c>
      <c r="J164" s="10"/>
      <c r="K164" s="1"/>
      <c r="L164" s="8" t="s">
        <v>498</v>
      </c>
      <c r="M164" s="11"/>
      <c r="N164" s="1"/>
      <c r="O164" s="10">
        <v>46279.611087962963</v>
      </c>
      <c r="P164" s="10"/>
      <c r="Q164" s="1"/>
      <c r="R164" s="8" t="s">
        <v>49</v>
      </c>
      <c r="S16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6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6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6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6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6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6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6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6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6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6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6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6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64" s="12">
        <f ca="1">[1]!Tabel1[[#This Row],[Vægtet Honorar]]*([1]!Tabel1[[#This Row],[Sidst redigeret]]&gt;TODAY()-40)*([1]!Tabel1[[#This Row],[Er i resplan?]]&lt;&gt;"Ja")*([1]!Tabel1[[#This Row],[Status]]="Pågår")</f>
        <v>0</v>
      </c>
      <c r="AG164" s="12">
        <f ca="1">[1]!Tabel1[[#This Row],[Vægtet Honorar]]*([1]!Tabel1[[#This Row],[Sidst redigeret]]&gt;TODAY()-40)*([1]!Tabel1[[#This Row],[Status]]="Pågår")</f>
        <v>0</v>
      </c>
      <c r="AH164" s="13"/>
      <c r="AI164" s="12"/>
      <c r="AJ164" s="12"/>
      <c r="AK164" s="12"/>
      <c r="AL164" s="12"/>
      <c r="AM164" s="12"/>
      <c r="AN164" s="12"/>
      <c r="AO164" s="12"/>
      <c r="AP164" s="12"/>
    </row>
    <row r="165" spans="1:42">
      <c r="A165" t="s">
        <v>496</v>
      </c>
      <c r="B165" s="8"/>
      <c r="C165" s="8" t="s">
        <v>499</v>
      </c>
      <c r="D165" s="8" t="s">
        <v>158</v>
      </c>
      <c r="E165" s="8"/>
      <c r="F165" s="8"/>
      <c r="G165" s="8"/>
      <c r="H165" s="9"/>
      <c r="I165" s="9">
        <f>[1]!Tabel1[[#This Row],[Honorar]]*[1]!Tabel1[[#This Row],[Sandsynlighed]]</f>
        <v>600000</v>
      </c>
      <c r="J165" s="10"/>
      <c r="K165" s="1"/>
      <c r="L165" s="8"/>
      <c r="M165" s="11"/>
      <c r="N165" s="1"/>
      <c r="O165" s="10">
        <v>46279.611087962963</v>
      </c>
      <c r="P165" s="10"/>
      <c r="Q165" s="1"/>
      <c r="R165" s="8" t="s">
        <v>49</v>
      </c>
      <c r="S16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6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6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6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6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6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6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6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6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6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6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6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6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65" s="12">
        <f ca="1">[1]!Tabel1[[#This Row],[Vægtet Honorar]]*([1]!Tabel1[[#This Row],[Sidst redigeret]]&gt;TODAY()-40)*([1]!Tabel1[[#This Row],[Er i resplan?]]&lt;&gt;"Ja")*([1]!Tabel1[[#This Row],[Status]]="Pågår")</f>
        <v>0</v>
      </c>
      <c r="AG165" s="12">
        <f ca="1">[1]!Tabel1[[#This Row],[Vægtet Honorar]]*([1]!Tabel1[[#This Row],[Sidst redigeret]]&gt;TODAY()-40)*([1]!Tabel1[[#This Row],[Status]]="Pågår")</f>
        <v>0</v>
      </c>
      <c r="AH165" s="13"/>
      <c r="AI165" s="12"/>
      <c r="AJ165" s="12"/>
      <c r="AK165" s="12"/>
      <c r="AL165" s="12"/>
      <c r="AM165" s="12"/>
      <c r="AN165" s="12"/>
      <c r="AO165" s="12"/>
      <c r="AP165" s="12"/>
    </row>
    <row r="166" spans="1:42">
      <c r="A166" t="s">
        <v>500</v>
      </c>
      <c r="B166" s="8"/>
      <c r="C166" s="8" t="s">
        <v>501</v>
      </c>
      <c r="D166" s="8" t="s">
        <v>264</v>
      </c>
      <c r="E166" s="8"/>
      <c r="F166" s="8"/>
      <c r="G166" s="8"/>
      <c r="H166" s="9"/>
      <c r="I166" s="9">
        <f>[1]!Tabel1[[#This Row],[Honorar]]*[1]!Tabel1[[#This Row],[Sandsynlighed]]</f>
        <v>0</v>
      </c>
      <c r="J166" s="10"/>
      <c r="K166" s="1"/>
      <c r="L166" s="8"/>
      <c r="M166" s="11">
        <v>1</v>
      </c>
      <c r="N166" s="1"/>
      <c r="O166" s="10">
        <v>46279.611087962963</v>
      </c>
      <c r="P166" s="10"/>
      <c r="Q166" s="1"/>
      <c r="R166" s="8" t="s">
        <v>47</v>
      </c>
      <c r="S16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6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6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6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6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6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6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6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6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6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6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6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6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66" s="12">
        <f ca="1">[1]!Tabel1[[#This Row],[Vægtet Honorar]]*([1]!Tabel1[[#This Row],[Sidst redigeret]]&gt;TODAY()-40)*([1]!Tabel1[[#This Row],[Er i resplan?]]&lt;&gt;"Ja")*([1]!Tabel1[[#This Row],[Status]]="Pågår")</f>
        <v>0</v>
      </c>
      <c r="AG166" s="12">
        <f ca="1">[1]!Tabel1[[#This Row],[Vægtet Honorar]]*([1]!Tabel1[[#This Row],[Sidst redigeret]]&gt;TODAY()-40)*([1]!Tabel1[[#This Row],[Status]]="Pågår")</f>
        <v>0</v>
      </c>
      <c r="AH166" s="13"/>
      <c r="AI166" s="12"/>
      <c r="AJ166" s="12"/>
      <c r="AK166" s="12"/>
      <c r="AL166" s="12"/>
      <c r="AM166" s="12"/>
      <c r="AN166" s="12"/>
      <c r="AO166" s="12"/>
      <c r="AP166" s="12"/>
    </row>
    <row r="167" spans="1:42">
      <c r="A167" t="s">
        <v>502</v>
      </c>
      <c r="B167" s="8"/>
      <c r="C167" s="8" t="s">
        <v>503</v>
      </c>
      <c r="D167" s="8" t="s">
        <v>119</v>
      </c>
      <c r="E167" s="8" t="s">
        <v>120</v>
      </c>
      <c r="F167" s="8"/>
      <c r="G167" s="8"/>
      <c r="H167" s="9"/>
      <c r="I167" s="9">
        <f>[1]!Tabel1[[#This Row],[Honorar]]*[1]!Tabel1[[#This Row],[Sandsynlighed]]</f>
        <v>0</v>
      </c>
      <c r="J167" s="10"/>
      <c r="K167" s="1"/>
      <c r="L167" s="8" t="s">
        <v>472</v>
      </c>
      <c r="M167" s="11">
        <v>1</v>
      </c>
      <c r="N167" s="1"/>
      <c r="O167" s="10">
        <v>46279.611087962963</v>
      </c>
      <c r="P167" s="10"/>
      <c r="Q167" s="1"/>
      <c r="R167" s="8" t="s">
        <v>47</v>
      </c>
      <c r="S16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6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6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6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6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6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6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6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6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6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6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6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6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67" s="12">
        <f ca="1">[1]!Tabel1[[#This Row],[Vægtet Honorar]]*([1]!Tabel1[[#This Row],[Sidst redigeret]]&gt;TODAY()-40)*([1]!Tabel1[[#This Row],[Er i resplan?]]&lt;&gt;"Ja")*([1]!Tabel1[[#This Row],[Status]]="Pågår")</f>
        <v>0</v>
      </c>
      <c r="AG167" s="12">
        <f ca="1">[1]!Tabel1[[#This Row],[Vægtet Honorar]]*([1]!Tabel1[[#This Row],[Sidst redigeret]]&gt;TODAY()-40)*([1]!Tabel1[[#This Row],[Status]]="Pågår")</f>
        <v>0</v>
      </c>
      <c r="AH167" s="13"/>
      <c r="AI167" s="12"/>
      <c r="AJ167" s="12"/>
      <c r="AK167" s="12"/>
      <c r="AL167" s="12"/>
      <c r="AM167" s="12"/>
      <c r="AN167" s="12"/>
      <c r="AO167" s="12"/>
      <c r="AP167" s="12"/>
    </row>
    <row r="168" spans="1:42">
      <c r="A168" t="s">
        <v>504</v>
      </c>
      <c r="B168" s="8"/>
      <c r="C168" s="8" t="s">
        <v>505</v>
      </c>
      <c r="D168" s="8" t="s">
        <v>119</v>
      </c>
      <c r="E168" s="8" t="s">
        <v>120</v>
      </c>
      <c r="F168" s="8"/>
      <c r="G168" s="8"/>
      <c r="H168" s="9"/>
      <c r="I168" s="9">
        <f>[1]!Tabel1[[#This Row],[Honorar]]*[1]!Tabel1[[#This Row],[Sandsynlighed]]</f>
        <v>0</v>
      </c>
      <c r="J168" s="10"/>
      <c r="K168" s="1"/>
      <c r="L168" s="8" t="s">
        <v>465</v>
      </c>
      <c r="M168" s="11">
        <v>0</v>
      </c>
      <c r="N168" s="1"/>
      <c r="O168" s="10">
        <v>46279.611087962963</v>
      </c>
      <c r="P168" s="10"/>
      <c r="Q168" s="1"/>
      <c r="R168" s="8" t="s">
        <v>75</v>
      </c>
      <c r="S16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6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6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6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6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6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6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6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6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6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6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6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6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68" s="12">
        <f ca="1">[1]!Tabel1[[#This Row],[Vægtet Honorar]]*([1]!Tabel1[[#This Row],[Sidst redigeret]]&gt;TODAY()-40)*([1]!Tabel1[[#This Row],[Er i resplan?]]&lt;&gt;"Ja")*([1]!Tabel1[[#This Row],[Status]]="Pågår")</f>
        <v>0</v>
      </c>
      <c r="AG168" s="12">
        <f ca="1">[1]!Tabel1[[#This Row],[Vægtet Honorar]]*([1]!Tabel1[[#This Row],[Sidst redigeret]]&gt;TODAY()-40)*([1]!Tabel1[[#This Row],[Status]]="Pågår")</f>
        <v>0</v>
      </c>
      <c r="AH168" s="13"/>
      <c r="AI168" s="12"/>
      <c r="AJ168" s="12"/>
      <c r="AK168" s="12"/>
      <c r="AL168" s="12"/>
      <c r="AM168" s="12"/>
      <c r="AN168" s="12"/>
      <c r="AO168" s="12"/>
      <c r="AP168" s="12"/>
    </row>
    <row r="169" spans="1:42">
      <c r="A169" t="s">
        <v>506</v>
      </c>
      <c r="B169" s="8"/>
      <c r="C169" s="8" t="s">
        <v>507</v>
      </c>
      <c r="D169" s="8" t="s">
        <v>119</v>
      </c>
      <c r="E169" s="8" t="s">
        <v>120</v>
      </c>
      <c r="F169" s="8"/>
      <c r="G169" s="8"/>
      <c r="H169" s="9"/>
      <c r="I169" s="9">
        <f>[1]!Tabel1[[#This Row],[Honorar]]*[1]!Tabel1[[#This Row],[Sandsynlighed]]</f>
        <v>0</v>
      </c>
      <c r="J169" s="10"/>
      <c r="K169" s="1"/>
      <c r="L169" s="8" t="s">
        <v>508</v>
      </c>
      <c r="M169" s="11"/>
      <c r="N169" s="1"/>
      <c r="O169" s="10">
        <v>46279.611087962963</v>
      </c>
      <c r="P169" s="10"/>
      <c r="Q169" s="1"/>
      <c r="R169" s="8" t="s">
        <v>49</v>
      </c>
      <c r="S16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6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6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6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6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6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6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6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6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6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6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6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6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69" s="12">
        <f ca="1">[1]!Tabel1[[#This Row],[Vægtet Honorar]]*([1]!Tabel1[[#This Row],[Sidst redigeret]]&gt;TODAY()-40)*([1]!Tabel1[[#This Row],[Er i resplan?]]&lt;&gt;"Ja")*([1]!Tabel1[[#This Row],[Status]]="Pågår")</f>
        <v>0</v>
      </c>
      <c r="AG169" s="12">
        <f ca="1">[1]!Tabel1[[#This Row],[Vægtet Honorar]]*([1]!Tabel1[[#This Row],[Sidst redigeret]]&gt;TODAY()-40)*([1]!Tabel1[[#This Row],[Status]]="Pågår")</f>
        <v>0</v>
      </c>
      <c r="AH169" s="13"/>
      <c r="AI169" s="12"/>
      <c r="AJ169" s="12"/>
      <c r="AK169" s="12"/>
      <c r="AL169" s="12"/>
      <c r="AM169" s="12"/>
      <c r="AN169" s="12"/>
      <c r="AO169" s="12"/>
      <c r="AP169" s="12"/>
    </row>
    <row r="170" spans="1:42">
      <c r="A170" t="s">
        <v>509</v>
      </c>
      <c r="B170" s="8"/>
      <c r="C170" s="8" t="s">
        <v>510</v>
      </c>
      <c r="D170" s="8" t="s">
        <v>511</v>
      </c>
      <c r="E170" s="8"/>
      <c r="F170" s="8"/>
      <c r="G170" s="8"/>
      <c r="H170" s="9"/>
      <c r="I170" s="9">
        <f>[1]!Tabel1[[#This Row],[Honorar]]*[1]!Tabel1[[#This Row],[Sandsynlighed]]</f>
        <v>0</v>
      </c>
      <c r="J170" s="10"/>
      <c r="K170" s="1"/>
      <c r="L170" s="8"/>
      <c r="M170" s="11"/>
      <c r="N170" s="1"/>
      <c r="O170" s="10">
        <v>46279.611087962963</v>
      </c>
      <c r="P170" s="10"/>
      <c r="Q170" s="1"/>
      <c r="R170" s="8" t="s">
        <v>49</v>
      </c>
      <c r="S17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7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7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7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7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7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7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7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7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7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7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7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7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70" s="12">
        <f ca="1">[1]!Tabel1[[#This Row],[Vægtet Honorar]]*([1]!Tabel1[[#This Row],[Sidst redigeret]]&gt;TODAY()-40)*([1]!Tabel1[[#This Row],[Er i resplan?]]&lt;&gt;"Ja")*([1]!Tabel1[[#This Row],[Status]]="Pågår")</f>
        <v>0</v>
      </c>
      <c r="AG170" s="12">
        <f ca="1">[1]!Tabel1[[#This Row],[Vægtet Honorar]]*([1]!Tabel1[[#This Row],[Sidst redigeret]]&gt;TODAY()-40)*([1]!Tabel1[[#This Row],[Status]]="Pågår")</f>
        <v>0</v>
      </c>
      <c r="AH170" s="13"/>
      <c r="AI170" s="12"/>
      <c r="AJ170" s="12"/>
      <c r="AK170" s="12"/>
      <c r="AL170" s="12"/>
      <c r="AM170" s="12"/>
      <c r="AN170" s="12"/>
      <c r="AO170" s="12"/>
      <c r="AP170" s="12"/>
    </row>
    <row r="171" spans="1:42">
      <c r="A171" t="s">
        <v>512</v>
      </c>
      <c r="B171" s="8"/>
      <c r="C171" s="8" t="s">
        <v>513</v>
      </c>
      <c r="D171" s="8" t="s">
        <v>246</v>
      </c>
      <c r="E171" s="8"/>
      <c r="F171" s="8"/>
      <c r="G171" s="8"/>
      <c r="H171" s="9"/>
      <c r="I171" s="9">
        <f>[1]!Tabel1[[#This Row],[Honorar]]*[1]!Tabel1[[#This Row],[Sandsynlighed]]</f>
        <v>0</v>
      </c>
      <c r="J171" s="10"/>
      <c r="K171" s="1"/>
      <c r="L171" s="8"/>
      <c r="M171" s="11"/>
      <c r="N171" s="1"/>
      <c r="O171" s="10">
        <v>46279.611087962963</v>
      </c>
      <c r="P171" s="10"/>
      <c r="Q171" s="1"/>
      <c r="R171" s="8" t="s">
        <v>49</v>
      </c>
      <c r="S17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7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7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7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7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7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7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7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7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7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7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7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7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71" s="12">
        <f ca="1">[1]!Tabel1[[#This Row],[Vægtet Honorar]]*([1]!Tabel1[[#This Row],[Sidst redigeret]]&gt;TODAY()-40)*([1]!Tabel1[[#This Row],[Er i resplan?]]&lt;&gt;"Ja")*([1]!Tabel1[[#This Row],[Status]]="Pågår")</f>
        <v>0</v>
      </c>
      <c r="AG171" s="12">
        <f ca="1">[1]!Tabel1[[#This Row],[Vægtet Honorar]]*([1]!Tabel1[[#This Row],[Sidst redigeret]]&gt;TODAY()-40)*([1]!Tabel1[[#This Row],[Status]]="Pågår")</f>
        <v>0</v>
      </c>
      <c r="AH171" s="13"/>
      <c r="AI171" s="12"/>
      <c r="AJ171" s="12"/>
      <c r="AK171" s="12"/>
      <c r="AL171" s="12"/>
      <c r="AM171" s="12"/>
      <c r="AN171" s="12"/>
      <c r="AO171" s="12"/>
      <c r="AP171" s="12"/>
    </row>
    <row r="172" spans="1:42">
      <c r="A172" t="s">
        <v>514</v>
      </c>
      <c r="B172" s="8"/>
      <c r="C172" s="8" t="s">
        <v>515</v>
      </c>
      <c r="D172" s="8" t="s">
        <v>516</v>
      </c>
      <c r="E172" s="8"/>
      <c r="F172" s="8"/>
      <c r="G172" s="8"/>
      <c r="H172" s="9"/>
      <c r="I172" s="9">
        <f>[1]!Tabel1[[#This Row],[Honorar]]*[1]!Tabel1[[#This Row],[Sandsynlighed]]</f>
        <v>0</v>
      </c>
      <c r="J172" s="10"/>
      <c r="K172" s="1"/>
      <c r="L172" s="8"/>
      <c r="M172" s="11"/>
      <c r="N172" s="1"/>
      <c r="O172" s="10">
        <v>46279.611087962963</v>
      </c>
      <c r="P172" s="10"/>
      <c r="Q172" s="1"/>
      <c r="R172" s="8" t="s">
        <v>49</v>
      </c>
      <c r="S17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7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7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7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7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7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7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7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7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7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7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7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7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72" s="12">
        <f ca="1">[1]!Tabel1[[#This Row],[Vægtet Honorar]]*([1]!Tabel1[[#This Row],[Sidst redigeret]]&gt;TODAY()-40)*([1]!Tabel1[[#This Row],[Er i resplan?]]&lt;&gt;"Ja")*([1]!Tabel1[[#This Row],[Status]]="Pågår")</f>
        <v>0</v>
      </c>
      <c r="AG172" s="12">
        <f ca="1">[1]!Tabel1[[#This Row],[Vægtet Honorar]]*([1]!Tabel1[[#This Row],[Sidst redigeret]]&gt;TODAY()-40)*([1]!Tabel1[[#This Row],[Status]]="Pågår")</f>
        <v>0</v>
      </c>
      <c r="AH172" s="13"/>
      <c r="AI172" s="12"/>
      <c r="AJ172" s="12"/>
      <c r="AK172" s="12"/>
      <c r="AL172" s="12"/>
      <c r="AM172" s="12"/>
      <c r="AN172" s="12"/>
      <c r="AO172" s="12"/>
      <c r="AP172" s="12"/>
    </row>
    <row r="173" spans="1:42">
      <c r="A173" t="s">
        <v>517</v>
      </c>
      <c r="B173" s="8"/>
      <c r="C173" s="8" t="s">
        <v>518</v>
      </c>
      <c r="D173" s="8" t="s">
        <v>200</v>
      </c>
      <c r="E173" s="8" t="s">
        <v>120</v>
      </c>
      <c r="F173" s="8"/>
      <c r="G173" s="8"/>
      <c r="H173" s="9"/>
      <c r="I173" s="9">
        <f>[1]!Tabel1[[#This Row],[Honorar]]*[1]!Tabel1[[#This Row],[Sandsynlighed]]</f>
        <v>0</v>
      </c>
      <c r="J173" s="10"/>
      <c r="K173" s="1"/>
      <c r="L173" s="8" t="s">
        <v>519</v>
      </c>
      <c r="M173" s="11">
        <v>0</v>
      </c>
      <c r="N173" s="1"/>
      <c r="O173" s="10">
        <v>46279.611087962963</v>
      </c>
      <c r="P173" s="10"/>
      <c r="Q173" s="1"/>
      <c r="R173" s="8" t="s">
        <v>75</v>
      </c>
      <c r="S17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7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7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7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7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7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7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7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7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7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7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7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7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73" s="12">
        <f ca="1">[1]!Tabel1[[#This Row],[Vægtet Honorar]]*([1]!Tabel1[[#This Row],[Sidst redigeret]]&gt;TODAY()-40)*([1]!Tabel1[[#This Row],[Er i resplan?]]&lt;&gt;"Ja")*([1]!Tabel1[[#This Row],[Status]]="Pågår")</f>
        <v>0</v>
      </c>
      <c r="AG173" s="12">
        <f ca="1">[1]!Tabel1[[#This Row],[Vægtet Honorar]]*([1]!Tabel1[[#This Row],[Sidst redigeret]]&gt;TODAY()-40)*([1]!Tabel1[[#This Row],[Status]]="Pågår")</f>
        <v>0</v>
      </c>
      <c r="AH173" s="13"/>
      <c r="AI173" s="12"/>
      <c r="AJ173" s="12"/>
      <c r="AK173" s="12"/>
      <c r="AL173" s="12"/>
      <c r="AM173" s="12"/>
      <c r="AN173" s="12"/>
      <c r="AO173" s="12"/>
      <c r="AP173" s="12"/>
    </row>
    <row r="174" spans="1:42">
      <c r="A174" t="s">
        <v>520</v>
      </c>
      <c r="B174" s="8"/>
      <c r="C174" s="8" t="s">
        <v>521</v>
      </c>
      <c r="D174" s="8" t="s">
        <v>200</v>
      </c>
      <c r="E174" s="8" t="s">
        <v>120</v>
      </c>
      <c r="F174" s="8"/>
      <c r="G174" s="8"/>
      <c r="H174" s="9"/>
      <c r="I174" s="9">
        <f>[1]!Tabel1[[#This Row],[Honorar]]*[1]!Tabel1[[#This Row],[Sandsynlighed]]</f>
        <v>0</v>
      </c>
      <c r="J174" s="10"/>
      <c r="K174" s="1"/>
      <c r="L174" s="8" t="s">
        <v>519</v>
      </c>
      <c r="M174" s="11">
        <v>0</v>
      </c>
      <c r="N174" s="1"/>
      <c r="O174" s="10">
        <v>46279.611087962963</v>
      </c>
      <c r="P174" s="10"/>
      <c r="Q174" s="1"/>
      <c r="R174" s="8" t="s">
        <v>75</v>
      </c>
      <c r="S17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7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7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7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7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7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7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7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7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7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7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7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7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74" s="12">
        <f ca="1">[1]!Tabel1[[#This Row],[Vægtet Honorar]]*([1]!Tabel1[[#This Row],[Sidst redigeret]]&gt;TODAY()-40)*([1]!Tabel1[[#This Row],[Er i resplan?]]&lt;&gt;"Ja")*([1]!Tabel1[[#This Row],[Status]]="Pågår")</f>
        <v>0</v>
      </c>
      <c r="AG174" s="12">
        <f ca="1">[1]!Tabel1[[#This Row],[Vægtet Honorar]]*([1]!Tabel1[[#This Row],[Sidst redigeret]]&gt;TODAY()-40)*([1]!Tabel1[[#This Row],[Status]]="Pågår")</f>
        <v>0</v>
      </c>
      <c r="AH174" s="13"/>
      <c r="AI174" s="12"/>
      <c r="AJ174" s="12"/>
      <c r="AK174" s="12"/>
      <c r="AL174" s="12"/>
      <c r="AM174" s="12"/>
      <c r="AN174" s="12"/>
      <c r="AO174" s="12"/>
      <c r="AP174" s="12"/>
    </row>
    <row r="175" spans="1:42">
      <c r="A175" t="s">
        <v>522</v>
      </c>
      <c r="B175" s="8"/>
      <c r="C175" s="8" t="s">
        <v>523</v>
      </c>
      <c r="D175" s="8" t="s">
        <v>524</v>
      </c>
      <c r="E175" s="8"/>
      <c r="F175" s="8"/>
      <c r="G175" s="8"/>
      <c r="H175" s="9"/>
      <c r="I175" s="9">
        <f>[1]!Tabel1[[#This Row],[Honorar]]*[1]!Tabel1[[#This Row],[Sandsynlighed]]</f>
        <v>0</v>
      </c>
      <c r="J175" s="10"/>
      <c r="K175" s="1"/>
      <c r="L175" s="8"/>
      <c r="M175" s="11"/>
      <c r="N175" s="1"/>
      <c r="O175" s="10">
        <v>46279.611087962963</v>
      </c>
      <c r="P175" s="10"/>
      <c r="Q175" s="1"/>
      <c r="R175" s="8" t="s">
        <v>49</v>
      </c>
      <c r="S17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7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7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7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7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7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7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7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7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7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7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7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7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75" s="12">
        <f ca="1">[1]!Tabel1[[#This Row],[Vægtet Honorar]]*([1]!Tabel1[[#This Row],[Sidst redigeret]]&gt;TODAY()-40)*([1]!Tabel1[[#This Row],[Er i resplan?]]&lt;&gt;"Ja")*([1]!Tabel1[[#This Row],[Status]]="Pågår")</f>
        <v>0</v>
      </c>
      <c r="AG175" s="12">
        <f ca="1">[1]!Tabel1[[#This Row],[Vægtet Honorar]]*([1]!Tabel1[[#This Row],[Sidst redigeret]]&gt;TODAY()-40)*([1]!Tabel1[[#This Row],[Status]]="Pågår")</f>
        <v>0</v>
      </c>
      <c r="AH175" s="13"/>
      <c r="AI175" s="12"/>
      <c r="AJ175" s="12"/>
      <c r="AK175" s="12"/>
      <c r="AL175" s="12"/>
      <c r="AM175" s="12"/>
      <c r="AN175" s="12"/>
      <c r="AO175" s="12"/>
      <c r="AP175" s="12"/>
    </row>
    <row r="176" spans="1:42">
      <c r="A176" t="s">
        <v>525</v>
      </c>
      <c r="B176" s="8"/>
      <c r="C176" s="8" t="s">
        <v>526</v>
      </c>
      <c r="D176" s="8" t="s">
        <v>44</v>
      </c>
      <c r="E176" s="8" t="s">
        <v>94</v>
      </c>
      <c r="F176" s="8" t="s">
        <v>527</v>
      </c>
      <c r="G176" s="8" t="s">
        <v>527</v>
      </c>
      <c r="H176" s="9"/>
      <c r="I176" s="9">
        <f>[1]!Tabel1[[#This Row],[Honorar]]*[1]!Tabel1[[#This Row],[Sandsynlighed]]</f>
        <v>0</v>
      </c>
      <c r="J176" s="10" t="s">
        <v>528</v>
      </c>
      <c r="K176" s="1" t="s">
        <v>529</v>
      </c>
      <c r="L176" s="8" t="s">
        <v>530</v>
      </c>
      <c r="M176" s="11">
        <v>1</v>
      </c>
      <c r="N176" s="1"/>
      <c r="O176" s="10">
        <v>46279.611087962963</v>
      </c>
      <c r="P176" s="1" t="s">
        <v>72</v>
      </c>
      <c r="Q176" s="1" t="s">
        <v>46</v>
      </c>
      <c r="R176" s="8" t="s">
        <v>47</v>
      </c>
      <c r="S17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7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7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7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7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7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7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7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7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7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7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7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7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76" s="12">
        <f ca="1">[1]!Tabel1[[#This Row],[Vægtet Honorar]]*([1]!Tabel1[[#This Row],[Sidst redigeret]]&gt;TODAY()-40)*([1]!Tabel1[[#This Row],[Er i resplan?]]&lt;&gt;"Ja")*([1]!Tabel1[[#This Row],[Status]]="Pågår")</f>
        <v>0</v>
      </c>
      <c r="AG176" s="12">
        <f ca="1">[1]!Tabel1[[#This Row],[Vægtet Honorar]]*([1]!Tabel1[[#This Row],[Sidst redigeret]]&gt;TODAY()-40)*([1]!Tabel1[[#This Row],[Status]]="Pågår")</f>
        <v>0</v>
      </c>
      <c r="AH176" s="13"/>
      <c r="AI176" s="12"/>
      <c r="AJ176" s="12"/>
      <c r="AK176" s="12"/>
      <c r="AL176" s="12"/>
      <c r="AM176" s="12"/>
      <c r="AN176" s="12"/>
      <c r="AO176" s="12"/>
      <c r="AP176" s="12"/>
    </row>
    <row r="177" spans="1:42">
      <c r="A177" t="s">
        <v>531</v>
      </c>
      <c r="B177" s="8"/>
      <c r="C177" s="8" t="s">
        <v>532</v>
      </c>
      <c r="D177" s="8" t="s">
        <v>200</v>
      </c>
      <c r="E177" s="8"/>
      <c r="F177" s="8"/>
      <c r="G177" s="8"/>
      <c r="H177" s="9"/>
      <c r="I177" s="9">
        <f>[1]!Tabel1[[#This Row],[Honorar]]*[1]!Tabel1[[#This Row],[Sandsynlighed]]</f>
        <v>0</v>
      </c>
      <c r="J177" s="10"/>
      <c r="K177" s="1"/>
      <c r="L177" s="8" t="s">
        <v>533</v>
      </c>
      <c r="M177" s="11"/>
      <c r="N177" s="1"/>
      <c r="O177" s="10">
        <v>46279.611087962963</v>
      </c>
      <c r="P177" s="10"/>
      <c r="Q177" s="1"/>
      <c r="R177" s="8" t="s">
        <v>49</v>
      </c>
      <c r="S17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7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7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7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7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7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7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7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7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7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7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7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7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77" s="12">
        <f ca="1">[1]!Tabel1[[#This Row],[Vægtet Honorar]]*([1]!Tabel1[[#This Row],[Sidst redigeret]]&gt;TODAY()-40)*([1]!Tabel1[[#This Row],[Er i resplan?]]&lt;&gt;"Ja")*([1]!Tabel1[[#This Row],[Status]]="Pågår")</f>
        <v>0</v>
      </c>
      <c r="AG177" s="12">
        <f ca="1">[1]!Tabel1[[#This Row],[Vægtet Honorar]]*([1]!Tabel1[[#This Row],[Sidst redigeret]]&gt;TODAY()-40)*([1]!Tabel1[[#This Row],[Status]]="Pågår")</f>
        <v>0</v>
      </c>
      <c r="AH177" s="13"/>
      <c r="AI177" s="12"/>
      <c r="AJ177" s="12"/>
      <c r="AK177" s="12"/>
      <c r="AL177" s="12"/>
      <c r="AM177" s="12"/>
      <c r="AN177" s="12"/>
      <c r="AO177" s="12"/>
      <c r="AP177" s="12"/>
    </row>
    <row r="178" spans="1:42">
      <c r="A178" t="s">
        <v>534</v>
      </c>
      <c r="B178" s="8"/>
      <c r="C178" s="8" t="s">
        <v>535</v>
      </c>
      <c r="D178" s="8" t="s">
        <v>44</v>
      </c>
      <c r="E178" s="8" t="s">
        <v>71</v>
      </c>
      <c r="F178" s="8" t="s">
        <v>535</v>
      </c>
      <c r="G178" s="8" t="s">
        <v>536</v>
      </c>
      <c r="H178" s="9">
        <v>3500000</v>
      </c>
      <c r="I178" s="9">
        <f>[1]!Tabel1[[#This Row],[Honorar]]*[1]!Tabel1[[#This Row],[Sandsynlighed]]</f>
        <v>0</v>
      </c>
      <c r="J178" s="10" t="s">
        <v>529</v>
      </c>
      <c r="K178" s="1" t="s">
        <v>537</v>
      </c>
      <c r="L178" s="8" t="s">
        <v>538</v>
      </c>
      <c r="M178" s="11">
        <v>0</v>
      </c>
      <c r="N178" s="1"/>
      <c r="O178" s="10">
        <v>46279.611087962963</v>
      </c>
      <c r="P178" s="10"/>
      <c r="Q178" s="1" t="s">
        <v>46</v>
      </c>
      <c r="R178" s="8" t="s">
        <v>75</v>
      </c>
      <c r="S17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7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7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7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7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7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7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7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7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7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7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7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7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78" s="12">
        <f ca="1">[1]!Tabel1[[#This Row],[Vægtet Honorar]]*([1]!Tabel1[[#This Row],[Sidst redigeret]]&gt;TODAY()-40)*([1]!Tabel1[[#This Row],[Er i resplan?]]&lt;&gt;"Ja")*([1]!Tabel1[[#This Row],[Status]]="Pågår")</f>
        <v>0</v>
      </c>
      <c r="AG178" s="12">
        <f ca="1">[1]!Tabel1[[#This Row],[Vægtet Honorar]]*([1]!Tabel1[[#This Row],[Sidst redigeret]]&gt;TODAY()-40)*([1]!Tabel1[[#This Row],[Status]]="Pågår")</f>
        <v>0</v>
      </c>
      <c r="AH178" s="13"/>
      <c r="AI178" s="12" t="s">
        <v>443</v>
      </c>
      <c r="AJ178" s="12" t="s">
        <v>384</v>
      </c>
      <c r="AK178" s="12" t="s">
        <v>539</v>
      </c>
      <c r="AL178" s="12" t="s">
        <v>443</v>
      </c>
      <c r="AM178" s="12"/>
      <c r="AN178" s="12" t="s">
        <v>540</v>
      </c>
      <c r="AO178" s="12" t="s">
        <v>443</v>
      </c>
      <c r="AP178" s="12" t="s">
        <v>443</v>
      </c>
    </row>
    <row r="179" spans="1:42">
      <c r="A179" t="s">
        <v>541</v>
      </c>
      <c r="B179" s="8"/>
      <c r="C179" s="8" t="s">
        <v>542</v>
      </c>
      <c r="D179" s="8" t="s">
        <v>44</v>
      </c>
      <c r="E179" s="8" t="s">
        <v>71</v>
      </c>
      <c r="F179" s="8" t="s">
        <v>543</v>
      </c>
      <c r="G179" s="8" t="s">
        <v>543</v>
      </c>
      <c r="H179" s="9">
        <v>3000000</v>
      </c>
      <c r="I179" s="9">
        <f>[1]!Tabel1[[#This Row],[Honorar]]*[1]!Tabel1[[#This Row],[Sandsynlighed]]</f>
        <v>0</v>
      </c>
      <c r="J179" s="10" t="s">
        <v>544</v>
      </c>
      <c r="K179" s="1" t="s">
        <v>484</v>
      </c>
      <c r="L179" s="8"/>
      <c r="M179" s="11">
        <v>0</v>
      </c>
      <c r="N179" s="1"/>
      <c r="O179" s="10">
        <v>46279.611087962963</v>
      </c>
      <c r="P179" s="10"/>
      <c r="Q179" s="1" t="s">
        <v>46</v>
      </c>
      <c r="R179" s="8" t="s">
        <v>75</v>
      </c>
      <c r="S17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7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7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7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7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7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7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7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7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7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7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7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7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79" s="12">
        <f ca="1">[1]!Tabel1[[#This Row],[Vægtet Honorar]]*([1]!Tabel1[[#This Row],[Sidst redigeret]]&gt;TODAY()-40)*([1]!Tabel1[[#This Row],[Er i resplan?]]&lt;&gt;"Ja")*([1]!Tabel1[[#This Row],[Status]]="Pågår")</f>
        <v>0</v>
      </c>
      <c r="AG179" s="12">
        <f ca="1">[1]!Tabel1[[#This Row],[Vægtet Honorar]]*([1]!Tabel1[[#This Row],[Sidst redigeret]]&gt;TODAY()-40)*([1]!Tabel1[[#This Row],[Status]]="Pågår")</f>
        <v>0</v>
      </c>
      <c r="AH179" s="13"/>
      <c r="AI179" s="12"/>
      <c r="AJ179" s="12"/>
      <c r="AK179" s="12"/>
      <c r="AL179" s="12"/>
      <c r="AM179" s="12"/>
      <c r="AN179" s="12"/>
      <c r="AO179" s="12"/>
      <c r="AP179" s="12"/>
    </row>
    <row r="180" spans="1:42">
      <c r="A180" t="s">
        <v>545</v>
      </c>
      <c r="B180" s="8"/>
      <c r="C180" s="8" t="s">
        <v>546</v>
      </c>
      <c r="D180" s="8" t="s">
        <v>44</v>
      </c>
      <c r="E180" s="8" t="s">
        <v>71</v>
      </c>
      <c r="F180" s="8" t="s">
        <v>547</v>
      </c>
      <c r="G180" s="8" t="s">
        <v>548</v>
      </c>
      <c r="H180" s="9">
        <v>1800000</v>
      </c>
      <c r="I180" s="9">
        <f>[1]!Tabel1[[#This Row],[Honorar]]*[1]!Tabel1[[#This Row],[Sandsynlighed]]</f>
        <v>0</v>
      </c>
      <c r="J180" s="10"/>
      <c r="K180" s="1"/>
      <c r="L180" s="8" t="s">
        <v>472</v>
      </c>
      <c r="M180" s="11">
        <v>0</v>
      </c>
      <c r="N180" s="1"/>
      <c r="O180" s="10">
        <v>46279.611087962963</v>
      </c>
      <c r="P180" s="10"/>
      <c r="Q180" s="1" t="s">
        <v>46</v>
      </c>
      <c r="R180" s="8" t="s">
        <v>75</v>
      </c>
      <c r="S18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8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8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8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8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8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8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8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8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8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8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8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8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80" s="12">
        <f ca="1">[1]!Tabel1[[#This Row],[Vægtet Honorar]]*([1]!Tabel1[[#This Row],[Sidst redigeret]]&gt;TODAY()-40)*([1]!Tabel1[[#This Row],[Er i resplan?]]&lt;&gt;"Ja")*([1]!Tabel1[[#This Row],[Status]]="Pågår")</f>
        <v>0</v>
      </c>
      <c r="AG180" s="12">
        <f ca="1">[1]!Tabel1[[#This Row],[Vægtet Honorar]]*([1]!Tabel1[[#This Row],[Sidst redigeret]]&gt;TODAY()-40)*([1]!Tabel1[[#This Row],[Status]]="Pågår")</f>
        <v>0</v>
      </c>
      <c r="AH180" s="13"/>
      <c r="AI180" s="12"/>
      <c r="AJ180" s="12"/>
      <c r="AK180" s="12"/>
      <c r="AL180" s="12"/>
      <c r="AM180" s="12"/>
      <c r="AN180" s="12"/>
      <c r="AO180" s="12"/>
      <c r="AP180" s="12"/>
    </row>
    <row r="181" spans="1:42">
      <c r="A181" t="s">
        <v>549</v>
      </c>
      <c r="B181" s="8"/>
      <c r="C181" s="8" t="s">
        <v>550</v>
      </c>
      <c r="D181" s="8" t="s">
        <v>44</v>
      </c>
      <c r="E181" s="8" t="s">
        <v>71</v>
      </c>
      <c r="F181" s="8" t="s">
        <v>547</v>
      </c>
      <c r="G181" s="8" t="s">
        <v>548</v>
      </c>
      <c r="H181" s="9">
        <v>1200000</v>
      </c>
      <c r="I181" s="9">
        <f>[1]!Tabel1[[#This Row],[Honorar]]*[1]!Tabel1[[#This Row],[Sandsynlighed]]</f>
        <v>0</v>
      </c>
      <c r="J181" s="10"/>
      <c r="K181" s="1"/>
      <c r="L181" s="8" t="s">
        <v>472</v>
      </c>
      <c r="M181" s="11">
        <v>0.33</v>
      </c>
      <c r="N181" s="1"/>
      <c r="O181" s="10">
        <v>46279.611087962963</v>
      </c>
      <c r="P181" s="10"/>
      <c r="Q181" s="1" t="s">
        <v>46</v>
      </c>
      <c r="R181" s="8" t="s">
        <v>75</v>
      </c>
      <c r="S18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8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8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8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8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8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8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8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8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8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8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8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8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81" s="12">
        <f ca="1">[1]!Tabel1[[#This Row],[Vægtet Honorar]]*([1]!Tabel1[[#This Row],[Sidst redigeret]]&gt;TODAY()-40)*([1]!Tabel1[[#This Row],[Er i resplan?]]&lt;&gt;"Ja")*([1]!Tabel1[[#This Row],[Status]]="Pågår")</f>
        <v>0</v>
      </c>
      <c r="AG181" s="12">
        <f ca="1">[1]!Tabel1[[#This Row],[Vægtet Honorar]]*([1]!Tabel1[[#This Row],[Sidst redigeret]]&gt;TODAY()-40)*([1]!Tabel1[[#This Row],[Status]]="Pågår")</f>
        <v>0</v>
      </c>
      <c r="AH181" s="13"/>
      <c r="AI181" s="12"/>
      <c r="AJ181" s="12"/>
      <c r="AK181" s="12"/>
      <c r="AL181" s="12"/>
      <c r="AM181" s="12"/>
      <c r="AN181" s="12"/>
      <c r="AO181" s="12"/>
      <c r="AP181" s="12"/>
    </row>
    <row r="182" spans="1:42">
      <c r="A182" t="s">
        <v>551</v>
      </c>
      <c r="B182" s="8"/>
      <c r="C182" s="8" t="s">
        <v>552</v>
      </c>
      <c r="D182" s="8" t="s">
        <v>197</v>
      </c>
      <c r="E182" s="8" t="s">
        <v>167</v>
      </c>
      <c r="F182" s="8"/>
      <c r="G182" s="8"/>
      <c r="H182" s="9"/>
      <c r="I182" s="9">
        <v>100000</v>
      </c>
      <c r="J182" s="10"/>
      <c r="K182" s="1"/>
      <c r="L182" s="8" t="s">
        <v>553</v>
      </c>
      <c r="M182" s="11">
        <v>1</v>
      </c>
      <c r="N182" s="1"/>
      <c r="O182" s="10">
        <v>46279.611087962963</v>
      </c>
      <c r="P182" s="10"/>
      <c r="Q182" s="1"/>
      <c r="R182" s="8" t="s">
        <v>47</v>
      </c>
      <c r="S18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8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8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8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8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8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8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8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8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8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8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8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8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82" s="12">
        <f ca="1">[1]!Tabel1[[#This Row],[Vægtet Honorar]]*([1]!Tabel1[[#This Row],[Sidst redigeret]]&gt;TODAY()-40)*([1]!Tabel1[[#This Row],[Er i resplan?]]&lt;&gt;"Ja")*([1]!Tabel1[[#This Row],[Status]]="Pågår")</f>
        <v>0</v>
      </c>
      <c r="AG182" s="12">
        <f ca="1">[1]!Tabel1[[#This Row],[Vægtet Honorar]]*([1]!Tabel1[[#This Row],[Sidst redigeret]]&gt;TODAY()-40)*([1]!Tabel1[[#This Row],[Status]]="Pågår")</f>
        <v>0</v>
      </c>
      <c r="AH182" s="13"/>
      <c r="AI182" s="12"/>
      <c r="AJ182" s="12"/>
      <c r="AK182" s="12"/>
      <c r="AL182" s="12"/>
      <c r="AM182" s="12"/>
      <c r="AN182" s="12"/>
      <c r="AO182" s="12"/>
      <c r="AP182" s="12"/>
    </row>
    <row r="183" spans="1:42">
      <c r="A183" t="s">
        <v>554</v>
      </c>
      <c r="B183" s="8"/>
      <c r="C183" s="8" t="s">
        <v>555</v>
      </c>
      <c r="D183" s="8" t="s">
        <v>134</v>
      </c>
      <c r="E183" s="8"/>
      <c r="F183" s="8"/>
      <c r="G183" s="8"/>
      <c r="H183" s="9"/>
      <c r="I183" s="9">
        <f>[1]!Tabel1[[#This Row],[Honorar]]*[1]!Tabel1[[#This Row],[Sandsynlighed]]</f>
        <v>0</v>
      </c>
      <c r="J183" s="10"/>
      <c r="K183" s="1"/>
      <c r="L183" s="8" t="s">
        <v>472</v>
      </c>
      <c r="M183" s="11"/>
      <c r="N183" s="1"/>
      <c r="O183" s="10">
        <v>46279.611087962963</v>
      </c>
      <c r="P183" s="10"/>
      <c r="Q183" s="1"/>
      <c r="R183" s="8" t="s">
        <v>49</v>
      </c>
      <c r="S18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8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8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8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8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8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8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8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8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8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8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8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8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83" s="12">
        <f ca="1">[1]!Tabel1[[#This Row],[Vægtet Honorar]]*([1]!Tabel1[[#This Row],[Sidst redigeret]]&gt;TODAY()-40)*([1]!Tabel1[[#This Row],[Er i resplan?]]&lt;&gt;"Ja")*([1]!Tabel1[[#This Row],[Status]]="Pågår")</f>
        <v>0</v>
      </c>
      <c r="AG183" s="12">
        <f ca="1">[1]!Tabel1[[#This Row],[Vægtet Honorar]]*([1]!Tabel1[[#This Row],[Sidst redigeret]]&gt;TODAY()-40)*([1]!Tabel1[[#This Row],[Status]]="Pågår")</f>
        <v>0</v>
      </c>
      <c r="AH183" s="13"/>
      <c r="AI183" s="12"/>
      <c r="AJ183" s="12"/>
      <c r="AK183" s="12"/>
      <c r="AL183" s="12"/>
      <c r="AM183" s="12"/>
      <c r="AN183" s="12"/>
      <c r="AO183" s="12"/>
      <c r="AP183" s="12"/>
    </row>
    <row r="184" spans="1:42">
      <c r="A184" t="s">
        <v>556</v>
      </c>
      <c r="B184" s="8"/>
      <c r="C184" s="8" t="s">
        <v>557</v>
      </c>
      <c r="D184" s="8" t="s">
        <v>134</v>
      </c>
      <c r="E184" s="8"/>
      <c r="F184" s="8"/>
      <c r="G184" s="8"/>
      <c r="H184" s="9"/>
      <c r="I184" s="9">
        <f>[1]!Tabel1[[#This Row],[Honorar]]*[1]!Tabel1[[#This Row],[Sandsynlighed]]</f>
        <v>0</v>
      </c>
      <c r="J184" s="10"/>
      <c r="K184" s="1"/>
      <c r="L184" s="8" t="s">
        <v>498</v>
      </c>
      <c r="M184" s="11"/>
      <c r="N184" s="1"/>
      <c r="O184" s="10">
        <v>46279.611087962963</v>
      </c>
      <c r="P184" s="10"/>
      <c r="Q184" s="1"/>
      <c r="R184" s="8" t="s">
        <v>49</v>
      </c>
      <c r="S18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8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8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8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8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8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8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8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8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8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8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8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8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84" s="12">
        <f ca="1">[1]!Tabel1[[#This Row],[Vægtet Honorar]]*([1]!Tabel1[[#This Row],[Sidst redigeret]]&gt;TODAY()-40)*([1]!Tabel1[[#This Row],[Er i resplan?]]&lt;&gt;"Ja")*([1]!Tabel1[[#This Row],[Status]]="Pågår")</f>
        <v>0</v>
      </c>
      <c r="AG184" s="12">
        <f ca="1">[1]!Tabel1[[#This Row],[Vægtet Honorar]]*([1]!Tabel1[[#This Row],[Sidst redigeret]]&gt;TODAY()-40)*([1]!Tabel1[[#This Row],[Status]]="Pågår")</f>
        <v>0</v>
      </c>
      <c r="AH184" s="13"/>
      <c r="AI184" s="12"/>
      <c r="AJ184" s="12"/>
      <c r="AK184" s="12"/>
      <c r="AL184" s="12"/>
      <c r="AM184" s="12"/>
      <c r="AN184" s="12"/>
      <c r="AO184" s="12"/>
      <c r="AP184" s="12"/>
    </row>
    <row r="185" spans="1:42">
      <c r="A185" t="s">
        <v>558</v>
      </c>
      <c r="B185" s="8"/>
      <c r="C185" s="8" t="s">
        <v>559</v>
      </c>
      <c r="D185" s="8" t="s">
        <v>57</v>
      </c>
      <c r="E185" s="8" t="s">
        <v>167</v>
      </c>
      <c r="F185" s="8"/>
      <c r="G185" s="8" t="s">
        <v>560</v>
      </c>
      <c r="H185" s="9">
        <v>132500</v>
      </c>
      <c r="I185" s="9">
        <f>[1]!Tabel1[[#This Row],[Honorar]]*[1]!Tabel1[[#This Row],[Sandsynlighed]]</f>
        <v>0</v>
      </c>
      <c r="J185" s="10">
        <v>44896</v>
      </c>
      <c r="K185" s="1"/>
      <c r="L185" s="8"/>
      <c r="M185" s="11">
        <v>0.2</v>
      </c>
      <c r="N185" s="1"/>
      <c r="O185" s="10">
        <v>46279.611087962963</v>
      </c>
      <c r="P185" s="10"/>
      <c r="Q185" s="1" t="s">
        <v>46</v>
      </c>
      <c r="R185" s="8" t="s">
        <v>49</v>
      </c>
      <c r="S18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8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8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8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8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8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8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8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8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8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8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8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8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85" s="12">
        <f ca="1">[1]!Tabel1[[#This Row],[Vægtet Honorar]]*([1]!Tabel1[[#This Row],[Sidst redigeret]]&gt;TODAY()-40)*([1]!Tabel1[[#This Row],[Er i resplan?]]&lt;&gt;"Ja")*([1]!Tabel1[[#This Row],[Status]]="Pågår")</f>
        <v>0</v>
      </c>
      <c r="AG185" s="12">
        <f ca="1">[1]!Tabel1[[#This Row],[Vægtet Honorar]]*([1]!Tabel1[[#This Row],[Sidst redigeret]]&gt;TODAY()-40)*([1]!Tabel1[[#This Row],[Status]]="Pågår")</f>
        <v>0</v>
      </c>
      <c r="AH185" s="13"/>
      <c r="AI185" s="12"/>
      <c r="AJ185" s="12"/>
      <c r="AK185" s="12"/>
      <c r="AL185" s="12"/>
      <c r="AM185" s="12"/>
      <c r="AN185" s="12"/>
      <c r="AO185" s="12"/>
      <c r="AP185" s="12"/>
    </row>
    <row r="186" spans="1:42">
      <c r="A186" t="s">
        <v>561</v>
      </c>
      <c r="B186" s="8"/>
      <c r="C186" s="8" t="s">
        <v>562</v>
      </c>
      <c r="D186" s="8" t="s">
        <v>206</v>
      </c>
      <c r="E186" s="8" t="s">
        <v>94</v>
      </c>
      <c r="F186" s="8" t="s">
        <v>562</v>
      </c>
      <c r="G186" s="8" t="s">
        <v>563</v>
      </c>
      <c r="H186" s="9">
        <v>750000</v>
      </c>
      <c r="I186" s="9">
        <f>[1]!Tabel1[[#This Row],[Honorar]]*[1]!Tabel1[[#This Row],[Sandsynlighed]]</f>
        <v>396000</v>
      </c>
      <c r="J186" s="10">
        <v>45078</v>
      </c>
      <c r="K186" s="1">
        <v>2024</v>
      </c>
      <c r="L186" s="8" t="s">
        <v>564</v>
      </c>
      <c r="M186" s="11">
        <v>1</v>
      </c>
      <c r="N186" s="1"/>
      <c r="O186" s="10">
        <v>46279.611087962963</v>
      </c>
      <c r="P186" s="1" t="s">
        <v>72</v>
      </c>
      <c r="Q186" s="1" t="s">
        <v>46</v>
      </c>
      <c r="R186" s="8" t="s">
        <v>47</v>
      </c>
      <c r="S18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8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8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8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8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8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8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8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8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8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8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8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8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86" s="12">
        <f ca="1">[1]!Tabel1[[#This Row],[Vægtet Honorar]]*([1]!Tabel1[[#This Row],[Sidst redigeret]]&gt;TODAY()-40)*([1]!Tabel1[[#This Row],[Er i resplan?]]&lt;&gt;"Ja")*([1]!Tabel1[[#This Row],[Status]]="Pågår")</f>
        <v>0</v>
      </c>
      <c r="AG186" s="12">
        <f ca="1">[1]!Tabel1[[#This Row],[Vægtet Honorar]]*([1]!Tabel1[[#This Row],[Sidst redigeret]]&gt;TODAY()-40)*([1]!Tabel1[[#This Row],[Status]]="Pågår")</f>
        <v>0</v>
      </c>
      <c r="AH186" s="13"/>
      <c r="AI186" s="12"/>
      <c r="AJ186" s="12"/>
      <c r="AK186" s="12"/>
      <c r="AL186" s="12"/>
      <c r="AM186" s="12"/>
      <c r="AN186" s="12"/>
      <c r="AO186" s="12"/>
      <c r="AP186" s="12"/>
    </row>
    <row r="187" spans="1:42">
      <c r="A187" t="s">
        <v>565</v>
      </c>
      <c r="B187" s="8"/>
      <c r="C187" s="8" t="s">
        <v>566</v>
      </c>
      <c r="D187" s="8" t="s">
        <v>70</v>
      </c>
      <c r="E187" s="8" t="s">
        <v>102</v>
      </c>
      <c r="F187" s="8" t="s">
        <v>566</v>
      </c>
      <c r="G187" s="8" t="s">
        <v>566</v>
      </c>
      <c r="H187" s="9">
        <v>2000000</v>
      </c>
      <c r="I187" s="9">
        <f>[1]!Tabel1[[#This Row],[Honorar]]*[1]!Tabel1[[#This Row],[Sandsynlighed]]</f>
        <v>0</v>
      </c>
      <c r="J187" s="10" t="s">
        <v>103</v>
      </c>
      <c r="K187" s="1">
        <v>2024</v>
      </c>
      <c r="L187" s="8"/>
      <c r="M187" s="11">
        <v>1</v>
      </c>
      <c r="N187" s="1"/>
      <c r="O187" s="10">
        <v>46279.611087962963</v>
      </c>
      <c r="P187" s="10"/>
      <c r="Q187" s="1" t="s">
        <v>46</v>
      </c>
      <c r="R187" s="8" t="s">
        <v>47</v>
      </c>
      <c r="S18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8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8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8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8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8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8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8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8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8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8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8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8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87" s="12">
        <f ca="1">[1]!Tabel1[[#This Row],[Vægtet Honorar]]*([1]!Tabel1[[#This Row],[Sidst redigeret]]&gt;TODAY()-40)*([1]!Tabel1[[#This Row],[Er i resplan?]]&lt;&gt;"Ja")*([1]!Tabel1[[#This Row],[Status]]="Pågår")</f>
        <v>0</v>
      </c>
      <c r="AG187" s="12">
        <f ca="1">[1]!Tabel1[[#This Row],[Vægtet Honorar]]*([1]!Tabel1[[#This Row],[Sidst redigeret]]&gt;TODAY()-40)*([1]!Tabel1[[#This Row],[Status]]="Pågår")</f>
        <v>0</v>
      </c>
      <c r="AH187" s="13"/>
      <c r="AI187" s="12"/>
      <c r="AJ187" s="12"/>
      <c r="AK187" s="12"/>
      <c r="AL187" s="12"/>
      <c r="AM187" s="12"/>
      <c r="AN187" s="12"/>
      <c r="AO187" s="12"/>
      <c r="AP187" s="12"/>
    </row>
    <row r="188" spans="1:42">
      <c r="A188" t="s">
        <v>567</v>
      </c>
      <c r="B188" s="8"/>
      <c r="C188" s="8" t="s">
        <v>568</v>
      </c>
      <c r="D188" s="8" t="s">
        <v>569</v>
      </c>
      <c r="E188" s="8" t="s">
        <v>167</v>
      </c>
      <c r="F188" s="8"/>
      <c r="G188" s="8" t="s">
        <v>168</v>
      </c>
      <c r="H188" s="9">
        <v>2000000</v>
      </c>
      <c r="I188" s="9">
        <f>[1]!Tabel1[[#This Row],[Honorar]]*[1]!Tabel1[[#This Row],[Sandsynlighed]]</f>
        <v>0</v>
      </c>
      <c r="J188" s="10"/>
      <c r="K188" s="1"/>
      <c r="L188" s="8" t="s">
        <v>472</v>
      </c>
      <c r="M188" s="11">
        <v>0</v>
      </c>
      <c r="N188" s="1"/>
      <c r="O188" s="10">
        <v>46279.611087962963</v>
      </c>
      <c r="P188" s="10"/>
      <c r="Q188" s="1"/>
      <c r="R188" s="8" t="s">
        <v>49</v>
      </c>
      <c r="S18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8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8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8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8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8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8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8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8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8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8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8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8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88" s="12">
        <f ca="1">[1]!Tabel1[[#This Row],[Vægtet Honorar]]*([1]!Tabel1[[#This Row],[Sidst redigeret]]&gt;TODAY()-40)*([1]!Tabel1[[#This Row],[Er i resplan?]]&lt;&gt;"Ja")*([1]!Tabel1[[#This Row],[Status]]="Pågår")</f>
        <v>0</v>
      </c>
      <c r="AG188" s="12">
        <f ca="1">[1]!Tabel1[[#This Row],[Vægtet Honorar]]*([1]!Tabel1[[#This Row],[Sidst redigeret]]&gt;TODAY()-40)*([1]!Tabel1[[#This Row],[Status]]="Pågår")</f>
        <v>0</v>
      </c>
      <c r="AH188" s="13"/>
      <c r="AI188" s="12"/>
      <c r="AJ188" s="12"/>
      <c r="AK188" s="12"/>
      <c r="AL188" s="12"/>
      <c r="AM188" s="12"/>
      <c r="AN188" s="12"/>
      <c r="AO188" s="12"/>
      <c r="AP188" s="12"/>
    </row>
    <row r="189" spans="1:42">
      <c r="A189" t="s">
        <v>570</v>
      </c>
      <c r="B189" s="8"/>
      <c r="C189" s="8" t="s">
        <v>571</v>
      </c>
      <c r="D189" s="8" t="s">
        <v>569</v>
      </c>
      <c r="E189" s="8" t="s">
        <v>167</v>
      </c>
      <c r="F189" s="8"/>
      <c r="G189" s="8" t="s">
        <v>168</v>
      </c>
      <c r="H189" s="9">
        <v>5000000</v>
      </c>
      <c r="I189" s="9">
        <f>[1]!Tabel1[[#This Row],[Honorar]]*[1]!Tabel1[[#This Row],[Sandsynlighed]]</f>
        <v>0</v>
      </c>
      <c r="J189" s="10"/>
      <c r="K189" s="1"/>
      <c r="L189" s="8"/>
      <c r="M189" s="11">
        <v>0</v>
      </c>
      <c r="N189" s="1"/>
      <c r="O189" s="10">
        <v>46279.611087962963</v>
      </c>
      <c r="P189" s="10"/>
      <c r="Q189" s="1"/>
      <c r="R189" s="8" t="s">
        <v>49</v>
      </c>
      <c r="S18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8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8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8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8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8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8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8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8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8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8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8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8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89" s="12">
        <f ca="1">[1]!Tabel1[[#This Row],[Vægtet Honorar]]*([1]!Tabel1[[#This Row],[Sidst redigeret]]&gt;TODAY()-40)*([1]!Tabel1[[#This Row],[Er i resplan?]]&lt;&gt;"Ja")*([1]!Tabel1[[#This Row],[Status]]="Pågår")</f>
        <v>0</v>
      </c>
      <c r="AG189" s="12">
        <f ca="1">[1]!Tabel1[[#This Row],[Vægtet Honorar]]*([1]!Tabel1[[#This Row],[Sidst redigeret]]&gt;TODAY()-40)*([1]!Tabel1[[#This Row],[Status]]="Pågår")</f>
        <v>0</v>
      </c>
      <c r="AH189" s="13"/>
      <c r="AI189" s="12"/>
      <c r="AJ189" s="12"/>
      <c r="AK189" s="12"/>
      <c r="AL189" s="12"/>
      <c r="AM189" s="12"/>
      <c r="AN189" s="12"/>
      <c r="AO189" s="12"/>
      <c r="AP189" s="12"/>
    </row>
    <row r="190" spans="1:42">
      <c r="A190" t="s">
        <v>572</v>
      </c>
      <c r="B190" s="8"/>
      <c r="C190" s="8" t="s">
        <v>573</v>
      </c>
      <c r="D190" s="8" t="s">
        <v>57</v>
      </c>
      <c r="E190" s="8" t="s">
        <v>120</v>
      </c>
      <c r="F190" s="8"/>
      <c r="G190" s="8" t="s">
        <v>574</v>
      </c>
      <c r="H190" s="9">
        <v>0</v>
      </c>
      <c r="I190" s="9">
        <f>[1]!Tabel1[[#This Row],[Honorar]]*[1]!Tabel1[[#This Row],[Sandsynlighed]]</f>
        <v>26500</v>
      </c>
      <c r="J190" s="10"/>
      <c r="K190" s="1"/>
      <c r="L190" s="8" t="s">
        <v>575</v>
      </c>
      <c r="M190" s="11">
        <v>0</v>
      </c>
      <c r="N190" s="1"/>
      <c r="O190" s="10">
        <v>46279.611087962963</v>
      </c>
      <c r="P190" s="10"/>
      <c r="Q190" s="1"/>
      <c r="R190" s="8" t="s">
        <v>75</v>
      </c>
      <c r="S19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9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9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9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9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9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9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9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9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9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9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9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9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90" s="12">
        <f ca="1">[1]!Tabel1[[#This Row],[Vægtet Honorar]]*([1]!Tabel1[[#This Row],[Sidst redigeret]]&gt;TODAY()-40)*([1]!Tabel1[[#This Row],[Er i resplan?]]&lt;&gt;"Ja")*([1]!Tabel1[[#This Row],[Status]]="Pågår")</f>
        <v>0</v>
      </c>
      <c r="AG190" s="12">
        <f ca="1">[1]!Tabel1[[#This Row],[Vægtet Honorar]]*([1]!Tabel1[[#This Row],[Sidst redigeret]]&gt;TODAY()-40)*([1]!Tabel1[[#This Row],[Status]]="Pågår")</f>
        <v>0</v>
      </c>
      <c r="AH190" s="13"/>
      <c r="AI190" s="12"/>
      <c r="AJ190" s="12" t="s">
        <v>576</v>
      </c>
      <c r="AK190" s="12"/>
      <c r="AL190" s="12" t="s">
        <v>577</v>
      </c>
      <c r="AM190" s="12">
        <v>44896</v>
      </c>
      <c r="AN190" s="12" t="s">
        <v>578</v>
      </c>
      <c r="AO190" s="12"/>
      <c r="AP190" s="12"/>
    </row>
    <row r="191" spans="1:42">
      <c r="A191" t="s">
        <v>579</v>
      </c>
      <c r="B191" s="8"/>
      <c r="C191" s="8" t="s">
        <v>580</v>
      </c>
      <c r="D191" s="8" t="s">
        <v>581</v>
      </c>
      <c r="E191" s="8" t="s">
        <v>94</v>
      </c>
      <c r="F191" s="8" t="s">
        <v>582</v>
      </c>
      <c r="G191" s="8" t="s">
        <v>583</v>
      </c>
      <c r="H191" s="9">
        <v>1750000</v>
      </c>
      <c r="I191" s="9">
        <f>[1]!Tabel1[[#This Row],[Honorar]]*[1]!Tabel1[[#This Row],[Sandsynlighed]]</f>
        <v>750000</v>
      </c>
      <c r="J191" s="10" t="s">
        <v>584</v>
      </c>
      <c r="K191" s="1" t="s">
        <v>585</v>
      </c>
      <c r="L191" s="8"/>
      <c r="M191" s="11">
        <v>1</v>
      </c>
      <c r="N191" s="1" t="s">
        <v>586</v>
      </c>
      <c r="O191" s="10">
        <v>46279.611087962963</v>
      </c>
      <c r="P191" s="1" t="s">
        <v>72</v>
      </c>
      <c r="Q191" s="1" t="s">
        <v>46</v>
      </c>
      <c r="R191" s="8" t="s">
        <v>47</v>
      </c>
      <c r="S19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9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9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9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9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9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9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9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9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9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9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9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9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91" s="12">
        <f ca="1">[1]!Tabel1[[#This Row],[Vægtet Honorar]]*([1]!Tabel1[[#This Row],[Sidst redigeret]]&gt;TODAY()-40)*([1]!Tabel1[[#This Row],[Er i resplan?]]&lt;&gt;"Ja")*([1]!Tabel1[[#This Row],[Status]]="Pågår")</f>
        <v>0</v>
      </c>
      <c r="AG191" s="12">
        <f ca="1">[1]!Tabel1[[#This Row],[Vægtet Honorar]]*([1]!Tabel1[[#This Row],[Sidst redigeret]]&gt;TODAY()-40)*([1]!Tabel1[[#This Row],[Status]]="Pågår")</f>
        <v>0</v>
      </c>
      <c r="AH191" s="13"/>
      <c r="AI191" s="12"/>
      <c r="AJ191" s="12"/>
      <c r="AK191" s="12"/>
      <c r="AL191" s="12"/>
      <c r="AM191" s="12"/>
      <c r="AN191" s="12"/>
      <c r="AO191" s="12"/>
      <c r="AP191" s="12"/>
    </row>
    <row r="192" spans="1:42">
      <c r="A192" t="s">
        <v>587</v>
      </c>
      <c r="B192" s="8"/>
      <c r="C192" s="8" t="s">
        <v>588</v>
      </c>
      <c r="D192" s="8" t="s">
        <v>93</v>
      </c>
      <c r="E192" s="8" t="s">
        <v>94</v>
      </c>
      <c r="F192" s="8"/>
      <c r="G192" s="8" t="s">
        <v>589</v>
      </c>
      <c r="H192" s="9">
        <v>3000000</v>
      </c>
      <c r="I192" s="9">
        <f>[1]!Tabel1[[#This Row],[Honorar]]*[1]!Tabel1[[#This Row],[Sandsynlighed]]</f>
        <v>2000000</v>
      </c>
      <c r="J192" s="10"/>
      <c r="K192" s="1"/>
      <c r="L192" s="8"/>
      <c r="M192" s="11">
        <v>0.1</v>
      </c>
      <c r="N192" s="1"/>
      <c r="O192" s="10">
        <v>46279.611087962963</v>
      </c>
      <c r="P192" s="1" t="s">
        <v>72</v>
      </c>
      <c r="Q192" s="1"/>
      <c r="R192" s="8" t="s">
        <v>75</v>
      </c>
      <c r="S19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9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9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9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9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9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9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9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9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9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9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9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9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92" s="12">
        <f ca="1">[1]!Tabel1[[#This Row],[Vægtet Honorar]]*([1]!Tabel1[[#This Row],[Sidst redigeret]]&gt;TODAY()-40)*([1]!Tabel1[[#This Row],[Er i resplan?]]&lt;&gt;"Ja")*([1]!Tabel1[[#This Row],[Status]]="Pågår")</f>
        <v>0</v>
      </c>
      <c r="AG192" s="12">
        <f ca="1">[1]!Tabel1[[#This Row],[Vægtet Honorar]]*([1]!Tabel1[[#This Row],[Sidst redigeret]]&gt;TODAY()-40)*([1]!Tabel1[[#This Row],[Status]]="Pågår")</f>
        <v>0</v>
      </c>
      <c r="AH192" s="13"/>
      <c r="AI192" s="12"/>
      <c r="AJ192" s="12" t="s">
        <v>590</v>
      </c>
      <c r="AK192" s="12" t="s">
        <v>591</v>
      </c>
      <c r="AL192" s="12" t="s">
        <v>592</v>
      </c>
      <c r="AM192" s="12" t="s">
        <v>593</v>
      </c>
      <c r="AN192" s="12" t="s">
        <v>594</v>
      </c>
      <c r="AO192" s="12" t="s">
        <v>595</v>
      </c>
      <c r="AP192" s="12"/>
    </row>
    <row r="193" spans="1:42">
      <c r="A193" t="s">
        <v>596</v>
      </c>
      <c r="B193" s="8"/>
      <c r="C193" s="8" t="s">
        <v>597</v>
      </c>
      <c r="D193" s="8" t="s">
        <v>57</v>
      </c>
      <c r="E193" s="8" t="s">
        <v>167</v>
      </c>
      <c r="F193" s="8"/>
      <c r="G193" s="8" t="s">
        <v>598</v>
      </c>
      <c r="H193" s="9">
        <v>8000000</v>
      </c>
      <c r="I193" s="9">
        <f>[1]!Tabel1[[#This Row],[Honorar]]*[1]!Tabel1[[#This Row],[Sandsynlighed]]</f>
        <v>0</v>
      </c>
      <c r="J193" s="10"/>
      <c r="K193" s="1"/>
      <c r="L193" s="8"/>
      <c r="M193" s="11">
        <v>0</v>
      </c>
      <c r="N193" s="1"/>
      <c r="O193" s="10">
        <v>46279.611087962963</v>
      </c>
      <c r="P193" s="10"/>
      <c r="Q193" s="1"/>
      <c r="R193" s="8" t="s">
        <v>75</v>
      </c>
      <c r="S19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9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9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9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9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9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9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9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9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9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9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9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9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93" s="12">
        <f ca="1">[1]!Tabel1[[#This Row],[Vægtet Honorar]]*([1]!Tabel1[[#This Row],[Sidst redigeret]]&gt;TODAY()-40)*([1]!Tabel1[[#This Row],[Er i resplan?]]&lt;&gt;"Ja")*([1]!Tabel1[[#This Row],[Status]]="Pågår")</f>
        <v>0</v>
      </c>
      <c r="AG193" s="12">
        <f ca="1">[1]!Tabel1[[#This Row],[Vægtet Honorar]]*([1]!Tabel1[[#This Row],[Sidst redigeret]]&gt;TODAY()-40)*([1]!Tabel1[[#This Row],[Status]]="Pågår")</f>
        <v>0</v>
      </c>
      <c r="AH193" s="13"/>
      <c r="AI193" s="12" t="s">
        <v>599</v>
      </c>
      <c r="AJ193" s="12" t="s">
        <v>600</v>
      </c>
      <c r="AK193" s="12"/>
      <c r="AL193" s="12" t="s">
        <v>601</v>
      </c>
      <c r="AM193" s="12"/>
      <c r="AN193" s="12" t="s">
        <v>602</v>
      </c>
      <c r="AO193" s="12"/>
      <c r="AP193" s="12"/>
    </row>
    <row r="194" spans="1:42">
      <c r="A194" t="s">
        <v>603</v>
      </c>
      <c r="B194" s="8"/>
      <c r="C194" s="8" t="s">
        <v>604</v>
      </c>
      <c r="D194" s="8" t="s">
        <v>93</v>
      </c>
      <c r="E194" s="8" t="s">
        <v>94</v>
      </c>
      <c r="F194" s="8"/>
      <c r="G194" s="8" t="s">
        <v>605</v>
      </c>
      <c r="H194" s="9">
        <v>250000</v>
      </c>
      <c r="I194" s="9">
        <f>[1]!Tabel1[[#This Row],[Honorar]]*[1]!Tabel1[[#This Row],[Sandsynlighed]]</f>
        <v>0</v>
      </c>
      <c r="J194" s="10"/>
      <c r="K194" s="1"/>
      <c r="L194" s="8"/>
      <c r="M194" s="11">
        <v>0.1</v>
      </c>
      <c r="N194" s="14">
        <v>45171.510879629626</v>
      </c>
      <c r="O194" s="10">
        <v>46279.611087962963</v>
      </c>
      <c r="P194" s="1" t="s">
        <v>72</v>
      </c>
      <c r="Q194" s="1"/>
      <c r="R194" s="8" t="s">
        <v>75</v>
      </c>
      <c r="S19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9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9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9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9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9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9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9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9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9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9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9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9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94" s="12">
        <f ca="1">[1]!Tabel1[[#This Row],[Vægtet Honorar]]*([1]!Tabel1[[#This Row],[Sidst redigeret]]&gt;TODAY()-40)*([1]!Tabel1[[#This Row],[Er i resplan?]]&lt;&gt;"Ja")*([1]!Tabel1[[#This Row],[Status]]="Pågår")</f>
        <v>0</v>
      </c>
      <c r="AG194" s="12">
        <f ca="1">[1]!Tabel1[[#This Row],[Vægtet Honorar]]*([1]!Tabel1[[#This Row],[Sidst redigeret]]&gt;TODAY()-40)*([1]!Tabel1[[#This Row],[Status]]="Pågår")</f>
        <v>0</v>
      </c>
      <c r="AH194" s="13"/>
      <c r="AI194" s="12"/>
      <c r="AJ194" s="12"/>
      <c r="AK194" s="12"/>
      <c r="AL194" s="12"/>
      <c r="AM194" s="12"/>
      <c r="AN194" s="12"/>
      <c r="AO194" s="12"/>
      <c r="AP194" s="12"/>
    </row>
    <row r="195" spans="1:42">
      <c r="A195" t="s">
        <v>606</v>
      </c>
      <c r="B195" s="8"/>
      <c r="C195" s="8" t="s">
        <v>607</v>
      </c>
      <c r="D195" s="8" t="s">
        <v>57</v>
      </c>
      <c r="E195" s="8" t="s">
        <v>167</v>
      </c>
      <c r="F195" s="8"/>
      <c r="G195" s="8" t="s">
        <v>608</v>
      </c>
      <c r="H195" s="9">
        <v>250000</v>
      </c>
      <c r="I195" s="9">
        <f>[1]!Tabel1[[#This Row],[Honorar]]*[1]!Tabel1[[#This Row],[Sandsynlighed]]</f>
        <v>0</v>
      </c>
      <c r="J195" s="10"/>
      <c r="K195" s="1"/>
      <c r="L195" s="8"/>
      <c r="M195" s="11">
        <v>0.25</v>
      </c>
      <c r="N195" s="1"/>
      <c r="O195" s="10">
        <v>46279.611087962963</v>
      </c>
      <c r="P195" s="10"/>
      <c r="Q195" s="1"/>
      <c r="R195" s="8" t="s">
        <v>49</v>
      </c>
      <c r="S19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9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9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9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9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9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9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9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9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9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9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9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9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95" s="12">
        <f ca="1">[1]!Tabel1[[#This Row],[Vægtet Honorar]]*([1]!Tabel1[[#This Row],[Sidst redigeret]]&gt;TODAY()-40)*([1]!Tabel1[[#This Row],[Er i resplan?]]&lt;&gt;"Ja")*([1]!Tabel1[[#This Row],[Status]]="Pågår")</f>
        <v>0</v>
      </c>
      <c r="AG195" s="12">
        <f ca="1">[1]!Tabel1[[#This Row],[Vægtet Honorar]]*([1]!Tabel1[[#This Row],[Sidst redigeret]]&gt;TODAY()-40)*([1]!Tabel1[[#This Row],[Status]]="Pågår")</f>
        <v>0</v>
      </c>
      <c r="AH195" s="13"/>
      <c r="AI195" s="12"/>
      <c r="AJ195" s="12"/>
      <c r="AK195" s="12"/>
      <c r="AL195" s="12"/>
      <c r="AM195" s="12"/>
      <c r="AN195" s="12"/>
      <c r="AO195" s="12"/>
      <c r="AP195" s="12"/>
    </row>
    <row r="196" spans="1:42">
      <c r="A196" t="s">
        <v>609</v>
      </c>
      <c r="B196" s="8"/>
      <c r="C196" s="8" t="s">
        <v>610</v>
      </c>
      <c r="D196" s="8" t="s">
        <v>57</v>
      </c>
      <c r="E196" s="8" t="s">
        <v>167</v>
      </c>
      <c r="F196" s="8" t="s">
        <v>611</v>
      </c>
      <c r="G196" s="8" t="s">
        <v>611</v>
      </c>
      <c r="H196" s="9">
        <v>50000</v>
      </c>
      <c r="I196" s="9">
        <f>[1]!Tabel1[[#This Row],[Honorar]]*[1]!Tabel1[[#This Row],[Sandsynlighed]]</f>
        <v>1750000</v>
      </c>
      <c r="J196" s="10" t="s">
        <v>612</v>
      </c>
      <c r="K196" s="1">
        <v>2025</v>
      </c>
      <c r="L196" s="8" t="s">
        <v>613</v>
      </c>
      <c r="M196" s="11">
        <v>0.05</v>
      </c>
      <c r="N196" s="1">
        <v>2000</v>
      </c>
      <c r="O196" s="10">
        <v>46279.611087962963</v>
      </c>
      <c r="P196" s="10"/>
      <c r="Q196" s="1"/>
      <c r="R196" s="8" t="s">
        <v>49</v>
      </c>
      <c r="S19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9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9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9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9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9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9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9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9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9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9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9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9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96" s="12">
        <f ca="1">[1]!Tabel1[[#This Row],[Vægtet Honorar]]*([1]!Tabel1[[#This Row],[Sidst redigeret]]&gt;TODAY()-40)*([1]!Tabel1[[#This Row],[Er i resplan?]]&lt;&gt;"Ja")*([1]!Tabel1[[#This Row],[Status]]="Pågår")</f>
        <v>0</v>
      </c>
      <c r="AG196" s="12">
        <f ca="1">[1]!Tabel1[[#This Row],[Vægtet Honorar]]*([1]!Tabel1[[#This Row],[Sidst redigeret]]&gt;TODAY()-40)*([1]!Tabel1[[#This Row],[Status]]="Pågår")</f>
        <v>0</v>
      </c>
      <c r="AH196" s="13"/>
      <c r="AI196" s="12"/>
      <c r="AJ196" s="12"/>
      <c r="AK196" s="12"/>
      <c r="AL196" s="12"/>
      <c r="AM196" s="12"/>
      <c r="AN196" s="12"/>
      <c r="AO196" s="12"/>
      <c r="AP196" s="12"/>
    </row>
    <row r="197" spans="1:42">
      <c r="A197" t="s">
        <v>614</v>
      </c>
      <c r="B197" s="8"/>
      <c r="C197" s="8" t="s">
        <v>615</v>
      </c>
      <c r="D197" s="8" t="s">
        <v>197</v>
      </c>
      <c r="E197" s="8" t="s">
        <v>167</v>
      </c>
      <c r="F197" s="8" t="s">
        <v>616</v>
      </c>
      <c r="G197" s="8" t="s">
        <v>616</v>
      </c>
      <c r="H197" s="9">
        <v>1000000</v>
      </c>
      <c r="I197" s="9">
        <f>[1]!Tabel1[[#This Row],[Honorar]]*[1]!Tabel1[[#This Row],[Sandsynlighed]]</f>
        <v>300000</v>
      </c>
      <c r="J197" s="10">
        <v>2023</v>
      </c>
      <c r="K197" s="1">
        <v>2025</v>
      </c>
      <c r="L197" s="8" t="s">
        <v>617</v>
      </c>
      <c r="M197" s="11">
        <v>0</v>
      </c>
      <c r="N197" s="1"/>
      <c r="O197" s="10">
        <v>46279.611087962963</v>
      </c>
      <c r="P197" s="10"/>
      <c r="Q197" s="1"/>
      <c r="R197" s="8" t="s">
        <v>75</v>
      </c>
      <c r="S19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9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9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9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9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9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9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9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9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9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9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9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9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97" s="12">
        <f ca="1">[1]!Tabel1[[#This Row],[Vægtet Honorar]]*([1]!Tabel1[[#This Row],[Sidst redigeret]]&gt;TODAY()-40)*([1]!Tabel1[[#This Row],[Er i resplan?]]&lt;&gt;"Ja")*([1]!Tabel1[[#This Row],[Status]]="Pågår")</f>
        <v>0</v>
      </c>
      <c r="AG197" s="12">
        <f ca="1">[1]!Tabel1[[#This Row],[Vægtet Honorar]]*([1]!Tabel1[[#This Row],[Sidst redigeret]]&gt;TODAY()-40)*([1]!Tabel1[[#This Row],[Status]]="Pågår")</f>
        <v>0</v>
      </c>
      <c r="AH197" s="13"/>
      <c r="AI197" s="12"/>
      <c r="AJ197" s="12"/>
      <c r="AK197" s="12"/>
      <c r="AL197" s="12"/>
      <c r="AM197" s="12"/>
      <c r="AN197" s="12"/>
      <c r="AO197" s="12"/>
      <c r="AP197" s="12"/>
    </row>
    <row r="198" spans="1:42">
      <c r="A198" t="s">
        <v>618</v>
      </c>
      <c r="B198" s="8"/>
      <c r="C198" s="8" t="s">
        <v>619</v>
      </c>
      <c r="D198" s="8" t="s">
        <v>65</v>
      </c>
      <c r="E198" s="8" t="s">
        <v>167</v>
      </c>
      <c r="F198" s="8" t="s">
        <v>620</v>
      </c>
      <c r="G198" s="8" t="s">
        <v>621</v>
      </c>
      <c r="H198" s="9">
        <v>150000</v>
      </c>
      <c r="I198" s="9">
        <f>[1]!Tabel1[[#This Row],[Honorar]]*[1]!Tabel1[[#This Row],[Sandsynlighed]]</f>
        <v>0</v>
      </c>
      <c r="J198" s="10" t="s">
        <v>622</v>
      </c>
      <c r="K198" s="10" t="s">
        <v>452</v>
      </c>
      <c r="L198" s="8"/>
      <c r="M198" s="11">
        <v>1</v>
      </c>
      <c r="N198" s="1"/>
      <c r="O198" s="10">
        <v>46279.611087962963</v>
      </c>
      <c r="P198" s="10"/>
      <c r="Q198" s="1" t="s">
        <v>46</v>
      </c>
      <c r="R198" s="8" t="s">
        <v>47</v>
      </c>
      <c r="S19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9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9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9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9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9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9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9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9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9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9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9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9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98" s="12">
        <f ca="1">[1]!Tabel1[[#This Row],[Vægtet Honorar]]*([1]!Tabel1[[#This Row],[Sidst redigeret]]&gt;TODAY()-40)*([1]!Tabel1[[#This Row],[Er i resplan?]]&lt;&gt;"Ja")*([1]!Tabel1[[#This Row],[Status]]="Pågår")</f>
        <v>0</v>
      </c>
      <c r="AG198" s="12">
        <f ca="1">[1]!Tabel1[[#This Row],[Vægtet Honorar]]*([1]!Tabel1[[#This Row],[Sidst redigeret]]&gt;TODAY()-40)*([1]!Tabel1[[#This Row],[Status]]="Pågår")</f>
        <v>0</v>
      </c>
      <c r="AH198" s="13"/>
      <c r="AI198" s="12"/>
      <c r="AJ198" s="12"/>
      <c r="AK198" s="12"/>
      <c r="AL198" s="12"/>
      <c r="AM198" s="12"/>
      <c r="AN198" s="12"/>
      <c r="AO198" s="12"/>
      <c r="AP198" s="12"/>
    </row>
    <row r="199" spans="1:42">
      <c r="A199" t="s">
        <v>623</v>
      </c>
      <c r="B199" s="8"/>
      <c r="C199" s="8" t="s">
        <v>624</v>
      </c>
      <c r="D199" s="8" t="s">
        <v>119</v>
      </c>
      <c r="E199" s="8" t="s">
        <v>120</v>
      </c>
      <c r="F199" s="8" t="s">
        <v>625</v>
      </c>
      <c r="G199" s="8" t="s">
        <v>625</v>
      </c>
      <c r="H199" s="9">
        <v>0</v>
      </c>
      <c r="I199" s="9">
        <f>[1]!Tabel1[[#This Row],[Honorar]]*[1]!Tabel1[[#This Row],[Sandsynlighed]]</f>
        <v>25000</v>
      </c>
      <c r="J199" s="10">
        <v>2023</v>
      </c>
      <c r="K199" s="1">
        <v>2024</v>
      </c>
      <c r="L199" s="8" t="s">
        <v>626</v>
      </c>
      <c r="M199" s="11">
        <v>0</v>
      </c>
      <c r="N199" s="1" t="s">
        <v>627</v>
      </c>
      <c r="O199" s="10">
        <v>46279.611087962963</v>
      </c>
      <c r="P199" s="10"/>
      <c r="Q199" s="1" t="s">
        <v>72</v>
      </c>
      <c r="R199" s="8" t="s">
        <v>75</v>
      </c>
      <c r="S19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19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19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19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19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19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19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19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19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19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19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19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19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199" s="12">
        <f ca="1">[1]!Tabel1[[#This Row],[Vægtet Honorar]]*([1]!Tabel1[[#This Row],[Sidst redigeret]]&gt;TODAY()-40)*([1]!Tabel1[[#This Row],[Er i resplan?]]&lt;&gt;"Ja")*([1]!Tabel1[[#This Row],[Status]]="Pågår")</f>
        <v>0</v>
      </c>
      <c r="AG199" s="12">
        <f ca="1">[1]!Tabel1[[#This Row],[Vægtet Honorar]]*([1]!Tabel1[[#This Row],[Sidst redigeret]]&gt;TODAY()-40)*([1]!Tabel1[[#This Row],[Status]]="Pågår")</f>
        <v>0</v>
      </c>
      <c r="AH199" s="13"/>
      <c r="AI199" s="12" t="s">
        <v>628</v>
      </c>
      <c r="AJ199" s="12" t="s">
        <v>384</v>
      </c>
      <c r="AK199" s="12"/>
      <c r="AL199" s="12" t="s">
        <v>577</v>
      </c>
      <c r="AM199" s="12" t="s">
        <v>629</v>
      </c>
      <c r="AN199" s="12" t="s">
        <v>630</v>
      </c>
      <c r="AO199" s="12" t="s">
        <v>631</v>
      </c>
      <c r="AP199" s="12"/>
    </row>
    <row r="200" spans="1:42">
      <c r="A200" t="s">
        <v>632</v>
      </c>
      <c r="B200" s="8"/>
      <c r="C200" s="8" t="s">
        <v>633</v>
      </c>
      <c r="D200" s="8" t="s">
        <v>57</v>
      </c>
      <c r="E200" s="8" t="s">
        <v>94</v>
      </c>
      <c r="F200" s="8" t="s">
        <v>634</v>
      </c>
      <c r="G200" s="8" t="s">
        <v>634</v>
      </c>
      <c r="H200" s="9">
        <v>3000000</v>
      </c>
      <c r="I200" s="9">
        <f>[1]!Tabel1[[#This Row],[Honorar]]*[1]!Tabel1[[#This Row],[Sandsynlighed]]</f>
        <v>62500</v>
      </c>
      <c r="J200" s="10">
        <v>2022</v>
      </c>
      <c r="K200" s="1">
        <v>2025</v>
      </c>
      <c r="L200" s="8" t="s">
        <v>635</v>
      </c>
      <c r="M200" s="11">
        <v>1</v>
      </c>
      <c r="N200" s="1">
        <v>20000000</v>
      </c>
      <c r="O200" s="10">
        <v>46279.611087962963</v>
      </c>
      <c r="P200" s="1" t="s">
        <v>72</v>
      </c>
      <c r="Q200" s="1" t="s">
        <v>46</v>
      </c>
      <c r="R200" s="8" t="s">
        <v>47</v>
      </c>
      <c r="S20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0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0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0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0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0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0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0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0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0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0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0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0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00" s="12">
        <f ca="1">[1]!Tabel1[[#This Row],[Vægtet Honorar]]*([1]!Tabel1[[#This Row],[Sidst redigeret]]&gt;TODAY()-40)*([1]!Tabel1[[#This Row],[Er i resplan?]]&lt;&gt;"Ja")*([1]!Tabel1[[#This Row],[Status]]="Pågår")</f>
        <v>0</v>
      </c>
      <c r="AG200" s="12">
        <f ca="1">[1]!Tabel1[[#This Row],[Vægtet Honorar]]*([1]!Tabel1[[#This Row],[Sidst redigeret]]&gt;TODAY()-40)*([1]!Tabel1[[#This Row],[Status]]="Pågår")</f>
        <v>0</v>
      </c>
      <c r="AH200" s="13"/>
      <c r="AI200" s="12"/>
      <c r="AJ200" s="12"/>
      <c r="AK200" s="12"/>
      <c r="AL200" s="12"/>
      <c r="AM200" s="12"/>
      <c r="AN200" s="12"/>
      <c r="AO200" s="12"/>
      <c r="AP200" s="12"/>
    </row>
    <row r="201" spans="1:42">
      <c r="A201" t="s">
        <v>636</v>
      </c>
      <c r="B201" s="8"/>
      <c r="C201" s="8" t="s">
        <v>637</v>
      </c>
      <c r="D201" s="8" t="s">
        <v>57</v>
      </c>
      <c r="E201" s="8" t="s">
        <v>94</v>
      </c>
      <c r="F201" s="8" t="s">
        <v>638</v>
      </c>
      <c r="G201" s="8" t="s">
        <v>638</v>
      </c>
      <c r="H201" s="9">
        <v>1000000</v>
      </c>
      <c r="I201" s="9">
        <f>[1]!Tabel1[[#This Row],[Honorar]]*[1]!Tabel1[[#This Row],[Sandsynlighed]]</f>
        <v>2500</v>
      </c>
      <c r="J201" s="10">
        <v>2022</v>
      </c>
      <c r="K201" s="1">
        <v>2025</v>
      </c>
      <c r="L201" s="8" t="s">
        <v>639</v>
      </c>
      <c r="M201" s="11">
        <v>0.3</v>
      </c>
      <c r="N201" s="1"/>
      <c r="O201" s="10">
        <v>46279.611087962963</v>
      </c>
      <c r="P201" s="1" t="s">
        <v>72</v>
      </c>
      <c r="Q201" s="1"/>
      <c r="R201" s="8" t="s">
        <v>49</v>
      </c>
      <c r="S20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0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0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0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0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0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0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0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0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0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0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0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0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01" s="12">
        <f ca="1">[1]!Tabel1[[#This Row],[Vægtet Honorar]]*([1]!Tabel1[[#This Row],[Sidst redigeret]]&gt;TODAY()-40)*([1]!Tabel1[[#This Row],[Er i resplan?]]&lt;&gt;"Ja")*([1]!Tabel1[[#This Row],[Status]]="Pågår")</f>
        <v>0</v>
      </c>
      <c r="AG201" s="12">
        <f ca="1">[1]!Tabel1[[#This Row],[Vægtet Honorar]]*([1]!Tabel1[[#This Row],[Sidst redigeret]]&gt;TODAY()-40)*([1]!Tabel1[[#This Row],[Status]]="Pågår")</f>
        <v>0</v>
      </c>
      <c r="AH201" s="13"/>
      <c r="AI201" s="12"/>
      <c r="AJ201" s="12"/>
      <c r="AK201" s="12"/>
      <c r="AL201" s="12"/>
      <c r="AM201" s="12"/>
      <c r="AN201" s="12"/>
      <c r="AO201" s="12"/>
      <c r="AP201" s="12"/>
    </row>
    <row r="202" spans="1:42">
      <c r="A202" t="s">
        <v>640</v>
      </c>
      <c r="B202" s="8"/>
      <c r="C202" s="8" t="s">
        <v>641</v>
      </c>
      <c r="D202" s="8" t="s">
        <v>269</v>
      </c>
      <c r="E202" s="8" t="s">
        <v>167</v>
      </c>
      <c r="F202" s="8" t="s">
        <v>642</v>
      </c>
      <c r="G202" s="8" t="s">
        <v>642</v>
      </c>
      <c r="H202" s="9">
        <v>250000</v>
      </c>
      <c r="I202" s="9">
        <f>[1]!Tabel1[[#This Row],[Honorar]]*[1]!Tabel1[[#This Row],[Sandsynlighed]]</f>
        <v>0</v>
      </c>
      <c r="J202" s="10">
        <v>2022</v>
      </c>
      <c r="K202" s="1">
        <v>2022</v>
      </c>
      <c r="L202" s="8" t="s">
        <v>643</v>
      </c>
      <c r="M202" s="11">
        <v>1</v>
      </c>
      <c r="N202" s="1"/>
      <c r="O202" s="10">
        <v>46279.611087962963</v>
      </c>
      <c r="P202" s="10"/>
      <c r="Q202" s="1"/>
      <c r="R202" s="8" t="s">
        <v>47</v>
      </c>
      <c r="S20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0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0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0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0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0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0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0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0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0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0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0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0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02" s="12">
        <f ca="1">[1]!Tabel1[[#This Row],[Vægtet Honorar]]*([1]!Tabel1[[#This Row],[Sidst redigeret]]&gt;TODAY()-40)*([1]!Tabel1[[#This Row],[Er i resplan?]]&lt;&gt;"Ja")*([1]!Tabel1[[#This Row],[Status]]="Pågår")</f>
        <v>0</v>
      </c>
      <c r="AG202" s="12">
        <f ca="1">[1]!Tabel1[[#This Row],[Vægtet Honorar]]*([1]!Tabel1[[#This Row],[Sidst redigeret]]&gt;TODAY()-40)*([1]!Tabel1[[#This Row],[Status]]="Pågår")</f>
        <v>0</v>
      </c>
      <c r="AH202" s="13"/>
      <c r="AI202" s="12"/>
      <c r="AJ202" s="12"/>
      <c r="AK202" s="12"/>
      <c r="AL202" s="12"/>
      <c r="AM202" s="12"/>
      <c r="AN202" s="12"/>
      <c r="AO202" s="12"/>
      <c r="AP202" s="12"/>
    </row>
    <row r="203" spans="1:42">
      <c r="A203" t="s">
        <v>644</v>
      </c>
      <c r="B203" s="8"/>
      <c r="C203" s="8" t="s">
        <v>645</v>
      </c>
      <c r="D203" s="8" t="s">
        <v>119</v>
      </c>
      <c r="E203" s="8" t="s">
        <v>120</v>
      </c>
      <c r="F203" s="8" t="s">
        <v>646</v>
      </c>
      <c r="G203" s="8" t="s">
        <v>647</v>
      </c>
      <c r="H203" s="9">
        <v>0</v>
      </c>
      <c r="I203" s="9">
        <f>[1]!Tabel1[[#This Row],[Honorar]]*[1]!Tabel1[[#This Row],[Sandsynlighed]]</f>
        <v>150000</v>
      </c>
      <c r="J203" s="10">
        <v>2023</v>
      </c>
      <c r="K203" s="1">
        <v>2023</v>
      </c>
      <c r="L203" s="8" t="s">
        <v>648</v>
      </c>
      <c r="M203" s="11">
        <v>0</v>
      </c>
      <c r="N203" s="1" t="s">
        <v>649</v>
      </c>
      <c r="O203" s="10">
        <v>46279.611087962963</v>
      </c>
      <c r="P203" s="10"/>
      <c r="Q203" s="1" t="s">
        <v>72</v>
      </c>
      <c r="R203" s="8" t="s">
        <v>75</v>
      </c>
      <c r="S20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0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0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0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0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0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0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0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0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0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0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0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0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03" s="12">
        <f ca="1">[1]!Tabel1[[#This Row],[Vægtet Honorar]]*([1]!Tabel1[[#This Row],[Sidst redigeret]]&gt;TODAY()-40)*([1]!Tabel1[[#This Row],[Er i resplan?]]&lt;&gt;"Ja")*([1]!Tabel1[[#This Row],[Status]]="Pågår")</f>
        <v>0</v>
      </c>
      <c r="AG203" s="12">
        <f ca="1">[1]!Tabel1[[#This Row],[Vægtet Honorar]]*([1]!Tabel1[[#This Row],[Sidst redigeret]]&gt;TODAY()-40)*([1]!Tabel1[[#This Row],[Status]]="Pågår")</f>
        <v>0</v>
      </c>
      <c r="AH203" s="13"/>
      <c r="AI203" s="12"/>
      <c r="AJ203" s="12"/>
      <c r="AK203" s="12"/>
      <c r="AL203" s="12"/>
      <c r="AM203" s="12"/>
      <c r="AN203" s="12"/>
      <c r="AO203" s="12"/>
      <c r="AP203" s="12"/>
    </row>
    <row r="204" spans="1:42">
      <c r="A204" t="s">
        <v>650</v>
      </c>
      <c r="B204" s="8"/>
      <c r="C204" s="8" t="s">
        <v>651</v>
      </c>
      <c r="D204" s="8" t="s">
        <v>269</v>
      </c>
      <c r="E204" s="8" t="s">
        <v>167</v>
      </c>
      <c r="F204" s="8" t="s">
        <v>652</v>
      </c>
      <c r="G204" s="8" t="s">
        <v>652</v>
      </c>
      <c r="H204" s="9">
        <v>50000</v>
      </c>
      <c r="I204" s="9">
        <f>[1]!Tabel1[[#This Row],[Honorar]]*[1]!Tabel1[[#This Row],[Sandsynlighed]]</f>
        <v>0</v>
      </c>
      <c r="J204" s="10">
        <v>2022</v>
      </c>
      <c r="K204" s="1">
        <v>2023</v>
      </c>
      <c r="L204" s="8" t="s">
        <v>653</v>
      </c>
      <c r="M204" s="11">
        <v>1</v>
      </c>
      <c r="N204" s="1"/>
      <c r="O204" s="10">
        <v>46279.611087962963</v>
      </c>
      <c r="P204" s="10"/>
      <c r="Q204" s="1" t="s">
        <v>46</v>
      </c>
      <c r="R204" s="8" t="s">
        <v>47</v>
      </c>
      <c r="S20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0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0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0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0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0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0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0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0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0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0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0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0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04" s="12">
        <f ca="1">[1]!Tabel1[[#This Row],[Vægtet Honorar]]*([1]!Tabel1[[#This Row],[Sidst redigeret]]&gt;TODAY()-40)*([1]!Tabel1[[#This Row],[Er i resplan?]]&lt;&gt;"Ja")*([1]!Tabel1[[#This Row],[Status]]="Pågår")</f>
        <v>0</v>
      </c>
      <c r="AG204" s="12">
        <f ca="1">[1]!Tabel1[[#This Row],[Vægtet Honorar]]*([1]!Tabel1[[#This Row],[Sidst redigeret]]&gt;TODAY()-40)*([1]!Tabel1[[#This Row],[Status]]="Pågår")</f>
        <v>0</v>
      </c>
      <c r="AH204" s="13"/>
      <c r="AI204" s="12"/>
      <c r="AJ204" s="12"/>
      <c r="AK204" s="12"/>
      <c r="AL204" s="12"/>
      <c r="AM204" s="12"/>
      <c r="AN204" s="12"/>
      <c r="AO204" s="12"/>
      <c r="AP204" s="12"/>
    </row>
    <row r="205" spans="1:42">
      <c r="A205" t="s">
        <v>654</v>
      </c>
      <c r="B205" s="8"/>
      <c r="C205" s="8" t="s">
        <v>655</v>
      </c>
      <c r="D205" s="8" t="s">
        <v>65</v>
      </c>
      <c r="E205" s="8" t="s">
        <v>167</v>
      </c>
      <c r="F205" s="8" t="s">
        <v>656</v>
      </c>
      <c r="G205" s="8" t="s">
        <v>656</v>
      </c>
      <c r="H205" s="9">
        <v>100000</v>
      </c>
      <c r="I205" s="9">
        <f>[1]!Tabel1[[#This Row],[Honorar]]*[1]!Tabel1[[#This Row],[Sandsynlighed]]</f>
        <v>3000000</v>
      </c>
      <c r="J205" s="10" t="s">
        <v>622</v>
      </c>
      <c r="K205" s="1" t="s">
        <v>328</v>
      </c>
      <c r="L205" s="8"/>
      <c r="M205" s="11">
        <v>1</v>
      </c>
      <c r="N205" s="1"/>
      <c r="O205" s="10">
        <v>46279.611087962963</v>
      </c>
      <c r="P205" s="10"/>
      <c r="Q205" s="1" t="s">
        <v>46</v>
      </c>
      <c r="R205" s="8" t="s">
        <v>47</v>
      </c>
      <c r="S20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0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0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0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0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0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0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0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0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0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0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0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0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05" s="12">
        <f ca="1">[1]!Tabel1[[#This Row],[Vægtet Honorar]]*([1]!Tabel1[[#This Row],[Sidst redigeret]]&gt;TODAY()-40)*([1]!Tabel1[[#This Row],[Er i resplan?]]&lt;&gt;"Ja")*([1]!Tabel1[[#This Row],[Status]]="Pågår")</f>
        <v>0</v>
      </c>
      <c r="AG205" s="12">
        <f ca="1">[1]!Tabel1[[#This Row],[Vægtet Honorar]]*([1]!Tabel1[[#This Row],[Sidst redigeret]]&gt;TODAY()-40)*([1]!Tabel1[[#This Row],[Status]]="Pågår")</f>
        <v>0</v>
      </c>
      <c r="AH205" s="13"/>
      <c r="AI205" s="12"/>
      <c r="AJ205" s="12"/>
      <c r="AK205" s="12"/>
      <c r="AL205" s="12"/>
      <c r="AM205" s="12"/>
      <c r="AN205" s="12"/>
      <c r="AO205" s="12"/>
      <c r="AP205" s="12"/>
    </row>
    <row r="206" spans="1:42">
      <c r="A206" t="s">
        <v>657</v>
      </c>
      <c r="B206" s="8"/>
      <c r="C206" s="8" t="s">
        <v>658</v>
      </c>
      <c r="D206" s="8" t="s">
        <v>158</v>
      </c>
      <c r="E206" s="8" t="s">
        <v>167</v>
      </c>
      <c r="F206" s="8" t="s">
        <v>659</v>
      </c>
      <c r="G206" s="8" t="s">
        <v>660</v>
      </c>
      <c r="H206" s="9">
        <v>15000</v>
      </c>
      <c r="I206" s="9">
        <f>[1]!Tabel1[[#This Row],[Honorar]]*[1]!Tabel1[[#This Row],[Sandsynlighed]]</f>
        <v>300000</v>
      </c>
      <c r="J206" s="10">
        <v>2022</v>
      </c>
      <c r="K206" s="1">
        <v>2022</v>
      </c>
      <c r="L206" s="8"/>
      <c r="M206" s="11">
        <v>0.9</v>
      </c>
      <c r="N206" s="1"/>
      <c r="O206" s="10">
        <v>46279.611087962963</v>
      </c>
      <c r="P206" s="10"/>
      <c r="Q206" s="1" t="s">
        <v>46</v>
      </c>
      <c r="R206" s="8" t="s">
        <v>661</v>
      </c>
      <c r="S20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0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0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0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0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0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0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0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0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0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0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0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0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06" s="12">
        <f ca="1">[1]!Tabel1[[#This Row],[Vægtet Honorar]]*([1]!Tabel1[[#This Row],[Sidst redigeret]]&gt;TODAY()-40)*([1]!Tabel1[[#This Row],[Er i resplan?]]&lt;&gt;"Ja")*([1]!Tabel1[[#This Row],[Status]]="Pågår")</f>
        <v>0</v>
      </c>
      <c r="AG206" s="12">
        <f ca="1">[1]!Tabel1[[#This Row],[Vægtet Honorar]]*([1]!Tabel1[[#This Row],[Sidst redigeret]]&gt;TODAY()-40)*([1]!Tabel1[[#This Row],[Status]]="Pågår")</f>
        <v>0</v>
      </c>
      <c r="AH206" s="13"/>
      <c r="AI206" s="12"/>
      <c r="AJ206" s="12"/>
      <c r="AK206" s="12"/>
      <c r="AL206" s="12"/>
      <c r="AM206" s="12"/>
      <c r="AN206" s="12"/>
      <c r="AO206" s="12"/>
      <c r="AP206" s="12"/>
    </row>
    <row r="207" spans="1:42">
      <c r="A207" t="s">
        <v>662</v>
      </c>
      <c r="B207" s="8"/>
      <c r="C207" s="8" t="s">
        <v>663</v>
      </c>
      <c r="D207" s="8" t="s">
        <v>158</v>
      </c>
      <c r="E207" s="8" t="s">
        <v>167</v>
      </c>
      <c r="F207" s="8" t="s">
        <v>664</v>
      </c>
      <c r="G207" s="8" t="s">
        <v>664</v>
      </c>
      <c r="H207" s="9">
        <v>75000</v>
      </c>
      <c r="I207" s="9">
        <f>[1]!Tabel1[[#This Row],[Honorar]]*[1]!Tabel1[[#This Row],[Sandsynlighed]]</f>
        <v>250000</v>
      </c>
      <c r="J207" s="10">
        <v>2023</v>
      </c>
      <c r="K207" s="1">
        <v>2023</v>
      </c>
      <c r="L207" s="8"/>
      <c r="M207" s="11">
        <v>0.5</v>
      </c>
      <c r="N207" s="1"/>
      <c r="O207" s="10">
        <v>46279.611087962963</v>
      </c>
      <c r="P207" s="10"/>
      <c r="Q207" s="1" t="s">
        <v>46</v>
      </c>
      <c r="R207" s="8" t="s">
        <v>49</v>
      </c>
      <c r="S20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0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0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0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0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0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0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0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0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0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0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0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0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07" s="12">
        <f ca="1">[1]!Tabel1[[#This Row],[Vægtet Honorar]]*([1]!Tabel1[[#This Row],[Sidst redigeret]]&gt;TODAY()-40)*([1]!Tabel1[[#This Row],[Er i resplan?]]&lt;&gt;"Ja")*([1]!Tabel1[[#This Row],[Status]]="Pågår")</f>
        <v>0</v>
      </c>
      <c r="AG207" s="12">
        <f ca="1">[1]!Tabel1[[#This Row],[Vægtet Honorar]]*([1]!Tabel1[[#This Row],[Sidst redigeret]]&gt;TODAY()-40)*([1]!Tabel1[[#This Row],[Status]]="Pågår")</f>
        <v>0</v>
      </c>
      <c r="AH207" s="13"/>
      <c r="AI207" s="12"/>
      <c r="AJ207" s="12"/>
      <c r="AK207" s="12"/>
      <c r="AL207" s="12"/>
      <c r="AM207" s="12"/>
      <c r="AN207" s="12"/>
      <c r="AO207" s="12"/>
      <c r="AP207" s="12"/>
    </row>
    <row r="208" spans="1:42">
      <c r="A208" t="s">
        <v>665</v>
      </c>
      <c r="B208" s="8"/>
      <c r="C208" s="8" t="s">
        <v>666</v>
      </c>
      <c r="D208" s="8" t="s">
        <v>158</v>
      </c>
      <c r="E208" s="8" t="s">
        <v>167</v>
      </c>
      <c r="F208" s="8" t="s">
        <v>667</v>
      </c>
      <c r="G208" s="8" t="s">
        <v>667</v>
      </c>
      <c r="H208" s="9">
        <v>750000</v>
      </c>
      <c r="I208" s="9">
        <f>[1]!Tabel1[[#This Row],[Honorar]]*[1]!Tabel1[[#This Row],[Sandsynlighed]]</f>
        <v>0</v>
      </c>
      <c r="J208" s="10" t="s">
        <v>452</v>
      </c>
      <c r="K208" s="1">
        <v>2025</v>
      </c>
      <c r="L208" s="8"/>
      <c r="M208" s="11">
        <v>0.1</v>
      </c>
      <c r="N208" s="1"/>
      <c r="O208" s="10">
        <v>46279.611087962963</v>
      </c>
      <c r="P208" s="10"/>
      <c r="Q208" s="1" t="s">
        <v>46</v>
      </c>
      <c r="R208" s="8" t="s">
        <v>343</v>
      </c>
      <c r="S20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0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0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0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0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0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0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0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0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0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0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0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0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08" s="12">
        <f ca="1">[1]!Tabel1[[#This Row],[Vægtet Honorar]]*([1]!Tabel1[[#This Row],[Sidst redigeret]]&gt;TODAY()-40)*([1]!Tabel1[[#This Row],[Er i resplan?]]&lt;&gt;"Ja")*([1]!Tabel1[[#This Row],[Status]]="Pågår")</f>
        <v>0</v>
      </c>
      <c r="AG208" s="12">
        <f ca="1">[1]!Tabel1[[#This Row],[Vægtet Honorar]]*([1]!Tabel1[[#This Row],[Sidst redigeret]]&gt;TODAY()-40)*([1]!Tabel1[[#This Row],[Status]]="Pågår")</f>
        <v>0</v>
      </c>
      <c r="AH208" s="13"/>
      <c r="AI208" s="12"/>
      <c r="AJ208" s="12"/>
      <c r="AK208" s="12"/>
      <c r="AL208" s="12"/>
      <c r="AM208" s="12"/>
      <c r="AN208" s="12"/>
      <c r="AO208" s="12"/>
      <c r="AP208" s="12"/>
    </row>
    <row r="209" spans="1:42">
      <c r="A209" t="s">
        <v>668</v>
      </c>
      <c r="B209" s="8"/>
      <c r="C209" s="8" t="s">
        <v>669</v>
      </c>
      <c r="D209" s="8" t="s">
        <v>670</v>
      </c>
      <c r="E209" s="8" t="s">
        <v>167</v>
      </c>
      <c r="F209" s="8" t="s">
        <v>671</v>
      </c>
      <c r="G209" s="8" t="s">
        <v>671</v>
      </c>
      <c r="H209" s="9">
        <v>200000</v>
      </c>
      <c r="I209" s="9">
        <f>[1]!Tabel1[[#This Row],[Honorar]]*[1]!Tabel1[[#This Row],[Sandsynlighed]]</f>
        <v>50000</v>
      </c>
      <c r="J209" s="10" t="s">
        <v>584</v>
      </c>
      <c r="K209" s="1" t="s">
        <v>452</v>
      </c>
      <c r="L209" s="8"/>
      <c r="M209" s="11">
        <v>1</v>
      </c>
      <c r="N209" s="1"/>
      <c r="O209" s="10">
        <v>46279.61109953704</v>
      </c>
      <c r="P209" s="10"/>
      <c r="Q209" s="1" t="s">
        <v>46</v>
      </c>
      <c r="R209" s="8" t="s">
        <v>47</v>
      </c>
      <c r="S20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0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0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0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0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0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0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0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0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0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0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0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0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09" s="12">
        <f ca="1">[1]!Tabel1[[#This Row],[Vægtet Honorar]]*([1]!Tabel1[[#This Row],[Sidst redigeret]]&gt;TODAY()-40)*([1]!Tabel1[[#This Row],[Er i resplan?]]&lt;&gt;"Ja")*([1]!Tabel1[[#This Row],[Status]]="Pågår")</f>
        <v>0</v>
      </c>
      <c r="AG209" s="12">
        <f ca="1">[1]!Tabel1[[#This Row],[Vægtet Honorar]]*([1]!Tabel1[[#This Row],[Sidst redigeret]]&gt;TODAY()-40)*([1]!Tabel1[[#This Row],[Status]]="Pågår")</f>
        <v>0</v>
      </c>
      <c r="AH209" s="13"/>
      <c r="AI209" s="12"/>
      <c r="AJ209" s="12"/>
      <c r="AK209" s="12"/>
      <c r="AL209" s="12"/>
      <c r="AM209" s="12"/>
      <c r="AN209" s="12"/>
      <c r="AO209" s="12"/>
      <c r="AP209" s="12"/>
    </row>
    <row r="210" spans="1:42">
      <c r="A210" t="s">
        <v>672</v>
      </c>
      <c r="B210" s="8"/>
      <c r="C210" s="8" t="s">
        <v>673</v>
      </c>
      <c r="D210" s="8" t="s">
        <v>158</v>
      </c>
      <c r="E210" s="8" t="s">
        <v>167</v>
      </c>
      <c r="F210" s="8" t="s">
        <v>674</v>
      </c>
      <c r="G210" s="8" t="s">
        <v>675</v>
      </c>
      <c r="H210" s="9">
        <v>27000</v>
      </c>
      <c r="I210" s="9">
        <f>[1]!Tabel1[[#This Row],[Honorar]]*[1]!Tabel1[[#This Row],[Sandsynlighed]]</f>
        <v>100000</v>
      </c>
      <c r="J210" s="10">
        <v>44907</v>
      </c>
      <c r="K210" s="10">
        <v>44918</v>
      </c>
      <c r="L210" s="8"/>
      <c r="M210" s="11">
        <v>1</v>
      </c>
      <c r="N210" s="1"/>
      <c r="O210" s="10">
        <v>46279.61109953704</v>
      </c>
      <c r="P210" s="10"/>
      <c r="Q210" s="1" t="s">
        <v>46</v>
      </c>
      <c r="R210" s="8" t="s">
        <v>676</v>
      </c>
      <c r="S21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1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1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1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1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1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1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1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1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1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1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1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1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10" s="12">
        <f ca="1">[1]!Tabel1[[#This Row],[Vægtet Honorar]]*([1]!Tabel1[[#This Row],[Sidst redigeret]]&gt;TODAY()-40)*([1]!Tabel1[[#This Row],[Er i resplan?]]&lt;&gt;"Ja")*([1]!Tabel1[[#This Row],[Status]]="Pågår")</f>
        <v>0</v>
      </c>
      <c r="AG210" s="12">
        <f ca="1">[1]!Tabel1[[#This Row],[Vægtet Honorar]]*([1]!Tabel1[[#This Row],[Sidst redigeret]]&gt;TODAY()-40)*([1]!Tabel1[[#This Row],[Status]]="Pågår")</f>
        <v>0</v>
      </c>
      <c r="AH210" s="13"/>
      <c r="AI210" s="12"/>
      <c r="AJ210" s="12"/>
      <c r="AK210" s="12"/>
      <c r="AL210" s="12"/>
      <c r="AM210" s="12"/>
      <c r="AN210" s="12"/>
      <c r="AO210" s="12"/>
      <c r="AP210" s="12"/>
    </row>
    <row r="211" spans="1:42">
      <c r="A211" t="s">
        <v>677</v>
      </c>
      <c r="B211" s="8"/>
      <c r="C211" s="8" t="s">
        <v>678</v>
      </c>
      <c r="D211" s="8" t="s">
        <v>57</v>
      </c>
      <c r="E211" s="8" t="s">
        <v>94</v>
      </c>
      <c r="F211" s="8" t="s">
        <v>679</v>
      </c>
      <c r="G211" s="8" t="s">
        <v>680</v>
      </c>
      <c r="H211" s="9">
        <v>4000000</v>
      </c>
      <c r="I211" s="9">
        <f>[1]!Tabel1[[#This Row],[Honorar]]*[1]!Tabel1[[#This Row],[Sandsynlighed]]</f>
        <v>13500</v>
      </c>
      <c r="J211" s="10">
        <v>44958</v>
      </c>
      <c r="K211" s="1">
        <v>2025</v>
      </c>
      <c r="L211" s="8" t="s">
        <v>681</v>
      </c>
      <c r="M211" s="11">
        <v>0.01</v>
      </c>
      <c r="N211" s="14">
        <v>45171.51662037037</v>
      </c>
      <c r="O211" s="10">
        <v>46279.61109953704</v>
      </c>
      <c r="P211" s="1" t="s">
        <v>72</v>
      </c>
      <c r="Q211" s="1"/>
      <c r="R211" s="8" t="s">
        <v>49</v>
      </c>
      <c r="S21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1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1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1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1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1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1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1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1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1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1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1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1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11" s="12">
        <f ca="1">[1]!Tabel1[[#This Row],[Vægtet Honorar]]*([1]!Tabel1[[#This Row],[Sidst redigeret]]&gt;TODAY()-40)*([1]!Tabel1[[#This Row],[Er i resplan?]]&lt;&gt;"Ja")*([1]!Tabel1[[#This Row],[Status]]="Pågår")</f>
        <v>0</v>
      </c>
      <c r="AG211" s="12">
        <f ca="1">[1]!Tabel1[[#This Row],[Vægtet Honorar]]*([1]!Tabel1[[#This Row],[Sidst redigeret]]&gt;TODAY()-40)*([1]!Tabel1[[#This Row],[Status]]="Pågår")</f>
        <v>0</v>
      </c>
      <c r="AH211" s="13"/>
      <c r="AI211" s="12"/>
      <c r="AJ211" s="12"/>
      <c r="AK211" s="12"/>
      <c r="AL211" s="12"/>
      <c r="AM211" s="12"/>
      <c r="AN211" s="12"/>
      <c r="AO211" s="12"/>
      <c r="AP211" s="12"/>
    </row>
    <row r="212" spans="1:42">
      <c r="A212" t="s">
        <v>682</v>
      </c>
      <c r="B212" s="8"/>
      <c r="C212" s="8" t="s">
        <v>683</v>
      </c>
      <c r="D212" s="8" t="s">
        <v>57</v>
      </c>
      <c r="E212" s="8" t="s">
        <v>167</v>
      </c>
      <c r="F212" s="8" t="s">
        <v>671</v>
      </c>
      <c r="G212" s="8" t="s">
        <v>684</v>
      </c>
      <c r="H212" s="9">
        <v>5000</v>
      </c>
      <c r="I212" s="9">
        <f>[1]!Tabel1[[#This Row],[Honorar]]*[1]!Tabel1[[#This Row],[Sandsynlighed]]</f>
        <v>37500</v>
      </c>
      <c r="J212" s="10">
        <v>2022</v>
      </c>
      <c r="K212" s="1">
        <v>2022</v>
      </c>
      <c r="L212" s="8"/>
      <c r="M212" s="11">
        <v>0.5</v>
      </c>
      <c r="N212" s="1"/>
      <c r="O212" s="10">
        <v>46279.61109953704</v>
      </c>
      <c r="P212" s="10"/>
      <c r="Q212" s="1"/>
      <c r="R212" s="8" t="s">
        <v>75</v>
      </c>
      <c r="S21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1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1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1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1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1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1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1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1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1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1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1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1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12" s="12">
        <f ca="1">[1]!Tabel1[[#This Row],[Vægtet Honorar]]*([1]!Tabel1[[#This Row],[Sidst redigeret]]&gt;TODAY()-40)*([1]!Tabel1[[#This Row],[Er i resplan?]]&lt;&gt;"Ja")*([1]!Tabel1[[#This Row],[Status]]="Pågår")</f>
        <v>0</v>
      </c>
      <c r="AG212" s="12">
        <f ca="1">[1]!Tabel1[[#This Row],[Vægtet Honorar]]*([1]!Tabel1[[#This Row],[Sidst redigeret]]&gt;TODAY()-40)*([1]!Tabel1[[#This Row],[Status]]="Pågår")</f>
        <v>0</v>
      </c>
      <c r="AH212" s="13"/>
      <c r="AI212" s="12"/>
      <c r="AJ212" s="12"/>
      <c r="AK212" s="12"/>
      <c r="AL212" s="12"/>
      <c r="AM212" s="12"/>
      <c r="AN212" s="12"/>
      <c r="AO212" s="12"/>
      <c r="AP212" s="12"/>
    </row>
    <row r="213" spans="1:42">
      <c r="A213" t="s">
        <v>685</v>
      </c>
      <c r="B213" s="8"/>
      <c r="C213" s="8" t="s">
        <v>686</v>
      </c>
      <c r="D213" s="8" t="s">
        <v>687</v>
      </c>
      <c r="E213" s="8"/>
      <c r="F213" s="8"/>
      <c r="G213" s="8"/>
      <c r="H213" s="9"/>
      <c r="I213" s="9">
        <f>[1]!Tabel1[[#This Row],[Honorar]]*[1]!Tabel1[[#This Row],[Sandsynlighed]]</f>
        <v>75000</v>
      </c>
      <c r="J213" s="10"/>
      <c r="K213" s="1"/>
      <c r="L213" s="8"/>
      <c r="M213" s="11"/>
      <c r="N213" s="1" t="s">
        <v>688</v>
      </c>
      <c r="O213" s="10">
        <v>46279.61109953704</v>
      </c>
      <c r="P213" s="10"/>
      <c r="Q213" s="1"/>
      <c r="R213" s="8" t="s">
        <v>49</v>
      </c>
      <c r="S21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1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1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1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1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1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1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1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1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1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1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1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1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13" s="12">
        <f ca="1">[1]!Tabel1[[#This Row],[Vægtet Honorar]]*([1]!Tabel1[[#This Row],[Sidst redigeret]]&gt;TODAY()-40)*([1]!Tabel1[[#This Row],[Er i resplan?]]&lt;&gt;"Ja")*([1]!Tabel1[[#This Row],[Status]]="Pågår")</f>
        <v>0</v>
      </c>
      <c r="AG213" s="12">
        <f ca="1">[1]!Tabel1[[#This Row],[Vægtet Honorar]]*([1]!Tabel1[[#This Row],[Sidst redigeret]]&gt;TODAY()-40)*([1]!Tabel1[[#This Row],[Status]]="Pågår")</f>
        <v>75000</v>
      </c>
      <c r="AH213" s="13"/>
      <c r="AI213" s="12"/>
      <c r="AJ213" s="12"/>
      <c r="AK213" s="12"/>
      <c r="AL213" s="12"/>
      <c r="AM213" s="12"/>
      <c r="AN213" s="12"/>
      <c r="AO213" s="12"/>
      <c r="AP213" s="12"/>
    </row>
    <row r="214" spans="1:42">
      <c r="A214" t="s">
        <v>689</v>
      </c>
      <c r="B214" s="8"/>
      <c r="C214" s="8" t="s">
        <v>690</v>
      </c>
      <c r="D214" s="8" t="s">
        <v>119</v>
      </c>
      <c r="E214" s="8" t="s">
        <v>120</v>
      </c>
      <c r="F214" s="8" t="s">
        <v>691</v>
      </c>
      <c r="G214" s="8" t="s">
        <v>691</v>
      </c>
      <c r="H214" s="9">
        <v>0</v>
      </c>
      <c r="I214" s="9">
        <f>[1]!Tabel1[[#This Row],[Honorar]]*[1]!Tabel1[[#This Row],[Sandsynlighed]]</f>
        <v>200000</v>
      </c>
      <c r="J214" s="10">
        <v>45031</v>
      </c>
      <c r="K214" s="1">
        <v>2024</v>
      </c>
      <c r="L214" s="8" t="s">
        <v>692</v>
      </c>
      <c r="M214" s="11">
        <v>0</v>
      </c>
      <c r="N214" s="1" t="s">
        <v>688</v>
      </c>
      <c r="O214" s="10">
        <v>46279.61109953704</v>
      </c>
      <c r="P214" s="10"/>
      <c r="Q214" s="1" t="s">
        <v>72</v>
      </c>
      <c r="R214" s="8" t="s">
        <v>75</v>
      </c>
      <c r="S21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1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1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1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1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1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1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1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1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1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1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1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1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14" s="12">
        <f ca="1">[1]!Tabel1[[#This Row],[Vægtet Honorar]]*([1]!Tabel1[[#This Row],[Sidst redigeret]]&gt;TODAY()-40)*([1]!Tabel1[[#This Row],[Er i resplan?]]&lt;&gt;"Ja")*([1]!Tabel1[[#This Row],[Status]]="Pågår")</f>
        <v>0</v>
      </c>
      <c r="AG214" s="12">
        <f ca="1">[1]!Tabel1[[#This Row],[Vægtet Honorar]]*([1]!Tabel1[[#This Row],[Sidst redigeret]]&gt;TODAY()-40)*([1]!Tabel1[[#This Row],[Status]]="Pågår")</f>
        <v>0</v>
      </c>
      <c r="AH214" s="13"/>
      <c r="AI214" s="12" t="s">
        <v>628</v>
      </c>
      <c r="AJ214" s="12" t="s">
        <v>693</v>
      </c>
      <c r="AK214" s="12"/>
      <c r="AL214" s="12" t="s">
        <v>577</v>
      </c>
      <c r="AM214" s="12" t="s">
        <v>694</v>
      </c>
      <c r="AN214" s="12" t="s">
        <v>695</v>
      </c>
      <c r="AO214" s="12" t="s">
        <v>696</v>
      </c>
      <c r="AP214" s="12"/>
    </row>
    <row r="215" spans="1:42">
      <c r="A215" t="s">
        <v>697</v>
      </c>
      <c r="B215" s="8"/>
      <c r="C215" s="8"/>
      <c r="D215" s="8"/>
      <c r="E215" s="8"/>
      <c r="F215" s="8"/>
      <c r="G215" s="8"/>
      <c r="H215" s="9"/>
      <c r="I215" s="9">
        <f>[1]!Tabel1[[#This Row],[Honorar]]*[1]!Tabel1[[#This Row],[Sandsynlighed]]</f>
        <v>27000</v>
      </c>
      <c r="J215" s="10"/>
      <c r="K215" s="1"/>
      <c r="L215" s="8"/>
      <c r="M215" s="11"/>
      <c r="N215" s="1"/>
      <c r="O215" s="10">
        <v>46279.61109953704</v>
      </c>
      <c r="P215" s="10"/>
      <c r="Q215" s="1"/>
      <c r="R215" s="8" t="s">
        <v>49</v>
      </c>
      <c r="S21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1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1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1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1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1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1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1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1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1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1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1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1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15" s="12">
        <f ca="1">[1]!Tabel1[[#This Row],[Vægtet Honorar]]*([1]!Tabel1[[#This Row],[Sidst redigeret]]&gt;TODAY()-40)*([1]!Tabel1[[#This Row],[Er i resplan?]]&lt;&gt;"Ja")*([1]!Tabel1[[#This Row],[Status]]="Pågår")</f>
        <v>0</v>
      </c>
      <c r="AG215" s="12">
        <f ca="1">[1]!Tabel1[[#This Row],[Vægtet Honorar]]*([1]!Tabel1[[#This Row],[Sidst redigeret]]&gt;TODAY()-40)*([1]!Tabel1[[#This Row],[Status]]="Pågår")</f>
        <v>0</v>
      </c>
      <c r="AH215" s="13"/>
      <c r="AI215" s="12"/>
      <c r="AJ215" s="12"/>
      <c r="AK215" s="12"/>
      <c r="AL215" s="12"/>
      <c r="AM215" s="12"/>
      <c r="AN215" s="12"/>
      <c r="AO215" s="12"/>
      <c r="AP215" s="12"/>
    </row>
    <row r="216" spans="1:42">
      <c r="A216" t="s">
        <v>698</v>
      </c>
      <c r="B216" s="8"/>
      <c r="C216" s="8" t="s">
        <v>699</v>
      </c>
      <c r="D216" s="8" t="s">
        <v>158</v>
      </c>
      <c r="E216" s="8" t="s">
        <v>167</v>
      </c>
      <c r="F216" s="8" t="s">
        <v>671</v>
      </c>
      <c r="G216" s="8" t="s">
        <v>700</v>
      </c>
      <c r="H216" s="9">
        <v>15000</v>
      </c>
      <c r="I216" s="9">
        <f>[1]!Tabel1[[#This Row],[Honorar]]*[1]!Tabel1[[#This Row],[Sandsynlighed]]</f>
        <v>40000</v>
      </c>
      <c r="J216" s="10">
        <v>2023</v>
      </c>
      <c r="K216" s="1">
        <v>2023</v>
      </c>
      <c r="L216" s="8" t="s">
        <v>701</v>
      </c>
      <c r="M216" s="11">
        <v>1</v>
      </c>
      <c r="N216" s="1" t="s">
        <v>702</v>
      </c>
      <c r="O216" s="10">
        <v>46279.61109953704</v>
      </c>
      <c r="P216" s="10"/>
      <c r="Q216" s="1" t="s">
        <v>72</v>
      </c>
      <c r="R216" s="8" t="s">
        <v>47</v>
      </c>
      <c r="S21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1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1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1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1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1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1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1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1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1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1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1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1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16" s="12">
        <f ca="1">[1]!Tabel1[[#This Row],[Vægtet Honorar]]*([1]!Tabel1[[#This Row],[Sidst redigeret]]&gt;TODAY()-40)*([1]!Tabel1[[#This Row],[Er i resplan?]]&lt;&gt;"Ja")*([1]!Tabel1[[#This Row],[Status]]="Pågår")</f>
        <v>0</v>
      </c>
      <c r="AG216" s="12">
        <f ca="1">[1]!Tabel1[[#This Row],[Vægtet Honorar]]*([1]!Tabel1[[#This Row],[Sidst redigeret]]&gt;TODAY()-40)*([1]!Tabel1[[#This Row],[Status]]="Pågår")</f>
        <v>0</v>
      </c>
      <c r="AH216" s="13"/>
      <c r="AI216" s="12"/>
      <c r="AJ216" s="12"/>
      <c r="AK216" s="12"/>
      <c r="AL216" s="12"/>
      <c r="AM216" s="12"/>
      <c r="AN216" s="12"/>
      <c r="AO216" s="12"/>
      <c r="AP216" s="12"/>
    </row>
    <row r="217" spans="1:42">
      <c r="A217" t="s">
        <v>703</v>
      </c>
      <c r="B217" s="8"/>
      <c r="C217" s="8" t="s">
        <v>704</v>
      </c>
      <c r="D217" s="8" t="s">
        <v>70</v>
      </c>
      <c r="E217" s="8" t="s">
        <v>102</v>
      </c>
      <c r="F217" s="8" t="s">
        <v>111</v>
      </c>
      <c r="G217" s="8" t="s">
        <v>111</v>
      </c>
      <c r="H217" s="9">
        <v>175000</v>
      </c>
      <c r="I217" s="9">
        <f>[1]!Tabel1[[#This Row],[Honorar]]*[1]!Tabel1[[#This Row],[Sandsynlighed]]</f>
        <v>2500</v>
      </c>
      <c r="J217" s="10" t="s">
        <v>103</v>
      </c>
      <c r="K217" s="1">
        <v>2023</v>
      </c>
      <c r="L217" s="8" t="s">
        <v>104</v>
      </c>
      <c r="M217" s="11">
        <v>1</v>
      </c>
      <c r="N217" s="1" t="s">
        <v>105</v>
      </c>
      <c r="O217" s="10">
        <v>46279.61109953704</v>
      </c>
      <c r="P217" s="10"/>
      <c r="Q217" s="1" t="s">
        <v>46</v>
      </c>
      <c r="R217" s="8" t="s">
        <v>47</v>
      </c>
      <c r="S21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1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1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1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1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1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1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1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1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1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1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1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1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17" s="12">
        <f ca="1">[1]!Tabel1[[#This Row],[Vægtet Honorar]]*([1]!Tabel1[[#This Row],[Sidst redigeret]]&gt;TODAY()-40)*([1]!Tabel1[[#This Row],[Er i resplan?]]&lt;&gt;"Ja")*([1]!Tabel1[[#This Row],[Status]]="Pågår")</f>
        <v>0</v>
      </c>
      <c r="AG217" s="12">
        <f ca="1">[1]!Tabel1[[#This Row],[Vægtet Honorar]]*([1]!Tabel1[[#This Row],[Sidst redigeret]]&gt;TODAY()-40)*([1]!Tabel1[[#This Row],[Status]]="Pågår")</f>
        <v>0</v>
      </c>
      <c r="AH217" s="13"/>
      <c r="AI217" s="12"/>
      <c r="AJ217" s="12"/>
      <c r="AK217" s="12"/>
      <c r="AL217" s="12"/>
      <c r="AM217" s="12"/>
      <c r="AN217" s="12"/>
      <c r="AO217" s="12"/>
      <c r="AP217" s="12"/>
    </row>
    <row r="218" spans="1:42">
      <c r="A218" t="s">
        <v>705</v>
      </c>
      <c r="B218" s="8"/>
      <c r="C218" s="8" t="s">
        <v>706</v>
      </c>
      <c r="D218" s="8" t="s">
        <v>707</v>
      </c>
      <c r="E218" s="8" t="s">
        <v>94</v>
      </c>
      <c r="F218" s="8" t="s">
        <v>708</v>
      </c>
      <c r="G218" s="8" t="s">
        <v>709</v>
      </c>
      <c r="H218" s="9">
        <v>400000</v>
      </c>
      <c r="I218" s="9">
        <f>[1]!Tabel1[[#This Row],[Honorar]]*[1]!Tabel1[[#This Row],[Sandsynlighed]]</f>
        <v>0</v>
      </c>
      <c r="J218" s="10">
        <v>2023</v>
      </c>
      <c r="K218" s="1">
        <v>2023</v>
      </c>
      <c r="L218" s="8"/>
      <c r="M218" s="11">
        <v>1</v>
      </c>
      <c r="N218" s="1" t="s">
        <v>710</v>
      </c>
      <c r="O218" s="10">
        <v>46279.61109953704</v>
      </c>
      <c r="P218" s="1" t="s">
        <v>72</v>
      </c>
      <c r="Q218" s="1" t="s">
        <v>711</v>
      </c>
      <c r="R218" s="8" t="s">
        <v>47</v>
      </c>
      <c r="S21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1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1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1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1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1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1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1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1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1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1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1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1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18" s="12">
        <f ca="1">[1]!Tabel1[[#This Row],[Vægtet Honorar]]*([1]!Tabel1[[#This Row],[Sidst redigeret]]&gt;TODAY()-40)*([1]!Tabel1[[#This Row],[Er i resplan?]]&lt;&gt;"Ja")*([1]!Tabel1[[#This Row],[Status]]="Pågår")</f>
        <v>0</v>
      </c>
      <c r="AG218" s="12">
        <f ca="1">[1]!Tabel1[[#This Row],[Vægtet Honorar]]*([1]!Tabel1[[#This Row],[Sidst redigeret]]&gt;TODAY()-40)*([1]!Tabel1[[#This Row],[Status]]="Pågår")</f>
        <v>0</v>
      </c>
      <c r="AH218" s="13"/>
      <c r="AI218" s="12"/>
      <c r="AJ218" s="12"/>
      <c r="AK218" s="12"/>
      <c r="AL218" s="12"/>
      <c r="AM218" s="12"/>
      <c r="AN218" s="12"/>
      <c r="AO218" s="12"/>
      <c r="AP218" s="12"/>
    </row>
    <row r="219" spans="1:42">
      <c r="A219" t="s">
        <v>712</v>
      </c>
      <c r="B219" s="8"/>
      <c r="C219" s="8" t="s">
        <v>713</v>
      </c>
      <c r="D219" s="8" t="s">
        <v>269</v>
      </c>
      <c r="E219" s="8" t="s">
        <v>167</v>
      </c>
      <c r="F219" s="8" t="s">
        <v>714</v>
      </c>
      <c r="G219" s="8" t="s">
        <v>715</v>
      </c>
      <c r="H219" s="9">
        <v>200000</v>
      </c>
      <c r="I219" s="9">
        <f>[1]!Tabel1[[#This Row],[Honorar]]*[1]!Tabel1[[#This Row],[Sandsynlighed]]</f>
        <v>0</v>
      </c>
      <c r="J219" s="10" t="s">
        <v>584</v>
      </c>
      <c r="K219" s="1" t="s">
        <v>328</v>
      </c>
      <c r="L219" s="8"/>
      <c r="M219" s="11">
        <v>1</v>
      </c>
      <c r="N219" s="1"/>
      <c r="O219" s="10">
        <v>46279.61109953704</v>
      </c>
      <c r="P219" s="10"/>
      <c r="Q219" s="1" t="s">
        <v>46</v>
      </c>
      <c r="R219" s="8" t="s">
        <v>47</v>
      </c>
      <c r="S21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1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1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1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1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1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1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1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1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1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1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1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1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19" s="12">
        <f ca="1">[1]!Tabel1[[#This Row],[Vægtet Honorar]]*([1]!Tabel1[[#This Row],[Sidst redigeret]]&gt;TODAY()-40)*([1]!Tabel1[[#This Row],[Er i resplan?]]&lt;&gt;"Ja")*([1]!Tabel1[[#This Row],[Status]]="Pågår")</f>
        <v>0</v>
      </c>
      <c r="AG219" s="12">
        <f ca="1">[1]!Tabel1[[#This Row],[Vægtet Honorar]]*([1]!Tabel1[[#This Row],[Sidst redigeret]]&gt;TODAY()-40)*([1]!Tabel1[[#This Row],[Status]]="Pågår")</f>
        <v>0</v>
      </c>
      <c r="AH219" s="13"/>
      <c r="AI219" s="12"/>
      <c r="AJ219" s="12"/>
      <c r="AK219" s="12"/>
      <c r="AL219" s="12"/>
      <c r="AM219" s="12"/>
      <c r="AN219" s="12"/>
      <c r="AO219" s="12"/>
      <c r="AP219" s="12"/>
    </row>
    <row r="220" spans="1:42">
      <c r="A220" t="s">
        <v>716</v>
      </c>
      <c r="B220" s="8"/>
      <c r="C220" s="8" t="s">
        <v>717</v>
      </c>
      <c r="D220" s="8" t="s">
        <v>203</v>
      </c>
      <c r="E220" s="8" t="s">
        <v>167</v>
      </c>
      <c r="F220" s="8" t="s">
        <v>717</v>
      </c>
      <c r="G220" s="8" t="s">
        <v>717</v>
      </c>
      <c r="H220" s="9">
        <v>15000000</v>
      </c>
      <c r="I220" s="9">
        <f>[1]!Tabel1[[#This Row],[Honorar]]*[1]!Tabel1[[#This Row],[Sandsynlighed]]</f>
        <v>0</v>
      </c>
      <c r="J220" s="10">
        <v>2023</v>
      </c>
      <c r="K220" s="1">
        <v>2024</v>
      </c>
      <c r="L220" s="8"/>
      <c r="M220" s="11">
        <v>0</v>
      </c>
      <c r="N220" s="1"/>
      <c r="O220" s="10">
        <v>46279.61109953704</v>
      </c>
      <c r="P220" s="10"/>
      <c r="Q220" s="1" t="s">
        <v>72</v>
      </c>
      <c r="R220" s="8" t="s">
        <v>49</v>
      </c>
      <c r="S22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2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2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2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2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2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2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2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2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2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2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2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2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20" s="12">
        <f ca="1">[1]!Tabel1[[#This Row],[Vægtet Honorar]]*([1]!Tabel1[[#This Row],[Sidst redigeret]]&gt;TODAY()-40)*([1]!Tabel1[[#This Row],[Er i resplan?]]&lt;&gt;"Ja")*([1]!Tabel1[[#This Row],[Status]]="Pågår")</f>
        <v>0</v>
      </c>
      <c r="AG220" s="12">
        <f ca="1">[1]!Tabel1[[#This Row],[Vægtet Honorar]]*([1]!Tabel1[[#This Row],[Sidst redigeret]]&gt;TODAY()-40)*([1]!Tabel1[[#This Row],[Status]]="Pågår")</f>
        <v>0</v>
      </c>
      <c r="AH220" s="13"/>
      <c r="AI220" s="12"/>
      <c r="AJ220" s="12"/>
      <c r="AK220" s="12"/>
      <c r="AL220" s="12"/>
      <c r="AM220" s="12"/>
      <c r="AN220" s="12"/>
      <c r="AO220" s="12"/>
      <c r="AP220" s="12"/>
    </row>
    <row r="221" spans="1:42">
      <c r="A221" t="s">
        <v>718</v>
      </c>
      <c r="B221" s="8"/>
      <c r="C221" s="8" t="s">
        <v>719</v>
      </c>
      <c r="D221" s="8" t="s">
        <v>720</v>
      </c>
      <c r="E221" s="8" t="s">
        <v>71</v>
      </c>
      <c r="F221" s="8" t="s">
        <v>721</v>
      </c>
      <c r="G221" s="8" t="s">
        <v>722</v>
      </c>
      <c r="H221" s="9">
        <v>1500000</v>
      </c>
      <c r="I221" s="9">
        <f>[1]!Tabel1[[#This Row],[Honorar]]*[1]!Tabel1[[#This Row],[Sandsynlighed]]</f>
        <v>15000</v>
      </c>
      <c r="J221" s="10">
        <v>2023</v>
      </c>
      <c r="K221" s="1">
        <v>2024</v>
      </c>
      <c r="L221" s="8"/>
      <c r="M221" s="11">
        <v>0.3</v>
      </c>
      <c r="N221" s="1"/>
      <c r="O221" s="10">
        <v>46279.61109953704</v>
      </c>
      <c r="P221" s="10"/>
      <c r="Q221" s="1" t="s">
        <v>46</v>
      </c>
      <c r="R221" s="8" t="s">
        <v>75</v>
      </c>
      <c r="S22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2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2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2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2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2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2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2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2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2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2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2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2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21" s="12">
        <f ca="1">[1]!Tabel1[[#This Row],[Vægtet Honorar]]*([1]!Tabel1[[#This Row],[Sidst redigeret]]&gt;TODAY()-40)*([1]!Tabel1[[#This Row],[Er i resplan?]]&lt;&gt;"Ja")*([1]!Tabel1[[#This Row],[Status]]="Pågår")</f>
        <v>0</v>
      </c>
      <c r="AG221" s="12">
        <f ca="1">[1]!Tabel1[[#This Row],[Vægtet Honorar]]*([1]!Tabel1[[#This Row],[Sidst redigeret]]&gt;TODAY()-40)*([1]!Tabel1[[#This Row],[Status]]="Pågår")</f>
        <v>0</v>
      </c>
      <c r="AH221" s="13"/>
      <c r="AI221" s="12"/>
      <c r="AJ221" s="12"/>
      <c r="AK221" s="12"/>
      <c r="AL221" s="12"/>
      <c r="AM221" s="12"/>
      <c r="AN221" s="12"/>
      <c r="AO221" s="12"/>
      <c r="AP221" s="12"/>
    </row>
    <row r="222" spans="1:42">
      <c r="A222" t="s">
        <v>723</v>
      </c>
      <c r="B222" s="8"/>
      <c r="C222" s="8" t="s">
        <v>724</v>
      </c>
      <c r="D222" s="8" t="s">
        <v>725</v>
      </c>
      <c r="E222" s="8" t="s">
        <v>120</v>
      </c>
      <c r="F222" s="8" t="s">
        <v>726</v>
      </c>
      <c r="G222" s="8" t="s">
        <v>726</v>
      </c>
      <c r="H222" s="9">
        <v>5000000</v>
      </c>
      <c r="I222" s="9">
        <f>[1]!Tabel1[[#This Row],[Honorar]]*[1]!Tabel1[[#This Row],[Sandsynlighed]]</f>
        <v>175000</v>
      </c>
      <c r="J222" s="10" t="s">
        <v>452</v>
      </c>
      <c r="K222" s="1">
        <v>2025</v>
      </c>
      <c r="L222" s="8"/>
      <c r="M222" s="11">
        <v>0.2</v>
      </c>
      <c r="N222" s="1"/>
      <c r="O222" s="10">
        <v>46279.61109953704</v>
      </c>
      <c r="P222" s="10"/>
      <c r="Q222" s="1"/>
      <c r="R222" s="8" t="s">
        <v>75</v>
      </c>
      <c r="S22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2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2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2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2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2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2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2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2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2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2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2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2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22" s="12">
        <f ca="1">[1]!Tabel1[[#This Row],[Vægtet Honorar]]*([1]!Tabel1[[#This Row],[Sidst redigeret]]&gt;TODAY()-40)*([1]!Tabel1[[#This Row],[Er i resplan?]]&lt;&gt;"Ja")*([1]!Tabel1[[#This Row],[Status]]="Pågår")</f>
        <v>0</v>
      </c>
      <c r="AG222" s="12">
        <f ca="1">[1]!Tabel1[[#This Row],[Vægtet Honorar]]*([1]!Tabel1[[#This Row],[Sidst redigeret]]&gt;TODAY()-40)*([1]!Tabel1[[#This Row],[Status]]="Pågår")</f>
        <v>0</v>
      </c>
      <c r="AH222" s="13"/>
      <c r="AI222" s="12" t="s">
        <v>727</v>
      </c>
      <c r="AJ222" s="12" t="s">
        <v>728</v>
      </c>
      <c r="AK222" s="12" t="s">
        <v>729</v>
      </c>
      <c r="AL222" s="12" t="s">
        <v>601</v>
      </c>
      <c r="AM222" s="12" t="s">
        <v>694</v>
      </c>
      <c r="AN222" s="12" t="s">
        <v>75</v>
      </c>
      <c r="AO222" s="12"/>
      <c r="AP222" s="12"/>
    </row>
    <row r="223" spans="1:42">
      <c r="A223" t="s">
        <v>730</v>
      </c>
      <c r="B223" s="8"/>
      <c r="C223" s="8" t="s">
        <v>731</v>
      </c>
      <c r="D223" s="8" t="s">
        <v>57</v>
      </c>
      <c r="E223" s="8" t="s">
        <v>167</v>
      </c>
      <c r="F223" s="8"/>
      <c r="G223" s="8"/>
      <c r="H223" s="9">
        <v>3000000</v>
      </c>
      <c r="I223" s="9">
        <f>[1]!Tabel1[[#This Row],[Honorar]]*[1]!Tabel1[[#This Row],[Sandsynlighed]]</f>
        <v>400000</v>
      </c>
      <c r="J223" s="10" t="s">
        <v>452</v>
      </c>
      <c r="K223" s="1">
        <v>2025</v>
      </c>
      <c r="L223" s="8" t="s">
        <v>732</v>
      </c>
      <c r="M223" s="11">
        <v>0.2</v>
      </c>
      <c r="N223" s="1"/>
      <c r="O223" s="10">
        <v>46279.61109953704</v>
      </c>
      <c r="P223" s="10"/>
      <c r="Q223" s="1"/>
      <c r="R223" s="8" t="s">
        <v>49</v>
      </c>
      <c r="S22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2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2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2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2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2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2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2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2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2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2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2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2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23" s="12">
        <f ca="1">[1]!Tabel1[[#This Row],[Vægtet Honorar]]*([1]!Tabel1[[#This Row],[Sidst redigeret]]&gt;TODAY()-40)*([1]!Tabel1[[#This Row],[Er i resplan?]]&lt;&gt;"Ja")*([1]!Tabel1[[#This Row],[Status]]="Pågår")</f>
        <v>0</v>
      </c>
      <c r="AG223" s="12">
        <f ca="1">[1]!Tabel1[[#This Row],[Vægtet Honorar]]*([1]!Tabel1[[#This Row],[Sidst redigeret]]&gt;TODAY()-40)*([1]!Tabel1[[#This Row],[Status]]="Pågår")</f>
        <v>0</v>
      </c>
      <c r="AH223" s="13"/>
      <c r="AI223" s="12"/>
      <c r="AJ223" s="12" t="s">
        <v>733</v>
      </c>
      <c r="AK223" s="12"/>
      <c r="AL223" s="12"/>
      <c r="AM223" s="12"/>
      <c r="AN223" s="12"/>
      <c r="AO223" s="12"/>
      <c r="AP223" s="12"/>
    </row>
    <row r="224" spans="1:42">
      <c r="A224" t="s">
        <v>734</v>
      </c>
      <c r="B224" s="8"/>
      <c r="C224" s="8" t="s">
        <v>735</v>
      </c>
      <c r="D224" s="8" t="s">
        <v>158</v>
      </c>
      <c r="E224" s="8" t="s">
        <v>167</v>
      </c>
      <c r="F224" s="8" t="s">
        <v>736</v>
      </c>
      <c r="G224" s="8" t="s">
        <v>737</v>
      </c>
      <c r="H224" s="9">
        <v>50000</v>
      </c>
      <c r="I224" s="9">
        <f>[1]!Tabel1[[#This Row],[Honorar]]*[1]!Tabel1[[#This Row],[Sandsynlighed]]</f>
        <v>200000</v>
      </c>
      <c r="J224" s="10">
        <v>2023</v>
      </c>
      <c r="K224" s="1">
        <v>2023</v>
      </c>
      <c r="L224" s="8" t="s">
        <v>738</v>
      </c>
      <c r="M224" s="11">
        <v>1</v>
      </c>
      <c r="N224" s="1"/>
      <c r="O224" s="10">
        <v>46279.61109953704</v>
      </c>
      <c r="P224" s="10"/>
      <c r="Q224" s="1" t="s">
        <v>72</v>
      </c>
      <c r="R224" s="8" t="s">
        <v>47</v>
      </c>
      <c r="S22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2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2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2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2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2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2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2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2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2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2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2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2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24" s="12">
        <f ca="1">[1]!Tabel1[[#This Row],[Vægtet Honorar]]*([1]!Tabel1[[#This Row],[Sidst redigeret]]&gt;TODAY()-40)*([1]!Tabel1[[#This Row],[Er i resplan?]]&lt;&gt;"Ja")*([1]!Tabel1[[#This Row],[Status]]="Pågår")</f>
        <v>0</v>
      </c>
      <c r="AG224" s="12">
        <f ca="1">[1]!Tabel1[[#This Row],[Vægtet Honorar]]*([1]!Tabel1[[#This Row],[Sidst redigeret]]&gt;TODAY()-40)*([1]!Tabel1[[#This Row],[Status]]="Pågår")</f>
        <v>0</v>
      </c>
      <c r="AH224" s="13"/>
      <c r="AI224" s="12"/>
      <c r="AJ224" s="12"/>
      <c r="AK224" s="12"/>
      <c r="AL224" s="12"/>
      <c r="AM224" s="12"/>
      <c r="AN224" s="12"/>
      <c r="AO224" s="12"/>
      <c r="AP224" s="12"/>
    </row>
    <row r="225" spans="1:42">
      <c r="A225" t="s">
        <v>739</v>
      </c>
      <c r="B225" s="8"/>
      <c r="C225" s="8" t="s">
        <v>740</v>
      </c>
      <c r="D225" s="8" t="s">
        <v>158</v>
      </c>
      <c r="E225" s="8" t="s">
        <v>167</v>
      </c>
      <c r="F225" s="8" t="s">
        <v>671</v>
      </c>
      <c r="G225" s="8" t="s">
        <v>741</v>
      </c>
      <c r="H225" s="9">
        <v>500000</v>
      </c>
      <c r="I225" s="9">
        <f>[1]!Tabel1[[#This Row],[Honorar]]*[1]!Tabel1[[#This Row],[Sandsynlighed]]</f>
        <v>0</v>
      </c>
      <c r="J225" s="10">
        <v>2023</v>
      </c>
      <c r="K225" s="1">
        <v>2024</v>
      </c>
      <c r="L225" s="8" t="s">
        <v>738</v>
      </c>
      <c r="M225" s="11">
        <v>1</v>
      </c>
      <c r="N225" s="1"/>
      <c r="O225" s="10">
        <v>46279.61109953704</v>
      </c>
      <c r="P225" s="10"/>
      <c r="Q225" s="1" t="s">
        <v>72</v>
      </c>
      <c r="R225" s="8" t="s">
        <v>47</v>
      </c>
      <c r="S22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2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2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2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2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2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2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2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2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2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2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2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2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25" s="12">
        <f ca="1">[1]!Tabel1[[#This Row],[Vægtet Honorar]]*([1]!Tabel1[[#This Row],[Sidst redigeret]]&gt;TODAY()-40)*([1]!Tabel1[[#This Row],[Er i resplan?]]&lt;&gt;"Ja")*([1]!Tabel1[[#This Row],[Status]]="Pågår")</f>
        <v>0</v>
      </c>
      <c r="AG225" s="12">
        <f ca="1">[1]!Tabel1[[#This Row],[Vægtet Honorar]]*([1]!Tabel1[[#This Row],[Sidst redigeret]]&gt;TODAY()-40)*([1]!Tabel1[[#This Row],[Status]]="Pågår")</f>
        <v>0</v>
      </c>
      <c r="AH225" s="13"/>
      <c r="AI225" s="12"/>
      <c r="AJ225" s="12"/>
      <c r="AK225" s="12"/>
      <c r="AL225" s="12"/>
      <c r="AM225" s="12"/>
      <c r="AN225" s="12"/>
      <c r="AO225" s="12"/>
      <c r="AP225" s="12"/>
    </row>
    <row r="226" spans="1:42">
      <c r="A226" t="s">
        <v>742</v>
      </c>
      <c r="B226" s="8"/>
      <c r="C226" s="8" t="s">
        <v>743</v>
      </c>
      <c r="D226" s="8" t="s">
        <v>206</v>
      </c>
      <c r="E226" s="8" t="s">
        <v>94</v>
      </c>
      <c r="F226" s="8" t="s">
        <v>744</v>
      </c>
      <c r="G226" s="8" t="s">
        <v>744</v>
      </c>
      <c r="H226" s="9">
        <v>50000</v>
      </c>
      <c r="I226" s="9">
        <f>[1]!Tabel1[[#This Row],[Honorar]]*[1]!Tabel1[[#This Row],[Sandsynlighed]]</f>
        <v>450000</v>
      </c>
      <c r="J226" s="10">
        <v>2023</v>
      </c>
      <c r="K226" s="1">
        <v>2023</v>
      </c>
      <c r="L226" s="8" t="s">
        <v>745</v>
      </c>
      <c r="M226" s="11">
        <v>0.2</v>
      </c>
      <c r="N226" s="1"/>
      <c r="O226" s="10">
        <v>46279.61109953704</v>
      </c>
      <c r="P226" s="1" t="s">
        <v>72</v>
      </c>
      <c r="Q226" s="1" t="s">
        <v>46</v>
      </c>
      <c r="R226" s="8" t="s">
        <v>49</v>
      </c>
      <c r="S22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2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2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2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2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2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2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2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2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2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2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2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2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26" s="12">
        <f ca="1">[1]!Tabel1[[#This Row],[Vægtet Honorar]]*([1]!Tabel1[[#This Row],[Sidst redigeret]]&gt;TODAY()-40)*([1]!Tabel1[[#This Row],[Er i resplan?]]&lt;&gt;"Ja")*([1]!Tabel1[[#This Row],[Status]]="Pågår")</f>
        <v>0</v>
      </c>
      <c r="AG226" s="12">
        <f ca="1">[1]!Tabel1[[#This Row],[Vægtet Honorar]]*([1]!Tabel1[[#This Row],[Sidst redigeret]]&gt;TODAY()-40)*([1]!Tabel1[[#This Row],[Status]]="Pågår")</f>
        <v>0</v>
      </c>
      <c r="AH226" s="13"/>
      <c r="AI226" s="12"/>
      <c r="AJ226" s="12"/>
      <c r="AK226" s="12"/>
      <c r="AL226" s="12"/>
      <c r="AM226" s="12"/>
      <c r="AN226" s="12"/>
      <c r="AO226" s="12"/>
      <c r="AP226" s="12"/>
    </row>
    <row r="227" spans="1:42">
      <c r="A227" t="s">
        <v>746</v>
      </c>
      <c r="B227" s="8"/>
      <c r="C227" s="8" t="s">
        <v>747</v>
      </c>
      <c r="D227" s="8" t="s">
        <v>119</v>
      </c>
      <c r="E227" s="8" t="s">
        <v>120</v>
      </c>
      <c r="F227" s="8" t="s">
        <v>748</v>
      </c>
      <c r="G227" s="8" t="s">
        <v>749</v>
      </c>
      <c r="H227" s="9">
        <v>25000</v>
      </c>
      <c r="I227" s="9">
        <f>[1]!Tabel1[[#This Row],[Honorar]]*[1]!Tabel1[[#This Row],[Sandsynlighed]]</f>
        <v>1000000</v>
      </c>
      <c r="J227" s="10">
        <v>45139</v>
      </c>
      <c r="K227" s="1">
        <v>2023</v>
      </c>
      <c r="L227" s="8" t="s">
        <v>750</v>
      </c>
      <c r="M227" s="11">
        <v>0.2</v>
      </c>
      <c r="N227" s="1"/>
      <c r="O227" s="10">
        <v>46279.61109953704</v>
      </c>
      <c r="P227" s="10"/>
      <c r="Q227" s="1" t="s">
        <v>72</v>
      </c>
      <c r="R227" s="8" t="s">
        <v>49</v>
      </c>
      <c r="S22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2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2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2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2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2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2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2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2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2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2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2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2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27" s="12">
        <f ca="1">[1]!Tabel1[[#This Row],[Vægtet Honorar]]*([1]!Tabel1[[#This Row],[Sidst redigeret]]&gt;TODAY()-40)*([1]!Tabel1[[#This Row],[Er i resplan?]]&lt;&gt;"Ja")*([1]!Tabel1[[#This Row],[Status]]="Pågår")</f>
        <v>0</v>
      </c>
      <c r="AG227" s="12">
        <f ca="1">[1]!Tabel1[[#This Row],[Vægtet Honorar]]*([1]!Tabel1[[#This Row],[Sidst redigeret]]&gt;TODAY()-40)*([1]!Tabel1[[#This Row],[Status]]="Pågår")</f>
        <v>0</v>
      </c>
      <c r="AH227" s="13"/>
      <c r="AI227" s="12"/>
      <c r="AJ227" s="12"/>
      <c r="AK227" s="12"/>
      <c r="AL227" s="12"/>
      <c r="AM227" s="12"/>
      <c r="AN227" s="12"/>
      <c r="AO227" s="12"/>
      <c r="AP227" s="12"/>
    </row>
    <row r="228" spans="1:42">
      <c r="A228" t="s">
        <v>751</v>
      </c>
      <c r="B228" s="8"/>
      <c r="C228" s="8" t="s">
        <v>752</v>
      </c>
      <c r="D228" s="8" t="s">
        <v>119</v>
      </c>
      <c r="E228" s="8" t="s">
        <v>120</v>
      </c>
      <c r="F228" s="8" t="s">
        <v>753</v>
      </c>
      <c r="G228" s="8" t="s">
        <v>754</v>
      </c>
      <c r="H228" s="9">
        <v>600000</v>
      </c>
      <c r="I228" s="9">
        <f>[1]!Tabel1[[#This Row],[Honorar]]*[1]!Tabel1[[#This Row],[Sandsynlighed]]</f>
        <v>600000</v>
      </c>
      <c r="J228" s="10">
        <v>45047</v>
      </c>
      <c r="K228" s="1">
        <v>2023</v>
      </c>
      <c r="L228" s="8" t="s">
        <v>755</v>
      </c>
      <c r="M228" s="11">
        <v>0.2</v>
      </c>
      <c r="N228" s="1"/>
      <c r="O228" s="10">
        <v>46279.61109953704</v>
      </c>
      <c r="P228" s="10"/>
      <c r="Q228" s="1" t="s">
        <v>46</v>
      </c>
      <c r="R228" s="8" t="s">
        <v>49</v>
      </c>
      <c r="S22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2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2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2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2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2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2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2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2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2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2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2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2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28" s="12">
        <f ca="1">[1]!Tabel1[[#This Row],[Vægtet Honorar]]*([1]!Tabel1[[#This Row],[Sidst redigeret]]&gt;TODAY()-40)*([1]!Tabel1[[#This Row],[Er i resplan?]]&lt;&gt;"Ja")*([1]!Tabel1[[#This Row],[Status]]="Pågår")</f>
        <v>0</v>
      </c>
      <c r="AG228" s="12">
        <f ca="1">[1]!Tabel1[[#This Row],[Vægtet Honorar]]*([1]!Tabel1[[#This Row],[Sidst redigeret]]&gt;TODAY()-40)*([1]!Tabel1[[#This Row],[Status]]="Pågår")</f>
        <v>0</v>
      </c>
      <c r="AH228" s="13"/>
      <c r="AI228" s="12" t="s">
        <v>756</v>
      </c>
      <c r="AJ228" s="12"/>
      <c r="AK228" s="12"/>
      <c r="AL228" s="12"/>
      <c r="AM228" s="12"/>
      <c r="AN228" s="12"/>
      <c r="AO228" s="12"/>
      <c r="AP228" s="12"/>
    </row>
    <row r="229" spans="1:42">
      <c r="A229" t="s">
        <v>757</v>
      </c>
      <c r="B229" s="8">
        <v>232400</v>
      </c>
      <c r="C229" s="8" t="s">
        <v>758</v>
      </c>
      <c r="D229" s="8" t="s">
        <v>200</v>
      </c>
      <c r="E229" s="8" t="s">
        <v>120</v>
      </c>
      <c r="F229" s="8" t="s">
        <v>759</v>
      </c>
      <c r="G229" s="8" t="s">
        <v>760</v>
      </c>
      <c r="H229" s="9">
        <v>250000</v>
      </c>
      <c r="I229" s="9">
        <f>[1]!Tabel1[[#This Row],[Honorar]]*[1]!Tabel1[[#This Row],[Sandsynlighed]]</f>
        <v>50000</v>
      </c>
      <c r="J229" s="10">
        <v>45078</v>
      </c>
      <c r="K229" s="1">
        <v>2023</v>
      </c>
      <c r="L229" s="8" t="s">
        <v>761</v>
      </c>
      <c r="M229" s="11">
        <v>1</v>
      </c>
      <c r="N229" s="1"/>
      <c r="O229" s="10">
        <v>46279.61109953704</v>
      </c>
      <c r="P229" s="10"/>
      <c r="Q229" s="1" t="s">
        <v>46</v>
      </c>
      <c r="R229" s="8" t="s">
        <v>47</v>
      </c>
      <c r="S22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2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2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2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2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2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2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2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2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2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2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2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2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29" s="12">
        <f ca="1">[1]!Tabel1[[#This Row],[Vægtet Honorar]]*([1]!Tabel1[[#This Row],[Sidst redigeret]]&gt;TODAY()-40)*([1]!Tabel1[[#This Row],[Er i resplan?]]&lt;&gt;"Ja")*([1]!Tabel1[[#This Row],[Status]]="Pågår")</f>
        <v>0</v>
      </c>
      <c r="AG229" s="12">
        <f ca="1">[1]!Tabel1[[#This Row],[Vægtet Honorar]]*([1]!Tabel1[[#This Row],[Sidst redigeret]]&gt;TODAY()-40)*([1]!Tabel1[[#This Row],[Status]]="Pågår")</f>
        <v>0</v>
      </c>
      <c r="AH229" s="13"/>
      <c r="AI229" s="12" t="s">
        <v>760</v>
      </c>
      <c r="AJ229" s="12"/>
      <c r="AK229" s="12"/>
      <c r="AL229" s="12"/>
      <c r="AM229" s="12"/>
      <c r="AN229" s="12" t="s">
        <v>47</v>
      </c>
      <c r="AO229" s="12"/>
      <c r="AP229" s="12"/>
    </row>
    <row r="230" spans="1:42">
      <c r="A230" t="s">
        <v>762</v>
      </c>
      <c r="B230" s="8"/>
      <c r="C230" s="8" t="s">
        <v>763</v>
      </c>
      <c r="D230" s="8" t="s">
        <v>200</v>
      </c>
      <c r="E230" s="8" t="s">
        <v>120</v>
      </c>
      <c r="F230" s="8" t="s">
        <v>759</v>
      </c>
      <c r="G230" s="8" t="s">
        <v>760</v>
      </c>
      <c r="H230" s="9">
        <v>200000</v>
      </c>
      <c r="I230" s="9">
        <f>[1]!Tabel1[[#This Row],[Honorar]]*[1]!Tabel1[[#This Row],[Sandsynlighed]]</f>
        <v>500000</v>
      </c>
      <c r="J230" s="10" t="s">
        <v>612</v>
      </c>
      <c r="K230" s="1" t="s">
        <v>342</v>
      </c>
      <c r="L230" s="8" t="s">
        <v>764</v>
      </c>
      <c r="M230" s="11">
        <v>0.1</v>
      </c>
      <c r="N230" s="1">
        <v>70000000</v>
      </c>
      <c r="O230" s="10">
        <v>46279.61109953704</v>
      </c>
      <c r="P230" s="10"/>
      <c r="Q230" s="1" t="s">
        <v>46</v>
      </c>
      <c r="R230" s="8" t="s">
        <v>75</v>
      </c>
      <c r="S23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3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3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3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3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3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3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3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3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3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3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3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3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30" s="12">
        <f ca="1">[1]!Tabel1[[#This Row],[Vægtet Honorar]]*([1]!Tabel1[[#This Row],[Sidst redigeret]]&gt;TODAY()-40)*([1]!Tabel1[[#This Row],[Er i resplan?]]&lt;&gt;"Ja")*([1]!Tabel1[[#This Row],[Status]]="Pågår")</f>
        <v>0</v>
      </c>
      <c r="AG230" s="12">
        <f ca="1">[1]!Tabel1[[#This Row],[Vægtet Honorar]]*([1]!Tabel1[[#This Row],[Sidst redigeret]]&gt;TODAY()-40)*([1]!Tabel1[[#This Row],[Status]]="Pågår")</f>
        <v>0</v>
      </c>
      <c r="AH230" s="13"/>
      <c r="AI230" s="12" t="s">
        <v>760</v>
      </c>
      <c r="AJ230" s="12"/>
      <c r="AK230" s="12"/>
      <c r="AL230" s="12"/>
      <c r="AM230" s="12" t="s">
        <v>765</v>
      </c>
      <c r="AN230" s="12"/>
      <c r="AO230" s="12"/>
      <c r="AP230" s="12"/>
    </row>
    <row r="231" spans="1:42">
      <c r="A231" t="s">
        <v>766</v>
      </c>
      <c r="B231" s="8"/>
      <c r="C231" s="8" t="s">
        <v>237</v>
      </c>
      <c r="D231" s="8" t="s">
        <v>197</v>
      </c>
      <c r="E231" s="8" t="s">
        <v>167</v>
      </c>
      <c r="F231" s="8" t="s">
        <v>671</v>
      </c>
      <c r="G231" s="8" t="s">
        <v>767</v>
      </c>
      <c r="H231" s="9"/>
      <c r="I231" s="9">
        <f>[1]!Tabel1[[#This Row],[Honorar]]*[1]!Tabel1[[#This Row],[Sandsynlighed]]</f>
        <v>10000</v>
      </c>
      <c r="J231" s="10">
        <v>2024</v>
      </c>
      <c r="K231" s="1">
        <v>2027</v>
      </c>
      <c r="L231" s="8"/>
      <c r="M231" s="11">
        <v>0</v>
      </c>
      <c r="N231" s="1">
        <v>300</v>
      </c>
      <c r="O231" s="10">
        <v>46279.61109953704</v>
      </c>
      <c r="P231" s="10"/>
      <c r="Q231" s="1"/>
      <c r="R231" s="8" t="s">
        <v>75</v>
      </c>
      <c r="S23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3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3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3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3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3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3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3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3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3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3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3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3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31" s="12">
        <f ca="1">[1]!Tabel1[[#This Row],[Vægtet Honorar]]*([1]!Tabel1[[#This Row],[Sidst redigeret]]&gt;TODAY()-40)*([1]!Tabel1[[#This Row],[Er i resplan?]]&lt;&gt;"Ja")*([1]!Tabel1[[#This Row],[Status]]="Pågår")</f>
        <v>0</v>
      </c>
      <c r="AG231" s="12">
        <f ca="1">[1]!Tabel1[[#This Row],[Vægtet Honorar]]*([1]!Tabel1[[#This Row],[Sidst redigeret]]&gt;TODAY()-40)*([1]!Tabel1[[#This Row],[Status]]="Pågår")</f>
        <v>0</v>
      </c>
      <c r="AH231" s="13"/>
      <c r="AI231" s="12"/>
      <c r="AJ231" s="12" t="s">
        <v>768</v>
      </c>
      <c r="AK231" s="12"/>
      <c r="AL231" s="12"/>
      <c r="AM231" s="12"/>
      <c r="AN231" s="12"/>
      <c r="AO231" s="12"/>
      <c r="AP231" s="12"/>
    </row>
    <row r="232" spans="1:42">
      <c r="A232" t="s">
        <v>769</v>
      </c>
      <c r="B232" s="8"/>
      <c r="C232" s="8" t="s">
        <v>770</v>
      </c>
      <c r="D232" s="8" t="s">
        <v>435</v>
      </c>
      <c r="E232" s="8" t="s">
        <v>167</v>
      </c>
      <c r="F232" s="8" t="s">
        <v>771</v>
      </c>
      <c r="G232" s="8" t="s">
        <v>772</v>
      </c>
      <c r="H232" s="9">
        <v>80000</v>
      </c>
      <c r="I232" s="9">
        <f>[1]!Tabel1[[#This Row],[Honorar]]*[1]!Tabel1[[#This Row],[Sandsynlighed]]</f>
        <v>5000</v>
      </c>
      <c r="J232" s="10">
        <v>2023</v>
      </c>
      <c r="K232" s="1">
        <v>2023</v>
      </c>
      <c r="L232" s="8" t="s">
        <v>773</v>
      </c>
      <c r="M232" s="11">
        <v>1</v>
      </c>
      <c r="N232" s="1" t="s">
        <v>774</v>
      </c>
      <c r="O232" s="10">
        <v>46279.61109953704</v>
      </c>
      <c r="P232" s="10"/>
      <c r="Q232" s="1" t="s">
        <v>46</v>
      </c>
      <c r="R232" s="8" t="s">
        <v>47</v>
      </c>
      <c r="S23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3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3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3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3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3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3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3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3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3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3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3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3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32" s="12">
        <f ca="1">[1]!Tabel1[[#This Row],[Vægtet Honorar]]*([1]!Tabel1[[#This Row],[Sidst redigeret]]&gt;TODAY()-40)*([1]!Tabel1[[#This Row],[Er i resplan?]]&lt;&gt;"Ja")*([1]!Tabel1[[#This Row],[Status]]="Pågår")</f>
        <v>0</v>
      </c>
      <c r="AG232" s="12">
        <f ca="1">[1]!Tabel1[[#This Row],[Vægtet Honorar]]*([1]!Tabel1[[#This Row],[Sidst redigeret]]&gt;TODAY()-40)*([1]!Tabel1[[#This Row],[Status]]="Pågår")</f>
        <v>0</v>
      </c>
      <c r="AH232" s="13"/>
      <c r="AI232" s="12"/>
      <c r="AJ232" s="12"/>
      <c r="AK232" s="12"/>
      <c r="AL232" s="12"/>
      <c r="AM232" s="12"/>
      <c r="AN232" s="12"/>
      <c r="AO232" s="12"/>
      <c r="AP232" s="12"/>
    </row>
    <row r="233" spans="1:42">
      <c r="A233" t="s">
        <v>775</v>
      </c>
      <c r="B233" s="8"/>
      <c r="C233" s="8" t="s">
        <v>776</v>
      </c>
      <c r="D233" s="8" t="s">
        <v>569</v>
      </c>
      <c r="E233" s="8" t="s">
        <v>167</v>
      </c>
      <c r="F233" s="8" t="s">
        <v>777</v>
      </c>
      <c r="G233" s="8" t="s">
        <v>777</v>
      </c>
      <c r="H233" s="9">
        <v>100000</v>
      </c>
      <c r="I233" s="9">
        <f>[1]!Tabel1[[#This Row],[Honorar]]*[1]!Tabel1[[#This Row],[Sandsynlighed]]</f>
        <v>120000</v>
      </c>
      <c r="J233" s="10">
        <v>2023</v>
      </c>
      <c r="K233" s="1">
        <v>2023</v>
      </c>
      <c r="L233" s="8" t="s">
        <v>778</v>
      </c>
      <c r="M233" s="11">
        <v>0</v>
      </c>
      <c r="N233" s="1" t="s">
        <v>774</v>
      </c>
      <c r="O233" s="10">
        <v>46279.61109953704</v>
      </c>
      <c r="P233" s="10"/>
      <c r="Q233" s="1"/>
      <c r="R233" s="8" t="s">
        <v>49</v>
      </c>
      <c r="S23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3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3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3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3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3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3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3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3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3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3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3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3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33" s="12">
        <f ca="1">[1]!Tabel1[[#This Row],[Vægtet Honorar]]*([1]!Tabel1[[#This Row],[Sidst redigeret]]&gt;TODAY()-40)*([1]!Tabel1[[#This Row],[Er i resplan?]]&lt;&gt;"Ja")*([1]!Tabel1[[#This Row],[Status]]="Pågår")</f>
        <v>0</v>
      </c>
      <c r="AG233" s="12">
        <f ca="1">[1]!Tabel1[[#This Row],[Vægtet Honorar]]*([1]!Tabel1[[#This Row],[Sidst redigeret]]&gt;TODAY()-40)*([1]!Tabel1[[#This Row],[Status]]="Pågår")</f>
        <v>0</v>
      </c>
      <c r="AH233" s="13"/>
      <c r="AI233" s="12"/>
      <c r="AJ233" s="12"/>
      <c r="AK233" s="12"/>
      <c r="AL233" s="12"/>
      <c r="AM233" s="12"/>
      <c r="AN233" s="12"/>
      <c r="AO233" s="12"/>
      <c r="AP233" s="12"/>
    </row>
    <row r="234" spans="1:42">
      <c r="A234" t="s">
        <v>779</v>
      </c>
      <c r="B234" s="8"/>
      <c r="C234" s="8" t="s">
        <v>780</v>
      </c>
      <c r="D234" s="8" t="s">
        <v>197</v>
      </c>
      <c r="E234" s="8" t="s">
        <v>167</v>
      </c>
      <c r="F234" s="8" t="s">
        <v>671</v>
      </c>
      <c r="G234" s="8" t="s">
        <v>671</v>
      </c>
      <c r="H234" s="9">
        <v>200000</v>
      </c>
      <c r="I234" s="9">
        <f>[1]!Tabel1[[#This Row],[Honorar]]*[1]!Tabel1[[#This Row],[Sandsynlighed]]</f>
        <v>250000</v>
      </c>
      <c r="J234" s="10">
        <v>2023</v>
      </c>
      <c r="K234" s="1">
        <v>2023</v>
      </c>
      <c r="L234" s="8"/>
      <c r="M234" s="11">
        <v>1</v>
      </c>
      <c r="N234" s="1" t="s">
        <v>781</v>
      </c>
      <c r="O234" s="10">
        <v>46279.61109953704</v>
      </c>
      <c r="P234" s="10"/>
      <c r="Q234" s="1" t="s">
        <v>46</v>
      </c>
      <c r="R234" s="8" t="s">
        <v>47</v>
      </c>
      <c r="S23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3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3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3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3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3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3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3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3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3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3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3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3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34" s="12">
        <f ca="1">[1]!Tabel1[[#This Row],[Vægtet Honorar]]*([1]!Tabel1[[#This Row],[Sidst redigeret]]&gt;TODAY()-40)*([1]!Tabel1[[#This Row],[Er i resplan?]]&lt;&gt;"Ja")*([1]!Tabel1[[#This Row],[Status]]="Pågår")</f>
        <v>0</v>
      </c>
      <c r="AG234" s="12">
        <f ca="1">[1]!Tabel1[[#This Row],[Vægtet Honorar]]*([1]!Tabel1[[#This Row],[Sidst redigeret]]&gt;TODAY()-40)*([1]!Tabel1[[#This Row],[Status]]="Pågår")</f>
        <v>0</v>
      </c>
      <c r="AH234" s="13"/>
      <c r="AI234" s="12"/>
      <c r="AJ234" s="12"/>
      <c r="AK234" s="12"/>
      <c r="AL234" s="12"/>
      <c r="AM234" s="12"/>
      <c r="AN234" s="12"/>
      <c r="AO234" s="12"/>
      <c r="AP234" s="12"/>
    </row>
    <row r="235" spans="1:42">
      <c r="A235" t="s">
        <v>782</v>
      </c>
      <c r="B235" s="8">
        <v>232740</v>
      </c>
      <c r="C235" s="8" t="s">
        <v>783</v>
      </c>
      <c r="D235" s="8" t="s">
        <v>720</v>
      </c>
      <c r="E235" s="8" t="s">
        <v>71</v>
      </c>
      <c r="F235" s="8" t="s">
        <v>726</v>
      </c>
      <c r="G235" s="8" t="s">
        <v>726</v>
      </c>
      <c r="H235" s="9">
        <v>1500000</v>
      </c>
      <c r="I235" s="9">
        <f>[1]!Tabel1[[#This Row],[Honorar]]*[1]!Tabel1[[#This Row],[Sandsynlighed]]</f>
        <v>20000</v>
      </c>
      <c r="J235" s="10">
        <v>2023</v>
      </c>
      <c r="K235" s="1">
        <v>2024</v>
      </c>
      <c r="L235" s="8" t="s">
        <v>784</v>
      </c>
      <c r="M235" s="11">
        <v>1</v>
      </c>
      <c r="N235" s="1">
        <v>4000</v>
      </c>
      <c r="O235" s="10">
        <v>46279.61109953704</v>
      </c>
      <c r="P235" s="10"/>
      <c r="Q235" s="1" t="s">
        <v>46</v>
      </c>
      <c r="R235" s="8" t="s">
        <v>47</v>
      </c>
      <c r="S23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3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3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3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3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3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3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3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3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3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3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3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3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35" s="12">
        <f ca="1">[1]!Tabel1[[#This Row],[Vægtet Honorar]]*([1]!Tabel1[[#This Row],[Sidst redigeret]]&gt;TODAY()-40)*([1]!Tabel1[[#This Row],[Er i resplan?]]&lt;&gt;"Ja")*([1]!Tabel1[[#This Row],[Status]]="Pågår")</f>
        <v>0</v>
      </c>
      <c r="AG235" s="12">
        <f ca="1">[1]!Tabel1[[#This Row],[Vægtet Honorar]]*([1]!Tabel1[[#This Row],[Sidst redigeret]]&gt;TODAY()-40)*([1]!Tabel1[[#This Row],[Status]]="Pågår")</f>
        <v>0</v>
      </c>
      <c r="AH235" s="13"/>
      <c r="AI235" s="12"/>
      <c r="AJ235" s="12" t="s">
        <v>785</v>
      </c>
      <c r="AK235" s="12"/>
      <c r="AL235" s="12"/>
      <c r="AM235" s="12"/>
      <c r="AN235" s="12"/>
      <c r="AO235" s="12"/>
      <c r="AP235" s="12"/>
    </row>
    <row r="236" spans="1:42">
      <c r="A236" t="s">
        <v>786</v>
      </c>
      <c r="B236" s="8"/>
      <c r="C236" s="8" t="s">
        <v>787</v>
      </c>
      <c r="D236" s="8" t="s">
        <v>720</v>
      </c>
      <c r="E236" s="8" t="s">
        <v>71</v>
      </c>
      <c r="F236" s="8" t="s">
        <v>788</v>
      </c>
      <c r="G236" s="8" t="s">
        <v>788</v>
      </c>
      <c r="H236" s="9">
        <v>300000</v>
      </c>
      <c r="I236" s="9">
        <f>[1]!Tabel1[[#This Row],[Honorar]]*[1]!Tabel1[[#This Row],[Sandsynlighed]]</f>
        <v>0</v>
      </c>
      <c r="J236" s="10">
        <v>2023</v>
      </c>
      <c r="K236" s="1">
        <v>2024</v>
      </c>
      <c r="L236" s="8" t="s">
        <v>789</v>
      </c>
      <c r="M236" s="11">
        <v>0.1</v>
      </c>
      <c r="N236" s="1"/>
      <c r="O236" s="10">
        <v>46279.61109953704</v>
      </c>
      <c r="P236" s="10"/>
      <c r="Q236" s="1" t="s">
        <v>72</v>
      </c>
      <c r="R236" s="8" t="s">
        <v>75</v>
      </c>
      <c r="S23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3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3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3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3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3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3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3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3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3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3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3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3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36" s="12">
        <f ca="1">[1]!Tabel1[[#This Row],[Vægtet Honorar]]*([1]!Tabel1[[#This Row],[Sidst redigeret]]&gt;TODAY()-40)*([1]!Tabel1[[#This Row],[Er i resplan?]]&lt;&gt;"Ja")*([1]!Tabel1[[#This Row],[Status]]="Pågår")</f>
        <v>0</v>
      </c>
      <c r="AG236" s="12">
        <f ca="1">[1]!Tabel1[[#This Row],[Vægtet Honorar]]*([1]!Tabel1[[#This Row],[Sidst redigeret]]&gt;TODAY()-40)*([1]!Tabel1[[#This Row],[Status]]="Pågår")</f>
        <v>0</v>
      </c>
      <c r="AH236" s="13"/>
      <c r="AI236" s="12"/>
      <c r="AJ236" s="12"/>
      <c r="AK236" s="12"/>
      <c r="AL236" s="12"/>
      <c r="AM236" s="12"/>
      <c r="AN236" s="12"/>
      <c r="AO236" s="12"/>
      <c r="AP236" s="12"/>
    </row>
    <row r="237" spans="1:42">
      <c r="A237" t="s">
        <v>790</v>
      </c>
      <c r="B237" s="8"/>
      <c r="C237" s="8" t="s">
        <v>791</v>
      </c>
      <c r="D237" s="8" t="s">
        <v>119</v>
      </c>
      <c r="E237" s="8" t="s">
        <v>120</v>
      </c>
      <c r="F237" s="8" t="s">
        <v>753</v>
      </c>
      <c r="G237" s="8" t="s">
        <v>792</v>
      </c>
      <c r="H237" s="9">
        <v>0</v>
      </c>
      <c r="I237" s="9">
        <f>[1]!Tabel1[[#This Row],[Honorar]]*[1]!Tabel1[[#This Row],[Sandsynlighed]]</f>
        <v>80000</v>
      </c>
      <c r="J237" s="10">
        <v>44986</v>
      </c>
      <c r="K237" s="1">
        <v>2023</v>
      </c>
      <c r="L237" s="8" t="s">
        <v>793</v>
      </c>
      <c r="M237" s="11">
        <v>0</v>
      </c>
      <c r="N237" s="1"/>
      <c r="O237" s="10">
        <v>46279.61109953704</v>
      </c>
      <c r="P237" s="10"/>
      <c r="Q237" s="1" t="s">
        <v>72</v>
      </c>
      <c r="R237" s="8" t="s">
        <v>49</v>
      </c>
      <c r="S23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3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3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3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3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3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3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3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3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3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3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3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3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37" s="12">
        <f ca="1">[1]!Tabel1[[#This Row],[Vægtet Honorar]]*([1]!Tabel1[[#This Row],[Sidst redigeret]]&gt;TODAY()-40)*([1]!Tabel1[[#This Row],[Er i resplan?]]&lt;&gt;"Ja")*([1]!Tabel1[[#This Row],[Status]]="Pågår")</f>
        <v>0</v>
      </c>
      <c r="AG237" s="12">
        <f ca="1">[1]!Tabel1[[#This Row],[Vægtet Honorar]]*([1]!Tabel1[[#This Row],[Sidst redigeret]]&gt;TODAY()-40)*([1]!Tabel1[[#This Row],[Status]]="Pågår")</f>
        <v>0</v>
      </c>
      <c r="AH237" s="13"/>
      <c r="AI237" s="12"/>
      <c r="AJ237" s="12"/>
      <c r="AK237" s="12"/>
      <c r="AL237" s="12"/>
      <c r="AM237" s="12"/>
      <c r="AN237" s="12"/>
      <c r="AO237" s="12"/>
      <c r="AP237" s="12"/>
    </row>
    <row r="238" spans="1:42">
      <c r="A238" t="s">
        <v>794</v>
      </c>
      <c r="B238" s="8"/>
      <c r="C238" s="8" t="s">
        <v>795</v>
      </c>
      <c r="D238" s="8" t="s">
        <v>720</v>
      </c>
      <c r="E238" s="8" t="s">
        <v>71</v>
      </c>
      <c r="F238" s="8" t="s">
        <v>516</v>
      </c>
      <c r="G238" s="8" t="s">
        <v>796</v>
      </c>
      <c r="H238" s="9">
        <v>25000</v>
      </c>
      <c r="I238" s="9">
        <f>[1]!Tabel1[[#This Row],[Honorar]]*[1]!Tabel1[[#This Row],[Sandsynlighed]]</f>
        <v>0</v>
      </c>
      <c r="J238" s="10">
        <v>2023</v>
      </c>
      <c r="K238" s="1">
        <v>2023</v>
      </c>
      <c r="L238" s="8"/>
      <c r="M238" s="11">
        <v>0</v>
      </c>
      <c r="N238" s="1"/>
      <c r="O238" s="10">
        <v>46279.61109953704</v>
      </c>
      <c r="P238" s="10"/>
      <c r="Q238" s="1" t="s">
        <v>72</v>
      </c>
      <c r="R238" s="8" t="s">
        <v>75</v>
      </c>
      <c r="S23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3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3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3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3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3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3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3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3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3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3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3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3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38" s="12">
        <f ca="1">[1]!Tabel1[[#This Row],[Vægtet Honorar]]*([1]!Tabel1[[#This Row],[Sidst redigeret]]&gt;TODAY()-40)*([1]!Tabel1[[#This Row],[Er i resplan?]]&lt;&gt;"Ja")*([1]!Tabel1[[#This Row],[Status]]="Pågår")</f>
        <v>0</v>
      </c>
      <c r="AG238" s="12">
        <f ca="1">[1]!Tabel1[[#This Row],[Vægtet Honorar]]*([1]!Tabel1[[#This Row],[Sidst redigeret]]&gt;TODAY()-40)*([1]!Tabel1[[#This Row],[Status]]="Pågår")</f>
        <v>0</v>
      </c>
      <c r="AH238" s="13"/>
      <c r="AI238" s="12"/>
      <c r="AJ238" s="12"/>
      <c r="AK238" s="12"/>
      <c r="AL238" s="12"/>
      <c r="AM238" s="12"/>
      <c r="AN238" s="12"/>
      <c r="AO238" s="12"/>
      <c r="AP238" s="12"/>
    </row>
    <row r="239" spans="1:42">
      <c r="A239" t="s">
        <v>797</v>
      </c>
      <c r="B239" s="8"/>
      <c r="C239" s="8" t="s">
        <v>798</v>
      </c>
      <c r="D239" s="8" t="s">
        <v>720</v>
      </c>
      <c r="E239" s="8" t="s">
        <v>71</v>
      </c>
      <c r="F239" s="8" t="s">
        <v>788</v>
      </c>
      <c r="G239" s="8" t="s">
        <v>799</v>
      </c>
      <c r="H239" s="9">
        <v>50000</v>
      </c>
      <c r="I239" s="9">
        <f>[1]!Tabel1[[#This Row],[Honorar]]*[1]!Tabel1[[#This Row],[Sandsynlighed]]</f>
        <v>200000</v>
      </c>
      <c r="J239" s="10">
        <v>2023</v>
      </c>
      <c r="K239" s="1">
        <v>2023</v>
      </c>
      <c r="L239" s="8"/>
      <c r="M239" s="11">
        <v>0.1</v>
      </c>
      <c r="N239" s="1"/>
      <c r="O239" s="10">
        <v>46279.61109953704</v>
      </c>
      <c r="P239" s="10"/>
      <c r="Q239" s="1" t="s">
        <v>72</v>
      </c>
      <c r="R239" s="8" t="s">
        <v>75</v>
      </c>
      <c r="S23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3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3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3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3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3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3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3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3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3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3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3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3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39" s="12">
        <f ca="1">[1]!Tabel1[[#This Row],[Vægtet Honorar]]*([1]!Tabel1[[#This Row],[Sidst redigeret]]&gt;TODAY()-40)*([1]!Tabel1[[#This Row],[Er i resplan?]]&lt;&gt;"Ja")*([1]!Tabel1[[#This Row],[Status]]="Pågår")</f>
        <v>0</v>
      </c>
      <c r="AG239" s="12">
        <f ca="1">[1]!Tabel1[[#This Row],[Vægtet Honorar]]*([1]!Tabel1[[#This Row],[Sidst redigeret]]&gt;TODAY()-40)*([1]!Tabel1[[#This Row],[Status]]="Pågår")</f>
        <v>0</v>
      </c>
      <c r="AH239" s="13"/>
      <c r="AI239" s="12"/>
      <c r="AJ239" s="12"/>
      <c r="AK239" s="12"/>
      <c r="AL239" s="12"/>
      <c r="AM239" s="12"/>
      <c r="AN239" s="12"/>
      <c r="AO239" s="12"/>
      <c r="AP239" s="12"/>
    </row>
    <row r="240" spans="1:42">
      <c r="A240" t="s">
        <v>800</v>
      </c>
      <c r="B240" s="8"/>
      <c r="C240" s="8" t="s">
        <v>801</v>
      </c>
      <c r="D240" s="8" t="s">
        <v>720</v>
      </c>
      <c r="E240" s="8" t="s">
        <v>71</v>
      </c>
      <c r="F240" s="8" t="s">
        <v>802</v>
      </c>
      <c r="G240" s="8" t="s">
        <v>803</v>
      </c>
      <c r="H240" s="9">
        <v>75000</v>
      </c>
      <c r="I240" s="9">
        <f>[1]!Tabel1[[#This Row],[Honorar]]*[1]!Tabel1[[#This Row],[Sandsynlighed]]</f>
        <v>1500000</v>
      </c>
      <c r="J240" s="10" t="s">
        <v>484</v>
      </c>
      <c r="K240" s="1">
        <v>2025</v>
      </c>
      <c r="L240" s="8" t="s">
        <v>804</v>
      </c>
      <c r="M240" s="11">
        <v>0.05</v>
      </c>
      <c r="N240" s="1"/>
      <c r="O240" s="10">
        <v>46279.61109953704</v>
      </c>
      <c r="P240" s="10"/>
      <c r="Q240" s="1" t="s">
        <v>46</v>
      </c>
      <c r="R240" s="8" t="s">
        <v>49</v>
      </c>
      <c r="S24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4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4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4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4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4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4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4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4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4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4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4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4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40" s="12">
        <f ca="1">[1]!Tabel1[[#This Row],[Vægtet Honorar]]*([1]!Tabel1[[#This Row],[Sidst redigeret]]&gt;TODAY()-40)*([1]!Tabel1[[#This Row],[Er i resplan?]]&lt;&gt;"Ja")*([1]!Tabel1[[#This Row],[Status]]="Pågår")</f>
        <v>0</v>
      </c>
      <c r="AG240" s="12">
        <f ca="1">[1]!Tabel1[[#This Row],[Vægtet Honorar]]*([1]!Tabel1[[#This Row],[Sidst redigeret]]&gt;TODAY()-40)*([1]!Tabel1[[#This Row],[Status]]="Pågår")</f>
        <v>0</v>
      </c>
      <c r="AH240" s="13"/>
      <c r="AI240" s="12"/>
      <c r="AJ240" s="12"/>
      <c r="AK240" s="12"/>
      <c r="AL240" s="12"/>
      <c r="AM240" s="12"/>
      <c r="AN240" s="12"/>
      <c r="AO240" s="12"/>
      <c r="AP240" s="12"/>
    </row>
    <row r="241" spans="1:42">
      <c r="A241" t="s">
        <v>805</v>
      </c>
      <c r="B241" s="8"/>
      <c r="C241" s="8"/>
      <c r="D241" s="8"/>
      <c r="E241" s="8"/>
      <c r="F241" s="8"/>
      <c r="G241" s="8"/>
      <c r="H241" s="9"/>
      <c r="I241" s="9">
        <f>[1]!Tabel1[[#This Row],[Honorar]]*[1]!Tabel1[[#This Row],[Sandsynlighed]]</f>
        <v>30000</v>
      </c>
      <c r="J241" s="10"/>
      <c r="K241" s="1"/>
      <c r="L241" s="8"/>
      <c r="M241" s="11"/>
      <c r="N241" s="1"/>
      <c r="O241" s="10">
        <v>46279.61109953704</v>
      </c>
      <c r="P241" s="10"/>
      <c r="Q241" s="1"/>
      <c r="R241" s="8" t="s">
        <v>49</v>
      </c>
      <c r="S24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4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4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4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4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4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4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4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4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4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4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4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4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41" s="12">
        <f ca="1">[1]!Tabel1[[#This Row],[Vægtet Honorar]]*([1]!Tabel1[[#This Row],[Sidst redigeret]]&gt;TODAY()-40)*([1]!Tabel1[[#This Row],[Er i resplan?]]&lt;&gt;"Ja")*([1]!Tabel1[[#This Row],[Status]]="Pågår")</f>
        <v>0</v>
      </c>
      <c r="AG241" s="12">
        <f ca="1">[1]!Tabel1[[#This Row],[Vægtet Honorar]]*([1]!Tabel1[[#This Row],[Sidst redigeret]]&gt;TODAY()-40)*([1]!Tabel1[[#This Row],[Status]]="Pågår")</f>
        <v>0</v>
      </c>
      <c r="AH241" s="13"/>
      <c r="AI241" s="12"/>
      <c r="AJ241" s="12"/>
      <c r="AK241" s="12"/>
      <c r="AL241" s="12"/>
      <c r="AM241" s="12"/>
      <c r="AN241" s="12" t="s">
        <v>806</v>
      </c>
      <c r="AO241" s="12"/>
      <c r="AP241" s="12"/>
    </row>
    <row r="242" spans="1:42">
      <c r="A242" t="s">
        <v>807</v>
      </c>
      <c r="B242" s="8"/>
      <c r="C242" s="8" t="s">
        <v>808</v>
      </c>
      <c r="D242" s="8" t="s">
        <v>93</v>
      </c>
      <c r="E242" s="8" t="s">
        <v>94</v>
      </c>
      <c r="F242" s="8" t="s">
        <v>808</v>
      </c>
      <c r="G242" s="8" t="s">
        <v>808</v>
      </c>
      <c r="H242" s="9">
        <v>6000000</v>
      </c>
      <c r="I242" s="9">
        <f>[1]!Tabel1[[#This Row],[Honorar]]*[1]!Tabel1[[#This Row],[Sandsynlighed]]</f>
        <v>0</v>
      </c>
      <c r="J242" s="10">
        <v>2023</v>
      </c>
      <c r="K242" s="1">
        <v>2027</v>
      </c>
      <c r="L242" s="8" t="s">
        <v>809</v>
      </c>
      <c r="M242" s="11">
        <v>0.2</v>
      </c>
      <c r="N242" s="1"/>
      <c r="O242" s="10">
        <v>46279.61109953704</v>
      </c>
      <c r="P242" s="1" t="s">
        <v>72</v>
      </c>
      <c r="Q242" s="1"/>
      <c r="R242" s="8" t="s">
        <v>75</v>
      </c>
      <c r="S24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4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4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4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4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4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4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4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4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4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4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4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4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42" s="12">
        <f ca="1">[1]!Tabel1[[#This Row],[Vægtet Honorar]]*([1]!Tabel1[[#This Row],[Sidst redigeret]]&gt;TODAY()-40)*([1]!Tabel1[[#This Row],[Er i resplan?]]&lt;&gt;"Ja")*([1]!Tabel1[[#This Row],[Status]]="Pågår")</f>
        <v>0</v>
      </c>
      <c r="AG242" s="12">
        <f ca="1">[1]!Tabel1[[#This Row],[Vægtet Honorar]]*([1]!Tabel1[[#This Row],[Sidst redigeret]]&gt;TODAY()-40)*([1]!Tabel1[[#This Row],[Status]]="Pågår")</f>
        <v>0</v>
      </c>
      <c r="AH242" s="13"/>
      <c r="AI242" s="12"/>
      <c r="AJ242" s="12" t="s">
        <v>767</v>
      </c>
      <c r="AK242" s="12"/>
      <c r="AL242" s="12"/>
      <c r="AM242" s="12">
        <v>45030</v>
      </c>
      <c r="AN242" s="12"/>
      <c r="AO242" s="12">
        <v>44981</v>
      </c>
      <c r="AP242" s="12">
        <v>44981</v>
      </c>
    </row>
    <row r="243" spans="1:42">
      <c r="A243" t="s">
        <v>810</v>
      </c>
      <c r="B243" s="8"/>
      <c r="C243" s="8" t="s">
        <v>811</v>
      </c>
      <c r="D243" s="8" t="s">
        <v>203</v>
      </c>
      <c r="E243" s="8" t="s">
        <v>167</v>
      </c>
      <c r="F243" s="8" t="s">
        <v>811</v>
      </c>
      <c r="G243" s="8" t="s">
        <v>812</v>
      </c>
      <c r="H243" s="9">
        <v>5000000</v>
      </c>
      <c r="I243" s="9">
        <f>[1]!Tabel1[[#This Row],[Honorar]]*[1]!Tabel1[[#This Row],[Sandsynlighed]]</f>
        <v>0</v>
      </c>
      <c r="J243" s="10">
        <v>45337</v>
      </c>
      <c r="K243" s="1">
        <v>2023</v>
      </c>
      <c r="L243" s="8"/>
      <c r="M243" s="11">
        <v>0</v>
      </c>
      <c r="N243" s="1"/>
      <c r="O243" s="10">
        <v>46279.61109953704</v>
      </c>
      <c r="P243" s="10"/>
      <c r="Q243" s="1" t="s">
        <v>46</v>
      </c>
      <c r="R243" s="8" t="s">
        <v>49</v>
      </c>
      <c r="S24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4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4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4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4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4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4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4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4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4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4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4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4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43" s="12">
        <f ca="1">[1]!Tabel1[[#This Row],[Vægtet Honorar]]*([1]!Tabel1[[#This Row],[Sidst redigeret]]&gt;TODAY()-40)*([1]!Tabel1[[#This Row],[Er i resplan?]]&lt;&gt;"Ja")*([1]!Tabel1[[#This Row],[Status]]="Pågår")</f>
        <v>0</v>
      </c>
      <c r="AG243" s="12">
        <f ca="1">[1]!Tabel1[[#This Row],[Vægtet Honorar]]*([1]!Tabel1[[#This Row],[Sidst redigeret]]&gt;TODAY()-40)*([1]!Tabel1[[#This Row],[Status]]="Pågår")</f>
        <v>0</v>
      </c>
      <c r="AH243" s="13"/>
      <c r="AI243" s="12"/>
      <c r="AJ243" s="12"/>
      <c r="AK243" s="12"/>
      <c r="AL243" s="12"/>
      <c r="AM243" s="12"/>
      <c r="AN243" s="12"/>
      <c r="AO243" s="12"/>
      <c r="AP243" s="12"/>
    </row>
    <row r="244" spans="1:42">
      <c r="A244" t="s">
        <v>813</v>
      </c>
      <c r="B244" s="8"/>
      <c r="C244" s="8" t="s">
        <v>814</v>
      </c>
      <c r="D244" s="8" t="s">
        <v>815</v>
      </c>
      <c r="E244" s="8" t="s">
        <v>167</v>
      </c>
      <c r="F244" s="8"/>
      <c r="G244" s="8" t="s">
        <v>816</v>
      </c>
      <c r="H244" s="9">
        <v>30000</v>
      </c>
      <c r="I244" s="9">
        <f>[1]!Tabel1[[#This Row],[Honorar]]*[1]!Tabel1[[#This Row],[Sandsynlighed]]</f>
        <v>5000</v>
      </c>
      <c r="J244" s="10">
        <v>2023</v>
      </c>
      <c r="K244" s="1">
        <v>2023</v>
      </c>
      <c r="L244" s="8" t="s">
        <v>738</v>
      </c>
      <c r="M244" s="11">
        <v>0.5</v>
      </c>
      <c r="N244" s="1"/>
      <c r="O244" s="10">
        <v>46279.61109953704</v>
      </c>
      <c r="P244" s="10"/>
      <c r="Q244" s="1" t="s">
        <v>72</v>
      </c>
      <c r="R244" s="8" t="s">
        <v>47</v>
      </c>
      <c r="S24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4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4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4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4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4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4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4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4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4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4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4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4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44" s="12">
        <f ca="1">[1]!Tabel1[[#This Row],[Vægtet Honorar]]*([1]!Tabel1[[#This Row],[Sidst redigeret]]&gt;TODAY()-40)*([1]!Tabel1[[#This Row],[Er i resplan?]]&lt;&gt;"Ja")*([1]!Tabel1[[#This Row],[Status]]="Pågår")</f>
        <v>0</v>
      </c>
      <c r="AG244" s="12">
        <f ca="1">[1]!Tabel1[[#This Row],[Vægtet Honorar]]*([1]!Tabel1[[#This Row],[Sidst redigeret]]&gt;TODAY()-40)*([1]!Tabel1[[#This Row],[Status]]="Pågår")</f>
        <v>0</v>
      </c>
      <c r="AH244" s="13"/>
      <c r="AI244" s="12"/>
      <c r="AJ244" s="12"/>
      <c r="AK244" s="12"/>
      <c r="AL244" s="12"/>
      <c r="AM244" s="12"/>
      <c r="AN244" s="12"/>
      <c r="AO244" s="12"/>
      <c r="AP244" s="12"/>
    </row>
    <row r="245" spans="1:42">
      <c r="A245" t="s">
        <v>817</v>
      </c>
      <c r="B245" s="8"/>
      <c r="C245" s="8" t="s">
        <v>818</v>
      </c>
      <c r="D245" s="8" t="s">
        <v>435</v>
      </c>
      <c r="E245" s="8" t="s">
        <v>167</v>
      </c>
      <c r="F245" s="8"/>
      <c r="G245" s="8" t="s">
        <v>819</v>
      </c>
      <c r="H245" s="9">
        <v>60000</v>
      </c>
      <c r="I245" s="9">
        <f>[1]!Tabel1[[#This Row],[Honorar]]*[1]!Tabel1[[#This Row],[Sandsynlighed]]</f>
        <v>3750</v>
      </c>
      <c r="J245" s="10"/>
      <c r="K245" s="1"/>
      <c r="L245" s="8"/>
      <c r="M245" s="11">
        <v>0.5</v>
      </c>
      <c r="N245" s="1"/>
      <c r="O245" s="10">
        <v>46279.61109953704</v>
      </c>
      <c r="P245" s="10"/>
      <c r="Q245" s="1"/>
      <c r="R245" s="8" t="s">
        <v>49</v>
      </c>
      <c r="S24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4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4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4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4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4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4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4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4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4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4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4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4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45" s="12">
        <f ca="1">[1]!Tabel1[[#This Row],[Vægtet Honorar]]*([1]!Tabel1[[#This Row],[Sidst redigeret]]&gt;TODAY()-40)*([1]!Tabel1[[#This Row],[Er i resplan?]]&lt;&gt;"Ja")*([1]!Tabel1[[#This Row],[Status]]="Pågår")</f>
        <v>0</v>
      </c>
      <c r="AG245" s="12">
        <f ca="1">[1]!Tabel1[[#This Row],[Vægtet Honorar]]*([1]!Tabel1[[#This Row],[Sidst redigeret]]&gt;TODAY()-40)*([1]!Tabel1[[#This Row],[Status]]="Pågår")</f>
        <v>0</v>
      </c>
      <c r="AH245" s="13"/>
      <c r="AI245" s="12"/>
      <c r="AJ245" s="12"/>
      <c r="AK245" s="12"/>
      <c r="AL245" s="12"/>
      <c r="AM245" s="12"/>
      <c r="AN245" s="12"/>
      <c r="AO245" s="12"/>
      <c r="AP245" s="12"/>
    </row>
    <row r="246" spans="1:42">
      <c r="A246" t="s">
        <v>820</v>
      </c>
      <c r="B246" s="8"/>
      <c r="C246" s="8" t="s">
        <v>821</v>
      </c>
      <c r="D246" s="8" t="s">
        <v>65</v>
      </c>
      <c r="E246" s="8" t="s">
        <v>167</v>
      </c>
      <c r="F246" s="8" t="s">
        <v>822</v>
      </c>
      <c r="G246" s="8" t="s">
        <v>822</v>
      </c>
      <c r="H246" s="9">
        <v>500000</v>
      </c>
      <c r="I246" s="9">
        <f>[1]!Tabel1[[#This Row],[Honorar]]*[1]!Tabel1[[#This Row],[Sandsynlighed]]</f>
        <v>0</v>
      </c>
      <c r="J246" s="10"/>
      <c r="K246" s="1"/>
      <c r="L246" s="8"/>
      <c r="M246" s="11">
        <v>1</v>
      </c>
      <c r="N246" s="1"/>
      <c r="O246" s="10">
        <v>46279.61109953704</v>
      </c>
      <c r="P246" s="10"/>
      <c r="Q246" s="1"/>
      <c r="R246" s="8" t="s">
        <v>49</v>
      </c>
      <c r="S24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4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4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4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4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4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4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4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4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4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4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4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4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46" s="12">
        <f ca="1">[1]!Tabel1[[#This Row],[Vægtet Honorar]]*([1]!Tabel1[[#This Row],[Sidst redigeret]]&gt;TODAY()-40)*([1]!Tabel1[[#This Row],[Er i resplan?]]&lt;&gt;"Ja")*([1]!Tabel1[[#This Row],[Status]]="Pågår")</f>
        <v>0</v>
      </c>
      <c r="AG246" s="12">
        <f ca="1">[1]!Tabel1[[#This Row],[Vægtet Honorar]]*([1]!Tabel1[[#This Row],[Sidst redigeret]]&gt;TODAY()-40)*([1]!Tabel1[[#This Row],[Status]]="Pågår")</f>
        <v>0</v>
      </c>
      <c r="AH246" s="13"/>
      <c r="AI246" s="12"/>
      <c r="AJ246" s="12"/>
      <c r="AK246" s="12"/>
      <c r="AL246" s="12"/>
      <c r="AM246" s="12"/>
      <c r="AN246" s="12"/>
      <c r="AO246" s="12"/>
      <c r="AP246" s="12"/>
    </row>
    <row r="247" spans="1:42">
      <c r="A247" t="s">
        <v>823</v>
      </c>
      <c r="B247" s="8"/>
      <c r="C247" s="8" t="s">
        <v>821</v>
      </c>
      <c r="D247" s="8" t="s">
        <v>65</v>
      </c>
      <c r="E247" s="8" t="s">
        <v>167</v>
      </c>
      <c r="F247" s="8" t="s">
        <v>822</v>
      </c>
      <c r="G247" s="8" t="s">
        <v>822</v>
      </c>
      <c r="H247" s="9">
        <v>500000</v>
      </c>
      <c r="I247" s="9">
        <f>[1]!Tabel1[[#This Row],[Honorar]]*[1]!Tabel1[[#This Row],[Sandsynlighed]]</f>
        <v>1200000</v>
      </c>
      <c r="J247" s="10" t="s">
        <v>824</v>
      </c>
      <c r="K247" s="1" t="s">
        <v>516</v>
      </c>
      <c r="L247" s="8" t="s">
        <v>825</v>
      </c>
      <c r="M247" s="11">
        <v>1</v>
      </c>
      <c r="N247" s="1"/>
      <c r="O247" s="10">
        <v>46279.61109953704</v>
      </c>
      <c r="P247" s="10"/>
      <c r="Q247" s="1" t="s">
        <v>46</v>
      </c>
      <c r="R247" s="8" t="s">
        <v>47</v>
      </c>
      <c r="S24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4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4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4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4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4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4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4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4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4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4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4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4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47" s="12">
        <f ca="1">[1]!Tabel1[[#This Row],[Vægtet Honorar]]*([1]!Tabel1[[#This Row],[Sidst redigeret]]&gt;TODAY()-40)*([1]!Tabel1[[#This Row],[Er i resplan?]]&lt;&gt;"Ja")*([1]!Tabel1[[#This Row],[Status]]="Pågår")</f>
        <v>0</v>
      </c>
      <c r="AG247" s="12">
        <f ca="1">[1]!Tabel1[[#This Row],[Vægtet Honorar]]*([1]!Tabel1[[#This Row],[Sidst redigeret]]&gt;TODAY()-40)*([1]!Tabel1[[#This Row],[Status]]="Pågår")</f>
        <v>0</v>
      </c>
      <c r="AH247" s="13"/>
      <c r="AI247" s="12"/>
      <c r="AJ247" s="12"/>
      <c r="AK247" s="12"/>
      <c r="AL247" s="12"/>
      <c r="AM247" s="12"/>
      <c r="AN247" s="12"/>
      <c r="AO247" s="12"/>
      <c r="AP247" s="12"/>
    </row>
    <row r="248" spans="1:42">
      <c r="A248" t="s">
        <v>826</v>
      </c>
      <c r="B248" s="8"/>
      <c r="C248" s="8" t="s">
        <v>827</v>
      </c>
      <c r="D248" s="8" t="s">
        <v>158</v>
      </c>
      <c r="E248" s="8" t="s">
        <v>167</v>
      </c>
      <c r="F248" s="8" t="s">
        <v>828</v>
      </c>
      <c r="G248" s="8" t="s">
        <v>828</v>
      </c>
      <c r="H248" s="9">
        <v>300</v>
      </c>
      <c r="I248" s="9">
        <f>[1]!Tabel1[[#This Row],[Honorar]]*[1]!Tabel1[[#This Row],[Sandsynlighed]]</f>
        <v>0</v>
      </c>
      <c r="J248" s="10">
        <v>2023</v>
      </c>
      <c r="K248" s="1">
        <v>2023</v>
      </c>
      <c r="L248" s="8"/>
      <c r="M248" s="11">
        <v>0.33</v>
      </c>
      <c r="N248" s="1"/>
      <c r="O248" s="10">
        <v>46279.61109953704</v>
      </c>
      <c r="P248" s="10"/>
      <c r="Q248" s="1"/>
      <c r="R248" s="8" t="s">
        <v>47</v>
      </c>
      <c r="S24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4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4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4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4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4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4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4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4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4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4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4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4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48" s="12">
        <f ca="1">[1]!Tabel1[[#This Row],[Vægtet Honorar]]*([1]!Tabel1[[#This Row],[Sidst redigeret]]&gt;TODAY()-40)*([1]!Tabel1[[#This Row],[Er i resplan?]]&lt;&gt;"Ja")*([1]!Tabel1[[#This Row],[Status]]="Pågår")</f>
        <v>0</v>
      </c>
      <c r="AG248" s="12">
        <f ca="1">[1]!Tabel1[[#This Row],[Vægtet Honorar]]*([1]!Tabel1[[#This Row],[Sidst redigeret]]&gt;TODAY()-40)*([1]!Tabel1[[#This Row],[Status]]="Pågår")</f>
        <v>0</v>
      </c>
      <c r="AH248" s="13"/>
      <c r="AI248" s="12"/>
      <c r="AJ248" s="12"/>
      <c r="AK248" s="12"/>
      <c r="AL248" s="12"/>
      <c r="AM248" s="12"/>
      <c r="AN248" s="12"/>
      <c r="AO248" s="12"/>
      <c r="AP248" s="12"/>
    </row>
    <row r="249" spans="1:42">
      <c r="A249" t="s">
        <v>829</v>
      </c>
      <c r="B249" s="8"/>
      <c r="C249" s="8" t="s">
        <v>830</v>
      </c>
      <c r="D249" s="8" t="s">
        <v>158</v>
      </c>
      <c r="E249" s="8" t="s">
        <v>167</v>
      </c>
      <c r="F249" s="8" t="s">
        <v>831</v>
      </c>
      <c r="G249" s="8" t="s">
        <v>737</v>
      </c>
      <c r="H249" s="9">
        <v>50000</v>
      </c>
      <c r="I249" s="9">
        <f>[1]!Tabel1[[#This Row],[Honorar]]*[1]!Tabel1[[#This Row],[Sandsynlighed]]</f>
        <v>15000</v>
      </c>
      <c r="J249" s="10">
        <v>2023</v>
      </c>
      <c r="K249" s="1">
        <v>2023</v>
      </c>
      <c r="L249" s="8" t="s">
        <v>832</v>
      </c>
      <c r="M249" s="11">
        <v>0.5</v>
      </c>
      <c r="N249" s="1"/>
      <c r="O249" s="10">
        <v>46279.61109953704</v>
      </c>
      <c r="P249" s="10"/>
      <c r="Q249" s="1"/>
      <c r="R249" s="8" t="s">
        <v>47</v>
      </c>
      <c r="S24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4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4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4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4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4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4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4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4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4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4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4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4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49" s="12">
        <f ca="1">[1]!Tabel1[[#This Row],[Vægtet Honorar]]*([1]!Tabel1[[#This Row],[Sidst redigeret]]&gt;TODAY()-40)*([1]!Tabel1[[#This Row],[Er i resplan?]]&lt;&gt;"Ja")*([1]!Tabel1[[#This Row],[Status]]="Pågår")</f>
        <v>0</v>
      </c>
      <c r="AG249" s="12">
        <f ca="1">[1]!Tabel1[[#This Row],[Vægtet Honorar]]*([1]!Tabel1[[#This Row],[Sidst redigeret]]&gt;TODAY()-40)*([1]!Tabel1[[#This Row],[Status]]="Pågår")</f>
        <v>0</v>
      </c>
      <c r="AH249" s="13"/>
      <c r="AI249" s="12"/>
      <c r="AJ249" s="12"/>
      <c r="AK249" s="12"/>
      <c r="AL249" s="12"/>
      <c r="AM249" s="12"/>
      <c r="AN249" s="12"/>
      <c r="AO249" s="12"/>
      <c r="AP249" s="12"/>
    </row>
    <row r="250" spans="1:42">
      <c r="A250" t="s">
        <v>833</v>
      </c>
      <c r="B250" s="8"/>
      <c r="C250" s="8" t="s">
        <v>834</v>
      </c>
      <c r="D250" s="8" t="s">
        <v>158</v>
      </c>
      <c r="E250" s="8" t="s">
        <v>167</v>
      </c>
      <c r="F250" s="8" t="s">
        <v>835</v>
      </c>
      <c r="G250" s="8" t="s">
        <v>836</v>
      </c>
      <c r="H250" s="9">
        <v>50000</v>
      </c>
      <c r="I250" s="9">
        <f>[1]!Tabel1[[#This Row],[Honorar]]*[1]!Tabel1[[#This Row],[Sandsynlighed]]</f>
        <v>30000</v>
      </c>
      <c r="J250" s="10">
        <v>2023</v>
      </c>
      <c r="K250" s="1">
        <v>2023</v>
      </c>
      <c r="L250" s="8">
        <v>231040</v>
      </c>
      <c r="M250" s="11">
        <v>0.5</v>
      </c>
      <c r="N250" s="1"/>
      <c r="O250" s="10">
        <v>46279.61109953704</v>
      </c>
      <c r="P250" s="10"/>
      <c r="Q250" s="1" t="s">
        <v>72</v>
      </c>
      <c r="R250" s="8" t="s">
        <v>47</v>
      </c>
      <c r="S25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5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5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5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5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5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5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5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5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5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5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5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5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50" s="12">
        <f ca="1">[1]!Tabel1[[#This Row],[Vægtet Honorar]]*([1]!Tabel1[[#This Row],[Sidst redigeret]]&gt;TODAY()-40)*([1]!Tabel1[[#This Row],[Er i resplan?]]&lt;&gt;"Ja")*([1]!Tabel1[[#This Row],[Status]]="Pågår")</f>
        <v>0</v>
      </c>
      <c r="AG250" s="12">
        <f ca="1">[1]!Tabel1[[#This Row],[Vægtet Honorar]]*([1]!Tabel1[[#This Row],[Sidst redigeret]]&gt;TODAY()-40)*([1]!Tabel1[[#This Row],[Status]]="Pågår")</f>
        <v>0</v>
      </c>
      <c r="AH250" s="13"/>
      <c r="AI250" s="12"/>
      <c r="AJ250" s="12"/>
      <c r="AK250" s="12"/>
      <c r="AL250" s="12"/>
      <c r="AM250" s="12"/>
      <c r="AN250" s="12"/>
      <c r="AO250" s="12"/>
      <c r="AP250" s="12"/>
    </row>
    <row r="251" spans="1:42">
      <c r="A251" t="s">
        <v>837</v>
      </c>
      <c r="B251" s="8"/>
      <c r="C251" s="8" t="s">
        <v>838</v>
      </c>
      <c r="D251" s="8" t="s">
        <v>720</v>
      </c>
      <c r="E251" s="8" t="s">
        <v>71</v>
      </c>
      <c r="F251" s="8" t="s">
        <v>839</v>
      </c>
      <c r="G251" s="8" t="s">
        <v>840</v>
      </c>
      <c r="H251" s="9">
        <v>200000</v>
      </c>
      <c r="I251" s="9">
        <f>[1]!Tabel1[[#This Row],[Honorar]]*[1]!Tabel1[[#This Row],[Sandsynlighed]]</f>
        <v>500000</v>
      </c>
      <c r="J251" s="10" t="s">
        <v>529</v>
      </c>
      <c r="K251" s="1">
        <v>2023</v>
      </c>
      <c r="L251" s="8"/>
      <c r="M251" s="11">
        <v>1</v>
      </c>
      <c r="N251" s="1" t="s">
        <v>841</v>
      </c>
      <c r="O251" s="10">
        <v>46279.61109953704</v>
      </c>
      <c r="P251" s="10"/>
      <c r="Q251" s="1" t="s">
        <v>46</v>
      </c>
      <c r="R251" s="8" t="s">
        <v>47</v>
      </c>
      <c r="S25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5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5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5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5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5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5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5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5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5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5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5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5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51" s="12">
        <f ca="1">[1]!Tabel1[[#This Row],[Vægtet Honorar]]*([1]!Tabel1[[#This Row],[Sidst redigeret]]&gt;TODAY()-40)*([1]!Tabel1[[#This Row],[Er i resplan?]]&lt;&gt;"Ja")*([1]!Tabel1[[#This Row],[Status]]="Pågår")</f>
        <v>0</v>
      </c>
      <c r="AG251" s="12">
        <f ca="1">[1]!Tabel1[[#This Row],[Vægtet Honorar]]*([1]!Tabel1[[#This Row],[Sidst redigeret]]&gt;TODAY()-40)*([1]!Tabel1[[#This Row],[Status]]="Pågår")</f>
        <v>0</v>
      </c>
      <c r="AH251" s="13"/>
      <c r="AI251" s="12"/>
      <c r="AJ251" s="12"/>
      <c r="AK251" s="12"/>
      <c r="AL251" s="12"/>
      <c r="AM251" s="12"/>
      <c r="AN251" s="12"/>
      <c r="AO251" s="12"/>
      <c r="AP251" s="12"/>
    </row>
    <row r="252" spans="1:42">
      <c r="A252" t="s">
        <v>842</v>
      </c>
      <c r="B252" s="8"/>
      <c r="C252" s="8" t="s">
        <v>843</v>
      </c>
      <c r="D252" s="8" t="s">
        <v>93</v>
      </c>
      <c r="E252" s="8" t="s">
        <v>94</v>
      </c>
      <c r="F252" s="8" t="s">
        <v>844</v>
      </c>
      <c r="G252" s="8" t="s">
        <v>844</v>
      </c>
      <c r="H252" s="9">
        <v>300000</v>
      </c>
      <c r="I252" s="9">
        <f>[1]!Tabel1[[#This Row],[Honorar]]*[1]!Tabel1[[#This Row],[Sandsynlighed]]</f>
        <v>500000</v>
      </c>
      <c r="J252" s="10">
        <v>2023</v>
      </c>
      <c r="K252" s="1">
        <v>2023</v>
      </c>
      <c r="L252" s="8" t="s">
        <v>845</v>
      </c>
      <c r="M252" s="11">
        <v>0.5</v>
      </c>
      <c r="N252" s="14">
        <v>45171.511041666665</v>
      </c>
      <c r="O252" s="10">
        <v>46279.61109953704</v>
      </c>
      <c r="P252" s="1" t="s">
        <v>72</v>
      </c>
      <c r="Q252" s="1"/>
      <c r="R252" s="8" t="s">
        <v>75</v>
      </c>
      <c r="S25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5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5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5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5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5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5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5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5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5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5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5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5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52" s="12">
        <f ca="1">[1]!Tabel1[[#This Row],[Vægtet Honorar]]*([1]!Tabel1[[#This Row],[Sidst redigeret]]&gt;TODAY()-40)*([1]!Tabel1[[#This Row],[Er i resplan?]]&lt;&gt;"Ja")*([1]!Tabel1[[#This Row],[Status]]="Pågår")</f>
        <v>0</v>
      </c>
      <c r="AG252" s="12">
        <f ca="1">[1]!Tabel1[[#This Row],[Vægtet Honorar]]*([1]!Tabel1[[#This Row],[Sidst redigeret]]&gt;TODAY()-40)*([1]!Tabel1[[#This Row],[Status]]="Pågår")</f>
        <v>0</v>
      </c>
      <c r="AH252" s="13"/>
      <c r="AI252" s="12"/>
      <c r="AJ252" s="12"/>
      <c r="AK252" s="12"/>
      <c r="AL252" s="12"/>
      <c r="AM252" s="12"/>
      <c r="AN252" s="12"/>
      <c r="AO252" s="12"/>
      <c r="AP252" s="12"/>
    </row>
    <row r="253" spans="1:42">
      <c r="A253" t="s">
        <v>846</v>
      </c>
      <c r="B253" s="8"/>
      <c r="C253" s="8" t="s">
        <v>847</v>
      </c>
      <c r="D253" s="8" t="s">
        <v>725</v>
      </c>
      <c r="E253" s="8" t="s">
        <v>102</v>
      </c>
      <c r="F253" s="8" t="s">
        <v>111</v>
      </c>
      <c r="G253" s="8" t="s">
        <v>111</v>
      </c>
      <c r="H253" s="9">
        <v>80000</v>
      </c>
      <c r="I253" s="9">
        <f>[1]!Tabel1[[#This Row],[Honorar]]*[1]!Tabel1[[#This Row],[Sandsynlighed]]</f>
        <v>99</v>
      </c>
      <c r="J253" s="10" t="s">
        <v>103</v>
      </c>
      <c r="K253" s="1">
        <v>2024</v>
      </c>
      <c r="L253" s="8" t="s">
        <v>845</v>
      </c>
      <c r="M253" s="11">
        <v>0.9</v>
      </c>
      <c r="N253" s="1" t="s">
        <v>848</v>
      </c>
      <c r="O253" s="10">
        <v>46279.61109953704</v>
      </c>
      <c r="P253" s="10"/>
      <c r="Q253" s="1" t="s">
        <v>72</v>
      </c>
      <c r="R253" s="8" t="s">
        <v>75</v>
      </c>
      <c r="S25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5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5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5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5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5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5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5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5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5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5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5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5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53" s="12">
        <f ca="1">[1]!Tabel1[[#This Row],[Vægtet Honorar]]*([1]!Tabel1[[#This Row],[Sidst redigeret]]&gt;TODAY()-40)*([1]!Tabel1[[#This Row],[Er i resplan?]]&lt;&gt;"Ja")*([1]!Tabel1[[#This Row],[Status]]="Pågår")</f>
        <v>0</v>
      </c>
      <c r="AG253" s="12">
        <f ca="1">[1]!Tabel1[[#This Row],[Vægtet Honorar]]*([1]!Tabel1[[#This Row],[Sidst redigeret]]&gt;TODAY()-40)*([1]!Tabel1[[#This Row],[Status]]="Pågår")</f>
        <v>0</v>
      </c>
      <c r="AH253" s="13"/>
      <c r="AI253" s="12"/>
      <c r="AJ253" s="12"/>
      <c r="AK253" s="12"/>
      <c r="AL253" s="12"/>
      <c r="AM253" s="12"/>
      <c r="AN253" s="12"/>
      <c r="AO253" s="12"/>
      <c r="AP253" s="12"/>
    </row>
    <row r="254" spans="1:42">
      <c r="A254" t="s">
        <v>849</v>
      </c>
      <c r="B254" s="8"/>
      <c r="C254" s="8" t="s">
        <v>850</v>
      </c>
      <c r="D254" s="8" t="s">
        <v>264</v>
      </c>
      <c r="E254" s="8" t="s">
        <v>94</v>
      </c>
      <c r="F254" s="8" t="s">
        <v>851</v>
      </c>
      <c r="G254" s="8" t="s">
        <v>852</v>
      </c>
      <c r="H254" s="9">
        <v>1000000</v>
      </c>
      <c r="I254" s="9">
        <f>[1]!Tabel1[[#This Row],[Honorar]]*[1]!Tabel1[[#This Row],[Sandsynlighed]]</f>
        <v>25000</v>
      </c>
      <c r="J254" s="10">
        <v>2023</v>
      </c>
      <c r="K254" s="1">
        <v>2024</v>
      </c>
      <c r="L254" s="8" t="s">
        <v>853</v>
      </c>
      <c r="M254" s="11">
        <v>1</v>
      </c>
      <c r="N254" s="1"/>
      <c r="O254" s="10">
        <v>46279.61109953704</v>
      </c>
      <c r="P254" s="1" t="s">
        <v>72</v>
      </c>
      <c r="Q254" s="1" t="s">
        <v>46</v>
      </c>
      <c r="R254" s="8" t="s">
        <v>47</v>
      </c>
      <c r="S25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5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5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5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5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5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5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5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5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5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5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5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5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54" s="12">
        <f ca="1">[1]!Tabel1[[#This Row],[Vægtet Honorar]]*([1]!Tabel1[[#This Row],[Sidst redigeret]]&gt;TODAY()-40)*([1]!Tabel1[[#This Row],[Er i resplan?]]&lt;&gt;"Ja")*([1]!Tabel1[[#This Row],[Status]]="Pågår")</f>
        <v>0</v>
      </c>
      <c r="AG254" s="12">
        <f ca="1">[1]!Tabel1[[#This Row],[Vægtet Honorar]]*([1]!Tabel1[[#This Row],[Sidst redigeret]]&gt;TODAY()-40)*([1]!Tabel1[[#This Row],[Status]]="Pågår")</f>
        <v>0</v>
      </c>
      <c r="AH254" s="13"/>
      <c r="AI254" s="12"/>
      <c r="AJ254" s="12"/>
      <c r="AK254" s="12"/>
      <c r="AL254" s="12"/>
      <c r="AM254" s="12"/>
      <c r="AN254" s="12"/>
      <c r="AO254" s="12"/>
      <c r="AP254" s="12"/>
    </row>
    <row r="255" spans="1:42">
      <c r="A255" t="s">
        <v>854</v>
      </c>
      <c r="B255" s="8"/>
      <c r="C255" s="8" t="s">
        <v>855</v>
      </c>
      <c r="D255" s="8" t="s">
        <v>57</v>
      </c>
      <c r="E255" s="8" t="s">
        <v>167</v>
      </c>
      <c r="F255" s="8"/>
      <c r="G255" s="8"/>
      <c r="H255" s="9">
        <v>1000000</v>
      </c>
      <c r="I255" s="9">
        <f>[1]!Tabel1[[#This Row],[Honorar]]*[1]!Tabel1[[#This Row],[Sandsynlighed]]</f>
        <v>25000</v>
      </c>
      <c r="J255" s="10">
        <v>2023</v>
      </c>
      <c r="K255" s="1">
        <v>2024</v>
      </c>
      <c r="L255" s="8" t="s">
        <v>856</v>
      </c>
      <c r="M255" s="11">
        <v>0.1</v>
      </c>
      <c r="N255" s="1"/>
      <c r="O255" s="10">
        <v>46279.61109953704</v>
      </c>
      <c r="P255" s="10"/>
      <c r="Q255" s="1"/>
      <c r="R255" s="8" t="s">
        <v>75</v>
      </c>
      <c r="S25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5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5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5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5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5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5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5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5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5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5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5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5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55" s="12">
        <f ca="1">[1]!Tabel1[[#This Row],[Vægtet Honorar]]*([1]!Tabel1[[#This Row],[Sidst redigeret]]&gt;TODAY()-40)*([1]!Tabel1[[#This Row],[Er i resplan?]]&lt;&gt;"Ja")*([1]!Tabel1[[#This Row],[Status]]="Pågår")</f>
        <v>0</v>
      </c>
      <c r="AG255" s="12">
        <f ca="1">[1]!Tabel1[[#This Row],[Vægtet Honorar]]*([1]!Tabel1[[#This Row],[Sidst redigeret]]&gt;TODAY()-40)*([1]!Tabel1[[#This Row],[Status]]="Pågår")</f>
        <v>0</v>
      </c>
      <c r="AH255" s="13"/>
      <c r="AI255" s="12"/>
      <c r="AJ255" s="12" t="s">
        <v>733</v>
      </c>
      <c r="AK255" s="12"/>
      <c r="AL255" s="12"/>
      <c r="AM255" s="12"/>
      <c r="AN255" s="12"/>
      <c r="AO255" s="12"/>
      <c r="AP255" s="12"/>
    </row>
    <row r="256" spans="1:42">
      <c r="A256" t="s">
        <v>857</v>
      </c>
      <c r="B256" s="8"/>
      <c r="C256" s="8" t="s">
        <v>858</v>
      </c>
      <c r="D256" s="8" t="s">
        <v>859</v>
      </c>
      <c r="E256" s="8" t="s">
        <v>71</v>
      </c>
      <c r="F256" s="8" t="s">
        <v>860</v>
      </c>
      <c r="G256" s="8"/>
      <c r="H256" s="9">
        <v>1</v>
      </c>
      <c r="I256" s="9">
        <f>[1]!Tabel1[[#This Row],[Honorar]]*[1]!Tabel1[[#This Row],[Sandsynlighed]]</f>
        <v>200000</v>
      </c>
      <c r="J256" s="10">
        <v>2023</v>
      </c>
      <c r="K256" s="1">
        <v>2024</v>
      </c>
      <c r="L256" s="8" t="s">
        <v>861</v>
      </c>
      <c r="M256" s="11">
        <v>0.1</v>
      </c>
      <c r="N256" s="14">
        <v>45176.345763888887</v>
      </c>
      <c r="O256" s="10">
        <v>46279.61109953704</v>
      </c>
      <c r="P256" s="10"/>
      <c r="Q256" s="1" t="s">
        <v>72</v>
      </c>
      <c r="R256" s="8" t="s">
        <v>49</v>
      </c>
      <c r="S25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5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5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5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5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5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5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5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5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5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5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5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5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56" s="12">
        <f ca="1">[1]!Tabel1[[#This Row],[Vægtet Honorar]]*([1]!Tabel1[[#This Row],[Sidst redigeret]]&gt;TODAY()-40)*([1]!Tabel1[[#This Row],[Er i resplan?]]&lt;&gt;"Ja")*([1]!Tabel1[[#This Row],[Status]]="Pågår")</f>
        <v>0</v>
      </c>
      <c r="AG256" s="12">
        <f ca="1">[1]!Tabel1[[#This Row],[Vægtet Honorar]]*([1]!Tabel1[[#This Row],[Sidst redigeret]]&gt;TODAY()-40)*([1]!Tabel1[[#This Row],[Status]]="Pågår")</f>
        <v>0</v>
      </c>
      <c r="AH256" s="13"/>
      <c r="AI256" s="12"/>
      <c r="AJ256" s="12"/>
      <c r="AK256" s="12"/>
      <c r="AL256" s="12"/>
      <c r="AM256" s="12"/>
      <c r="AN256" s="12"/>
      <c r="AO256" s="12"/>
      <c r="AP256" s="12"/>
    </row>
    <row r="257" spans="1:42">
      <c r="A257" t="s">
        <v>862</v>
      </c>
      <c r="B257" s="8"/>
      <c r="C257" s="8" t="s">
        <v>863</v>
      </c>
      <c r="D257" s="8" t="s">
        <v>119</v>
      </c>
      <c r="E257" s="8" t="s">
        <v>120</v>
      </c>
      <c r="F257" s="8" t="s">
        <v>753</v>
      </c>
      <c r="G257" s="8" t="s">
        <v>792</v>
      </c>
      <c r="H257" s="9">
        <v>668500</v>
      </c>
      <c r="I257" s="9">
        <f>[1]!Tabel1[[#This Row],[Honorar]]*[1]!Tabel1[[#This Row],[Sandsynlighed]]</f>
        <v>150000</v>
      </c>
      <c r="J257" s="10" t="s">
        <v>864</v>
      </c>
      <c r="K257" s="1">
        <v>2024</v>
      </c>
      <c r="L257" s="8" t="s">
        <v>865</v>
      </c>
      <c r="M257" s="11">
        <v>0</v>
      </c>
      <c r="N257" s="14">
        <v>45176.488842592589</v>
      </c>
      <c r="O257" s="10">
        <v>46279.61109953704</v>
      </c>
      <c r="P257" s="10"/>
      <c r="Q257" s="1" t="s">
        <v>46</v>
      </c>
      <c r="R257" s="8" t="s">
        <v>75</v>
      </c>
      <c r="S25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5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5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5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5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5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5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5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5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5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5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5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5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57" s="12">
        <f ca="1">[1]!Tabel1[[#This Row],[Vægtet Honorar]]*([1]!Tabel1[[#This Row],[Sidst redigeret]]&gt;TODAY()-40)*([1]!Tabel1[[#This Row],[Er i resplan?]]&lt;&gt;"Ja")*([1]!Tabel1[[#This Row],[Status]]="Pågår")</f>
        <v>0</v>
      </c>
      <c r="AG257" s="12">
        <f ca="1">[1]!Tabel1[[#This Row],[Vægtet Honorar]]*([1]!Tabel1[[#This Row],[Sidst redigeret]]&gt;TODAY()-40)*([1]!Tabel1[[#This Row],[Status]]="Pågår")</f>
        <v>0</v>
      </c>
      <c r="AH257" s="13"/>
      <c r="AI257" s="12"/>
      <c r="AJ257" s="12"/>
      <c r="AK257" s="12"/>
      <c r="AL257" s="12"/>
      <c r="AM257" s="12"/>
      <c r="AN257" s="12"/>
      <c r="AO257" s="12"/>
      <c r="AP257" s="12"/>
    </row>
    <row r="258" spans="1:42">
      <c r="A258" t="s">
        <v>866</v>
      </c>
      <c r="B258" s="8"/>
      <c r="C258" s="8" t="s">
        <v>867</v>
      </c>
      <c r="D258" s="8" t="s">
        <v>158</v>
      </c>
      <c r="E258" s="8" t="s">
        <v>167</v>
      </c>
      <c r="F258" s="8" t="s">
        <v>671</v>
      </c>
      <c r="G258" s="8" t="s">
        <v>671</v>
      </c>
      <c r="H258" s="9">
        <v>500000</v>
      </c>
      <c r="I258" s="9">
        <f>[1]!Tabel1[[#This Row],[Honorar]]*[1]!Tabel1[[#This Row],[Sandsynlighed]]</f>
        <v>72000</v>
      </c>
      <c r="J258" s="10"/>
      <c r="K258" s="1">
        <v>2023</v>
      </c>
      <c r="L258" s="8"/>
      <c r="M258" s="11">
        <v>0.9</v>
      </c>
      <c r="N258" s="1"/>
      <c r="O258" s="10">
        <v>46279.61109953704</v>
      </c>
      <c r="P258" s="10"/>
      <c r="Q258" s="1"/>
      <c r="R258" s="8" t="s">
        <v>47</v>
      </c>
      <c r="S25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5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5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5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5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5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5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5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5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5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5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5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5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58" s="12">
        <f ca="1">[1]!Tabel1[[#This Row],[Vægtet Honorar]]*([1]!Tabel1[[#This Row],[Sidst redigeret]]&gt;TODAY()-40)*([1]!Tabel1[[#This Row],[Er i resplan?]]&lt;&gt;"Ja")*([1]!Tabel1[[#This Row],[Status]]="Pågår")</f>
        <v>0</v>
      </c>
      <c r="AG258" s="12">
        <f ca="1">[1]!Tabel1[[#This Row],[Vægtet Honorar]]*([1]!Tabel1[[#This Row],[Sidst redigeret]]&gt;TODAY()-40)*([1]!Tabel1[[#This Row],[Status]]="Pågår")</f>
        <v>0</v>
      </c>
      <c r="AH258" s="13"/>
      <c r="AI258" s="12"/>
      <c r="AJ258" s="12"/>
      <c r="AK258" s="12"/>
      <c r="AL258" s="12"/>
      <c r="AM258" s="12"/>
      <c r="AN258" s="12"/>
      <c r="AO258" s="12"/>
      <c r="AP258" s="12"/>
    </row>
    <row r="259" spans="1:42">
      <c r="A259" t="s">
        <v>868</v>
      </c>
      <c r="B259" s="8"/>
      <c r="C259" s="8" t="s">
        <v>869</v>
      </c>
      <c r="D259" s="8" t="s">
        <v>720</v>
      </c>
      <c r="E259" s="8" t="s">
        <v>71</v>
      </c>
      <c r="F259" s="8" t="s">
        <v>788</v>
      </c>
      <c r="G259" s="8" t="s">
        <v>788</v>
      </c>
      <c r="H259" s="9">
        <v>1500000</v>
      </c>
      <c r="I259" s="9">
        <f>[1]!Tabel1[[#This Row],[Honorar]]*[1]!Tabel1[[#This Row],[Sandsynlighed]]</f>
        <v>1000000</v>
      </c>
      <c r="J259" s="10">
        <v>2023</v>
      </c>
      <c r="K259" s="1">
        <v>2024</v>
      </c>
      <c r="L259" s="8" t="s">
        <v>870</v>
      </c>
      <c r="M259" s="11">
        <v>0.05</v>
      </c>
      <c r="N259" s="1" t="s">
        <v>871</v>
      </c>
      <c r="O259" s="10">
        <v>46279.61109953704</v>
      </c>
      <c r="P259" s="10"/>
      <c r="Q259" s="1" t="s">
        <v>46</v>
      </c>
      <c r="R259" s="8" t="s">
        <v>75</v>
      </c>
      <c r="S25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5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5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5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5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5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5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5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5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5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5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5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5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59" s="12">
        <f ca="1">[1]!Tabel1[[#This Row],[Vægtet Honorar]]*([1]!Tabel1[[#This Row],[Sidst redigeret]]&gt;TODAY()-40)*([1]!Tabel1[[#This Row],[Er i resplan?]]&lt;&gt;"Ja")*([1]!Tabel1[[#This Row],[Status]]="Pågår")</f>
        <v>0</v>
      </c>
      <c r="AG259" s="12">
        <f ca="1">[1]!Tabel1[[#This Row],[Vægtet Honorar]]*([1]!Tabel1[[#This Row],[Sidst redigeret]]&gt;TODAY()-40)*([1]!Tabel1[[#This Row],[Status]]="Pågår")</f>
        <v>0</v>
      </c>
      <c r="AH259" s="13"/>
      <c r="AI259" s="12"/>
      <c r="AJ259" s="12" t="s">
        <v>384</v>
      </c>
      <c r="AK259" s="12"/>
      <c r="AL259" s="12" t="s">
        <v>872</v>
      </c>
      <c r="AM259" s="12"/>
      <c r="AN259" s="12"/>
      <c r="AO259" s="12"/>
      <c r="AP259" s="12"/>
    </row>
    <row r="260" spans="1:42">
      <c r="A260" t="s">
        <v>873</v>
      </c>
      <c r="B260" s="8"/>
      <c r="C260" s="8" t="s">
        <v>874</v>
      </c>
      <c r="D260" s="8" t="s">
        <v>875</v>
      </c>
      <c r="E260" s="8" t="s">
        <v>167</v>
      </c>
      <c r="F260" s="8" t="s">
        <v>876</v>
      </c>
      <c r="G260" s="8" t="s">
        <v>876</v>
      </c>
      <c r="H260" s="9">
        <v>1500000</v>
      </c>
      <c r="I260" s="9">
        <f>[1]!Tabel1[[#This Row],[Honorar]]*[1]!Tabel1[[#This Row],[Sandsynlighed]]</f>
        <v>100000</v>
      </c>
      <c r="J260" s="10">
        <v>2023</v>
      </c>
      <c r="K260" s="1">
        <v>2024</v>
      </c>
      <c r="L260" s="8" t="s">
        <v>877</v>
      </c>
      <c r="M260" s="11">
        <v>1</v>
      </c>
      <c r="N260" s="1" t="s">
        <v>878</v>
      </c>
      <c r="O260" s="10">
        <v>46279.61109953704</v>
      </c>
      <c r="P260" s="10"/>
      <c r="Q260" s="1" t="s">
        <v>46</v>
      </c>
      <c r="R260" s="8" t="s">
        <v>47</v>
      </c>
      <c r="S26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6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6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6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6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6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6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6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6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6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6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6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6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60" s="12">
        <f ca="1">[1]!Tabel1[[#This Row],[Vægtet Honorar]]*([1]!Tabel1[[#This Row],[Sidst redigeret]]&gt;TODAY()-40)*([1]!Tabel1[[#This Row],[Er i resplan?]]&lt;&gt;"Ja")*([1]!Tabel1[[#This Row],[Status]]="Pågår")</f>
        <v>0</v>
      </c>
      <c r="AG260" s="12">
        <f ca="1">[1]!Tabel1[[#This Row],[Vægtet Honorar]]*([1]!Tabel1[[#This Row],[Sidst redigeret]]&gt;TODAY()-40)*([1]!Tabel1[[#This Row],[Status]]="Pågår")</f>
        <v>0</v>
      </c>
      <c r="AH260" s="13"/>
      <c r="AI260" s="12"/>
      <c r="AJ260" s="12" t="s">
        <v>879</v>
      </c>
      <c r="AK260" s="12"/>
      <c r="AL260" s="12"/>
      <c r="AM260" s="12"/>
      <c r="AN260" s="12"/>
      <c r="AO260" s="12"/>
      <c r="AP260" s="12"/>
    </row>
    <row r="261" spans="1:42">
      <c r="A261" t="s">
        <v>880</v>
      </c>
      <c r="B261" s="8"/>
      <c r="C261" s="8" t="s">
        <v>881</v>
      </c>
      <c r="D261" s="8" t="s">
        <v>119</v>
      </c>
      <c r="E261" s="8" t="s">
        <v>120</v>
      </c>
      <c r="F261" s="8" t="s">
        <v>882</v>
      </c>
      <c r="G261" s="8" t="s">
        <v>882</v>
      </c>
      <c r="H261" s="9">
        <v>300000</v>
      </c>
      <c r="I261" s="9">
        <f>[1]!Tabel1[[#This Row],[Honorar]]*[1]!Tabel1[[#This Row],[Sandsynlighed]]</f>
        <v>0.1</v>
      </c>
      <c r="J261" s="10">
        <v>45139</v>
      </c>
      <c r="K261" s="1">
        <v>2024</v>
      </c>
      <c r="L261" s="8" t="s">
        <v>252</v>
      </c>
      <c r="M261" s="11">
        <v>0.05</v>
      </c>
      <c r="N261" s="1"/>
      <c r="O261" s="10">
        <v>46279.61109953704</v>
      </c>
      <c r="P261" s="10"/>
      <c r="Q261" s="1" t="s">
        <v>72</v>
      </c>
      <c r="R261" s="8" t="s">
        <v>49</v>
      </c>
      <c r="S26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6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6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6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6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6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6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6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6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6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6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6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6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61" s="12">
        <f ca="1">[1]!Tabel1[[#This Row],[Vægtet Honorar]]*([1]!Tabel1[[#This Row],[Sidst redigeret]]&gt;TODAY()-40)*([1]!Tabel1[[#This Row],[Er i resplan?]]&lt;&gt;"Ja")*([1]!Tabel1[[#This Row],[Status]]="Pågår")</f>
        <v>0</v>
      </c>
      <c r="AG261" s="12">
        <f ca="1">[1]!Tabel1[[#This Row],[Vægtet Honorar]]*([1]!Tabel1[[#This Row],[Sidst redigeret]]&gt;TODAY()-40)*([1]!Tabel1[[#This Row],[Status]]="Pågår")</f>
        <v>0</v>
      </c>
      <c r="AH261" s="13"/>
      <c r="AI261" s="12"/>
      <c r="AJ261" s="12"/>
      <c r="AK261" s="12"/>
      <c r="AL261" s="12"/>
      <c r="AM261" s="12"/>
      <c r="AN261" s="12"/>
      <c r="AO261" s="12"/>
      <c r="AP261" s="12"/>
    </row>
    <row r="262" spans="1:42">
      <c r="A262" t="s">
        <v>883</v>
      </c>
      <c r="B262" s="8"/>
      <c r="C262" s="8" t="s">
        <v>884</v>
      </c>
      <c r="D262" s="8" t="s">
        <v>158</v>
      </c>
      <c r="E262" s="8" t="s">
        <v>167</v>
      </c>
      <c r="F262" s="8" t="s">
        <v>885</v>
      </c>
      <c r="G262" s="8" t="s">
        <v>885</v>
      </c>
      <c r="H262" s="9">
        <v>250000</v>
      </c>
      <c r="I262" s="9">
        <f>[1]!Tabel1[[#This Row],[Honorar]]*[1]!Tabel1[[#This Row],[Sandsynlighed]]</f>
        <v>0</v>
      </c>
      <c r="J262" s="10">
        <v>2023</v>
      </c>
      <c r="K262" s="1">
        <v>2024</v>
      </c>
      <c r="L262" s="8"/>
      <c r="M262" s="11">
        <v>0.3</v>
      </c>
      <c r="N262" s="1"/>
      <c r="O262" s="10">
        <v>46279.61109953704</v>
      </c>
      <c r="P262" s="10"/>
      <c r="Q262" s="1"/>
      <c r="R262" s="8" t="s">
        <v>75</v>
      </c>
      <c r="S26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6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6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6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6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6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6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6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6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6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6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6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6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62" s="12">
        <f ca="1">[1]!Tabel1[[#This Row],[Vægtet Honorar]]*([1]!Tabel1[[#This Row],[Sidst redigeret]]&gt;TODAY()-40)*([1]!Tabel1[[#This Row],[Er i resplan?]]&lt;&gt;"Ja")*([1]!Tabel1[[#This Row],[Status]]="Pågår")</f>
        <v>0</v>
      </c>
      <c r="AG262" s="12">
        <f ca="1">[1]!Tabel1[[#This Row],[Vægtet Honorar]]*([1]!Tabel1[[#This Row],[Sidst redigeret]]&gt;TODAY()-40)*([1]!Tabel1[[#This Row],[Status]]="Pågår")</f>
        <v>0</v>
      </c>
      <c r="AH262" s="13"/>
      <c r="AI262" s="12"/>
      <c r="AJ262" s="12"/>
      <c r="AK262" s="12"/>
      <c r="AL262" s="12"/>
      <c r="AM262" s="12"/>
      <c r="AN262" s="12"/>
      <c r="AO262" s="12"/>
      <c r="AP262" s="12"/>
    </row>
    <row r="263" spans="1:42">
      <c r="A263" t="s">
        <v>886</v>
      </c>
      <c r="B263" s="8"/>
      <c r="C263" s="8" t="s">
        <v>887</v>
      </c>
      <c r="D263" s="8" t="s">
        <v>859</v>
      </c>
      <c r="E263" s="8" t="s">
        <v>71</v>
      </c>
      <c r="F263" s="8" t="s">
        <v>888</v>
      </c>
      <c r="G263" s="8" t="s">
        <v>888</v>
      </c>
      <c r="H263" s="9">
        <v>100000</v>
      </c>
      <c r="I263" s="9">
        <f>[1]!Tabel1[[#This Row],[Honorar]]*[1]!Tabel1[[#This Row],[Sandsynlighed]]</f>
        <v>450000</v>
      </c>
      <c r="J263" s="10">
        <v>2023</v>
      </c>
      <c r="K263" s="1">
        <v>2024</v>
      </c>
      <c r="L263" s="8"/>
      <c r="M263" s="11">
        <v>1</v>
      </c>
      <c r="N263" s="14"/>
      <c r="O263" s="10">
        <v>46279.61109953704</v>
      </c>
      <c r="P263" s="10"/>
      <c r="Q263" s="1" t="s">
        <v>46</v>
      </c>
      <c r="R263" s="8" t="s">
        <v>47</v>
      </c>
      <c r="S26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6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6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6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6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6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6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6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6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6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6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6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6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63" s="12">
        <f ca="1">[1]!Tabel1[[#This Row],[Vægtet Honorar]]*([1]!Tabel1[[#This Row],[Sidst redigeret]]&gt;TODAY()-40)*([1]!Tabel1[[#This Row],[Er i resplan?]]&lt;&gt;"Ja")*([1]!Tabel1[[#This Row],[Status]]="Pågår")</f>
        <v>0</v>
      </c>
      <c r="AG263" s="12">
        <f ca="1">[1]!Tabel1[[#This Row],[Vægtet Honorar]]*([1]!Tabel1[[#This Row],[Sidst redigeret]]&gt;TODAY()-40)*([1]!Tabel1[[#This Row],[Status]]="Pågår")</f>
        <v>0</v>
      </c>
      <c r="AH263" s="13"/>
      <c r="AI263" s="12"/>
      <c r="AJ263" s="12"/>
      <c r="AK263" s="12"/>
      <c r="AL263" s="12"/>
      <c r="AM263" s="12"/>
      <c r="AN263" s="12"/>
      <c r="AO263" s="12"/>
      <c r="AP263" s="12"/>
    </row>
    <row r="264" spans="1:42">
      <c r="A264" t="s">
        <v>889</v>
      </c>
      <c r="B264" s="8"/>
      <c r="C264" s="8" t="s">
        <v>890</v>
      </c>
      <c r="D264" s="8" t="s">
        <v>57</v>
      </c>
      <c r="E264" s="8" t="s">
        <v>94</v>
      </c>
      <c r="F264" s="8" t="s">
        <v>891</v>
      </c>
      <c r="G264" s="8" t="s">
        <v>891</v>
      </c>
      <c r="H264" s="9">
        <v>5000000</v>
      </c>
      <c r="I264" s="9">
        <f>[1]!Tabel1[[#This Row],[Honorar]]*[1]!Tabel1[[#This Row],[Sandsynlighed]]</f>
        <v>75000</v>
      </c>
      <c r="J264" s="10">
        <v>2023</v>
      </c>
      <c r="K264" s="1">
        <v>2024</v>
      </c>
      <c r="L264" s="8" t="s">
        <v>892</v>
      </c>
      <c r="M264" s="11">
        <v>0.1</v>
      </c>
      <c r="N264" s="14">
        <v>45171.516400462962</v>
      </c>
      <c r="O264" s="10">
        <v>46279.61109953704</v>
      </c>
      <c r="P264" s="1" t="s">
        <v>72</v>
      </c>
      <c r="Q264" s="1"/>
      <c r="R264" s="8" t="s">
        <v>49</v>
      </c>
      <c r="S26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6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6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6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6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6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6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6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6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6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6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6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6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64" s="12">
        <f ca="1">[1]!Tabel1[[#This Row],[Vægtet Honorar]]*([1]!Tabel1[[#This Row],[Sidst redigeret]]&gt;TODAY()-40)*([1]!Tabel1[[#This Row],[Er i resplan?]]&lt;&gt;"Ja")*([1]!Tabel1[[#This Row],[Status]]="Pågår")</f>
        <v>0</v>
      </c>
      <c r="AG264" s="12">
        <f ca="1">[1]!Tabel1[[#This Row],[Vægtet Honorar]]*([1]!Tabel1[[#This Row],[Sidst redigeret]]&gt;TODAY()-40)*([1]!Tabel1[[#This Row],[Status]]="Pågår")</f>
        <v>0</v>
      </c>
      <c r="AH264" s="13"/>
      <c r="AI264" s="12"/>
      <c r="AJ264" s="12"/>
      <c r="AK264" s="12"/>
      <c r="AL264" s="12"/>
      <c r="AM264" s="12"/>
      <c r="AN264" s="12"/>
      <c r="AO264" s="12"/>
      <c r="AP264" s="12"/>
    </row>
    <row r="265" spans="1:42">
      <c r="A265" t="s">
        <v>893</v>
      </c>
      <c r="B265" s="8"/>
      <c r="C265" s="8" t="s">
        <v>890</v>
      </c>
      <c r="D265" s="8" t="s">
        <v>57</v>
      </c>
      <c r="E265" s="8" t="s">
        <v>94</v>
      </c>
      <c r="F265" s="8" t="s">
        <v>891</v>
      </c>
      <c r="G265" s="8" t="s">
        <v>891</v>
      </c>
      <c r="H265" s="9">
        <v>5000000</v>
      </c>
      <c r="I265" s="9">
        <f>[1]!Tabel1[[#This Row],[Honorar]]*[1]!Tabel1[[#This Row],[Sandsynlighed]]</f>
        <v>1500000</v>
      </c>
      <c r="J265" s="10">
        <v>2023</v>
      </c>
      <c r="K265" s="1">
        <v>2024</v>
      </c>
      <c r="L265" s="8" t="s">
        <v>892</v>
      </c>
      <c r="M265" s="11">
        <v>0.1</v>
      </c>
      <c r="N265" s="14">
        <v>45171.516435185185</v>
      </c>
      <c r="O265" s="10">
        <v>46279.61109953704</v>
      </c>
      <c r="P265" s="1" t="s">
        <v>72</v>
      </c>
      <c r="Q265" s="1"/>
      <c r="R265" s="8" t="s">
        <v>49</v>
      </c>
      <c r="S26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6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6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6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6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6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6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6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6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6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6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6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6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65" s="12">
        <f ca="1">[1]!Tabel1[[#This Row],[Vægtet Honorar]]*([1]!Tabel1[[#This Row],[Sidst redigeret]]&gt;TODAY()-40)*([1]!Tabel1[[#This Row],[Er i resplan?]]&lt;&gt;"Ja")*([1]!Tabel1[[#This Row],[Status]]="Pågår")</f>
        <v>0</v>
      </c>
      <c r="AG265" s="12">
        <f ca="1">[1]!Tabel1[[#This Row],[Vægtet Honorar]]*([1]!Tabel1[[#This Row],[Sidst redigeret]]&gt;TODAY()-40)*([1]!Tabel1[[#This Row],[Status]]="Pågår")</f>
        <v>0</v>
      </c>
      <c r="AH265" s="13"/>
      <c r="AI265" s="12"/>
      <c r="AJ265" s="12"/>
      <c r="AK265" s="12"/>
      <c r="AL265" s="12"/>
      <c r="AM265" s="12"/>
      <c r="AN265" s="12"/>
      <c r="AO265" s="12"/>
      <c r="AP265" s="12"/>
    </row>
    <row r="266" spans="1:42" ht="195">
      <c r="A266" t="s">
        <v>894</v>
      </c>
      <c r="B266" s="8"/>
      <c r="C266" s="8" t="s">
        <v>895</v>
      </c>
      <c r="D266" s="8" t="s">
        <v>896</v>
      </c>
      <c r="E266" s="8" t="s">
        <v>94</v>
      </c>
      <c r="F266" s="8" t="s">
        <v>897</v>
      </c>
      <c r="G266" s="8" t="s">
        <v>2967</v>
      </c>
      <c r="H266" s="9">
        <v>20000000</v>
      </c>
      <c r="I266" s="9">
        <f>[1]!Tabel1[[#This Row],[Honorar]]*[1]!Tabel1[[#This Row],[Sandsynlighed]]</f>
        <v>15000</v>
      </c>
      <c r="J266" s="10" t="s">
        <v>341</v>
      </c>
      <c r="K266" s="1" t="s">
        <v>898</v>
      </c>
      <c r="L266" s="17" t="s">
        <v>899</v>
      </c>
      <c r="M266" s="11">
        <v>0.01</v>
      </c>
      <c r="N266" s="1">
        <v>15000</v>
      </c>
      <c r="O266" s="10">
        <v>46279.620289351849</v>
      </c>
      <c r="P266" s="1" t="s">
        <v>72</v>
      </c>
      <c r="Q266" s="1" t="s">
        <v>72</v>
      </c>
      <c r="R266" s="8" t="s">
        <v>343</v>
      </c>
      <c r="S26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6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6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6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6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6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6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6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6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6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6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6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6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66" s="12">
        <f ca="1">[1]!Tabel1[[#This Row],[Vægtet Honorar]]*([1]!Tabel1[[#This Row],[Sidst redigeret]]&gt;TODAY()-40)*([1]!Tabel1[[#This Row],[Er i resplan?]]&lt;&gt;"Ja")*([1]!Tabel1[[#This Row],[Status]]="Pågår")</f>
        <v>0</v>
      </c>
      <c r="AG266" s="12">
        <f ca="1">[1]!Tabel1[[#This Row],[Vægtet Honorar]]*([1]!Tabel1[[#This Row],[Sidst redigeret]]&gt;TODAY()-40)*([1]!Tabel1[[#This Row],[Status]]="Pågår")</f>
        <v>0</v>
      </c>
      <c r="AH266" s="13"/>
      <c r="AI266" s="12"/>
      <c r="AJ266" s="12"/>
      <c r="AK266" s="12"/>
      <c r="AL266" s="12"/>
      <c r="AM266" s="12"/>
      <c r="AN266" s="12"/>
      <c r="AO266" s="12"/>
      <c r="AP266" s="12"/>
    </row>
    <row r="267" spans="1:42">
      <c r="A267" t="s">
        <v>900</v>
      </c>
      <c r="B267" s="8"/>
      <c r="C267" s="8" t="s">
        <v>901</v>
      </c>
      <c r="D267" s="8" t="s">
        <v>720</v>
      </c>
      <c r="E267" s="8" t="s">
        <v>71</v>
      </c>
      <c r="F267" s="8" t="s">
        <v>902</v>
      </c>
      <c r="G267" s="8" t="s">
        <v>903</v>
      </c>
      <c r="H267" s="9">
        <v>1500000</v>
      </c>
      <c r="I267" s="9">
        <f>[1]!Tabel1[[#This Row],[Honorar]]*[1]!Tabel1[[#This Row],[Sandsynlighed]]</f>
        <v>75000</v>
      </c>
      <c r="J267" s="10" t="s">
        <v>328</v>
      </c>
      <c r="K267" s="1">
        <v>2024</v>
      </c>
      <c r="L267" s="8" t="s">
        <v>904</v>
      </c>
      <c r="M267" s="11">
        <v>0.01</v>
      </c>
      <c r="N267" s="1">
        <v>150</v>
      </c>
      <c r="O267" s="10">
        <v>46279.61109953704</v>
      </c>
      <c r="P267" s="10"/>
      <c r="Q267" s="1" t="s">
        <v>72</v>
      </c>
      <c r="R267" s="8" t="s">
        <v>343</v>
      </c>
      <c r="S26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6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6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6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6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6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6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6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6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6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6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6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6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67" s="12">
        <f ca="1">[1]!Tabel1[[#This Row],[Vægtet Honorar]]*([1]!Tabel1[[#This Row],[Sidst redigeret]]&gt;TODAY()-40)*([1]!Tabel1[[#This Row],[Er i resplan?]]&lt;&gt;"Ja")*([1]!Tabel1[[#This Row],[Status]]="Pågår")</f>
        <v>0</v>
      </c>
      <c r="AG267" s="12">
        <f ca="1">[1]!Tabel1[[#This Row],[Vægtet Honorar]]*([1]!Tabel1[[#This Row],[Sidst redigeret]]&gt;TODAY()-40)*([1]!Tabel1[[#This Row],[Status]]="Pågår")</f>
        <v>0</v>
      </c>
      <c r="AH267" s="13"/>
      <c r="AI267" s="12"/>
      <c r="AJ267" s="12" t="s">
        <v>905</v>
      </c>
      <c r="AK267" s="12"/>
      <c r="AL267" s="12" t="s">
        <v>906</v>
      </c>
      <c r="AM267" s="12" t="s">
        <v>907</v>
      </c>
      <c r="AN267" s="12" t="s">
        <v>908</v>
      </c>
      <c r="AO267" s="12"/>
      <c r="AP267" s="12"/>
    </row>
    <row r="268" spans="1:42">
      <c r="A268" t="s">
        <v>909</v>
      </c>
      <c r="B268" s="8"/>
      <c r="C268" s="8" t="s">
        <v>910</v>
      </c>
      <c r="D268" s="8" t="s">
        <v>720</v>
      </c>
      <c r="E268" s="8" t="s">
        <v>71</v>
      </c>
      <c r="F268" s="8" t="s">
        <v>911</v>
      </c>
      <c r="G268" s="8" t="s">
        <v>905</v>
      </c>
      <c r="H268" s="9">
        <v>400000</v>
      </c>
      <c r="I268" s="9">
        <f>[1]!Tabel1[[#This Row],[Honorar]]*[1]!Tabel1[[#This Row],[Sandsynlighed]]</f>
        <v>100000</v>
      </c>
      <c r="J268" s="10">
        <v>2023</v>
      </c>
      <c r="K268" s="1">
        <v>2024</v>
      </c>
      <c r="L268" s="8"/>
      <c r="M268" s="11">
        <v>0</v>
      </c>
      <c r="N268" s="1" t="s">
        <v>912</v>
      </c>
      <c r="O268" s="10">
        <v>46279.61109953704</v>
      </c>
      <c r="P268" s="10"/>
      <c r="Q268" s="1" t="s">
        <v>72</v>
      </c>
      <c r="R268" s="8" t="s">
        <v>75</v>
      </c>
      <c r="S26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6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6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6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6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6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6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6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6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6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6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6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6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68" s="12">
        <f ca="1">[1]!Tabel1[[#This Row],[Vægtet Honorar]]*([1]!Tabel1[[#This Row],[Sidst redigeret]]&gt;TODAY()-40)*([1]!Tabel1[[#This Row],[Er i resplan?]]&lt;&gt;"Ja")*([1]!Tabel1[[#This Row],[Status]]="Pågår")</f>
        <v>0</v>
      </c>
      <c r="AG268" s="12">
        <f ca="1">[1]!Tabel1[[#This Row],[Vægtet Honorar]]*([1]!Tabel1[[#This Row],[Sidst redigeret]]&gt;TODAY()-40)*([1]!Tabel1[[#This Row],[Status]]="Pågår")</f>
        <v>0</v>
      </c>
      <c r="AH268" s="13"/>
      <c r="AI268" s="12"/>
      <c r="AJ268" s="12"/>
      <c r="AK268" s="12"/>
      <c r="AL268" s="12"/>
      <c r="AM268" s="12"/>
      <c r="AN268" s="12"/>
      <c r="AO268" s="12"/>
      <c r="AP268" s="12"/>
    </row>
    <row r="269" spans="1:42">
      <c r="A269" t="s">
        <v>913</v>
      </c>
      <c r="B269" s="8">
        <v>232160</v>
      </c>
      <c r="C269" s="8" t="s">
        <v>914</v>
      </c>
      <c r="D269" s="8" t="s">
        <v>119</v>
      </c>
      <c r="E269" s="8" t="s">
        <v>120</v>
      </c>
      <c r="F269" s="8" t="s">
        <v>915</v>
      </c>
      <c r="G269" s="8" t="s">
        <v>916</v>
      </c>
      <c r="H269" s="9">
        <v>400000</v>
      </c>
      <c r="I269" s="9">
        <f>[1]!Tabel1[[#This Row],[Honorar]]*[1]!Tabel1[[#This Row],[Sandsynlighed]]</f>
        <v>500000</v>
      </c>
      <c r="J269" s="10">
        <v>44986</v>
      </c>
      <c r="K269" s="1">
        <v>2024</v>
      </c>
      <c r="L269" s="8" t="s">
        <v>865</v>
      </c>
      <c r="M269" s="11">
        <v>1</v>
      </c>
      <c r="N269" s="14">
        <v>45176.489282407405</v>
      </c>
      <c r="O269" s="10">
        <v>46279.61109953704</v>
      </c>
      <c r="P269" s="10"/>
      <c r="Q269" s="1" t="s">
        <v>46</v>
      </c>
      <c r="R269" s="8" t="s">
        <v>47</v>
      </c>
      <c r="S26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6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6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6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6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6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6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6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6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6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6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6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6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69" s="12">
        <f ca="1">[1]!Tabel1[[#This Row],[Vægtet Honorar]]*([1]!Tabel1[[#This Row],[Sidst redigeret]]&gt;TODAY()-40)*([1]!Tabel1[[#This Row],[Er i resplan?]]&lt;&gt;"Ja")*([1]!Tabel1[[#This Row],[Status]]="Pågår")</f>
        <v>0</v>
      </c>
      <c r="AG269" s="12">
        <f ca="1">[1]!Tabel1[[#This Row],[Vægtet Honorar]]*([1]!Tabel1[[#This Row],[Sidst redigeret]]&gt;TODAY()-40)*([1]!Tabel1[[#This Row],[Status]]="Pågår")</f>
        <v>0</v>
      </c>
      <c r="AH269" s="13"/>
      <c r="AI269" s="12"/>
      <c r="AJ269" s="12"/>
      <c r="AK269" s="12"/>
      <c r="AL269" s="12"/>
      <c r="AM269" s="12"/>
      <c r="AN269" s="12"/>
      <c r="AO269" s="12"/>
      <c r="AP269" s="12"/>
    </row>
    <row r="270" spans="1:42">
      <c r="A270" t="s">
        <v>917</v>
      </c>
      <c r="B270" s="8"/>
      <c r="C270" s="8" t="s">
        <v>918</v>
      </c>
      <c r="D270" s="8" t="s">
        <v>70</v>
      </c>
      <c r="E270" s="8" t="s">
        <v>102</v>
      </c>
      <c r="F270" s="8" t="s">
        <v>919</v>
      </c>
      <c r="G270" s="8" t="s">
        <v>919</v>
      </c>
      <c r="H270" s="9">
        <v>18000000</v>
      </c>
      <c r="I270" s="9">
        <f>[1]!Tabel1[[#This Row],[Honorar]]*[1]!Tabel1[[#This Row],[Sandsynlighed]]</f>
        <v>500000</v>
      </c>
      <c r="J270" s="10" t="s">
        <v>103</v>
      </c>
      <c r="K270" s="1">
        <v>2026</v>
      </c>
      <c r="L270" s="8"/>
      <c r="M270" s="11">
        <v>0</v>
      </c>
      <c r="N270" s="1" t="s">
        <v>920</v>
      </c>
      <c r="O270" s="10">
        <v>46279.61109953704</v>
      </c>
      <c r="P270" s="10"/>
      <c r="Q270" s="1" t="s">
        <v>46</v>
      </c>
      <c r="R270" s="8" t="s">
        <v>49</v>
      </c>
      <c r="S27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7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7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7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7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7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7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7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7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7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7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7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7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70" s="12">
        <f ca="1">[1]!Tabel1[[#This Row],[Vægtet Honorar]]*([1]!Tabel1[[#This Row],[Sidst redigeret]]&gt;TODAY()-40)*([1]!Tabel1[[#This Row],[Er i resplan?]]&lt;&gt;"Ja")*([1]!Tabel1[[#This Row],[Status]]="Pågår")</f>
        <v>0</v>
      </c>
      <c r="AG270" s="12">
        <f ca="1">[1]!Tabel1[[#This Row],[Vægtet Honorar]]*([1]!Tabel1[[#This Row],[Sidst redigeret]]&gt;TODAY()-40)*([1]!Tabel1[[#This Row],[Status]]="Pågår")</f>
        <v>0</v>
      </c>
      <c r="AH270" s="13"/>
      <c r="AI270" s="12"/>
      <c r="AJ270" s="12"/>
      <c r="AK270" s="12"/>
      <c r="AL270" s="12"/>
      <c r="AM270" s="12"/>
      <c r="AN270" s="12" t="s">
        <v>921</v>
      </c>
      <c r="AO270" s="12"/>
      <c r="AP270" s="12"/>
    </row>
    <row r="271" spans="1:42">
      <c r="A271" t="s">
        <v>922</v>
      </c>
      <c r="B271" s="8"/>
      <c r="C271" s="8" t="s">
        <v>923</v>
      </c>
      <c r="D271" s="8" t="s">
        <v>70</v>
      </c>
      <c r="E271" s="8" t="s">
        <v>102</v>
      </c>
      <c r="F271" s="8" t="s">
        <v>924</v>
      </c>
      <c r="G271" s="8" t="s">
        <v>925</v>
      </c>
      <c r="H271" s="9">
        <v>3000000</v>
      </c>
      <c r="I271" s="9">
        <f>[1]!Tabel1[[#This Row],[Honorar]]*[1]!Tabel1[[#This Row],[Sandsynlighed]]</f>
        <v>200000</v>
      </c>
      <c r="J271" s="10" t="s">
        <v>452</v>
      </c>
      <c r="K271" s="1">
        <v>2024</v>
      </c>
      <c r="L271" s="8"/>
      <c r="M271" s="11">
        <v>0.25</v>
      </c>
      <c r="N271" s="1" t="s">
        <v>926</v>
      </c>
      <c r="O271" s="10">
        <v>46279.61109953704</v>
      </c>
      <c r="P271" s="10"/>
      <c r="Q271" s="1" t="s">
        <v>46</v>
      </c>
      <c r="R271" s="8" t="s">
        <v>49</v>
      </c>
      <c r="S27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5555.5555555555557</v>
      </c>
      <c r="T27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5555.5555555555557</v>
      </c>
      <c r="U27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5555.5555555555557</v>
      </c>
      <c r="V27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5555.5555555555557</v>
      </c>
      <c r="W27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5555.5555555555557</v>
      </c>
      <c r="X27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5555.5555555555557</v>
      </c>
      <c r="Y27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5555.5555555555557</v>
      </c>
      <c r="Z27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5555.5555555555557</v>
      </c>
      <c r="AA27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5555.5555555555557</v>
      </c>
      <c r="AB27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5555.5555555555557</v>
      </c>
      <c r="AC27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5555.5555555555557</v>
      </c>
      <c r="AD27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5555.5555555555557</v>
      </c>
      <c r="AE27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5555.5555555555557</v>
      </c>
      <c r="AF271" s="12">
        <f ca="1">[1]!Tabel1[[#This Row],[Vægtet Honorar]]*([1]!Tabel1[[#This Row],[Sidst redigeret]]&gt;TODAY()-40)*([1]!Tabel1[[#This Row],[Er i resplan?]]&lt;&gt;"Ja")*([1]!Tabel1[[#This Row],[Status]]="Pågår")</f>
        <v>200000</v>
      </c>
      <c r="AG271" s="12">
        <f ca="1">[1]!Tabel1[[#This Row],[Vægtet Honorar]]*([1]!Tabel1[[#This Row],[Sidst redigeret]]&gt;TODAY()-40)*([1]!Tabel1[[#This Row],[Status]]="Pågår")</f>
        <v>200000</v>
      </c>
      <c r="AH271" s="13"/>
      <c r="AI271" s="12"/>
      <c r="AJ271" s="12"/>
      <c r="AK271" s="12"/>
      <c r="AL271" s="12"/>
      <c r="AM271" s="12"/>
      <c r="AN271" s="12"/>
      <c r="AO271" s="12"/>
      <c r="AP271" s="12"/>
    </row>
    <row r="272" spans="1:42">
      <c r="A272" t="s">
        <v>927</v>
      </c>
      <c r="B272" s="8"/>
      <c r="C272" s="8" t="s">
        <v>923</v>
      </c>
      <c r="D272" s="8" t="s">
        <v>206</v>
      </c>
      <c r="E272" s="8" t="s">
        <v>94</v>
      </c>
      <c r="F272" s="8" t="s">
        <v>928</v>
      </c>
      <c r="G272" s="8" t="s">
        <v>928</v>
      </c>
      <c r="H272" s="9">
        <v>3000000</v>
      </c>
      <c r="I272" s="9">
        <f>[1]!Tabel1[[#This Row],[Honorar]]*[1]!Tabel1[[#This Row],[Sandsynlighed]]</f>
        <v>15000</v>
      </c>
      <c r="J272" s="10">
        <v>2023</v>
      </c>
      <c r="K272" s="1">
        <v>2024</v>
      </c>
      <c r="L272" s="8"/>
      <c r="M272" s="11">
        <v>0.1</v>
      </c>
      <c r="N272" s="1">
        <v>25000</v>
      </c>
      <c r="O272" s="10">
        <v>46279.61109953704</v>
      </c>
      <c r="P272" s="1" t="s">
        <v>72</v>
      </c>
      <c r="Q272" s="1"/>
      <c r="R272" s="8" t="s">
        <v>49</v>
      </c>
      <c r="S27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7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7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7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7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7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7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7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7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7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7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7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7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72" s="12">
        <f ca="1">[1]!Tabel1[[#This Row],[Vægtet Honorar]]*([1]!Tabel1[[#This Row],[Sidst redigeret]]&gt;TODAY()-40)*([1]!Tabel1[[#This Row],[Er i resplan?]]&lt;&gt;"Ja")*([1]!Tabel1[[#This Row],[Status]]="Pågår")</f>
        <v>15000</v>
      </c>
      <c r="AG272" s="12">
        <f ca="1">[1]!Tabel1[[#This Row],[Vægtet Honorar]]*([1]!Tabel1[[#This Row],[Sidst redigeret]]&gt;TODAY()-40)*([1]!Tabel1[[#This Row],[Status]]="Pågår")</f>
        <v>15000</v>
      </c>
      <c r="AH272" s="13"/>
      <c r="AI272" s="12"/>
      <c r="AJ272" s="12" t="s">
        <v>929</v>
      </c>
      <c r="AK272" s="12"/>
      <c r="AL272" s="12"/>
      <c r="AM272" s="12"/>
      <c r="AN272" s="12"/>
      <c r="AO272" s="12"/>
      <c r="AP272" s="12"/>
    </row>
    <row r="273" spans="1:42">
      <c r="A273" t="s">
        <v>930</v>
      </c>
      <c r="B273" s="8"/>
      <c r="C273" s="8" t="s">
        <v>931</v>
      </c>
      <c r="D273" s="8" t="s">
        <v>203</v>
      </c>
      <c r="E273" s="8" t="s">
        <v>167</v>
      </c>
      <c r="F273" s="8" t="s">
        <v>932</v>
      </c>
      <c r="G273" s="8" t="s">
        <v>812</v>
      </c>
      <c r="H273" s="9">
        <v>3000000</v>
      </c>
      <c r="I273" s="9">
        <f>[1]!Tabel1[[#This Row],[Honorar]]*[1]!Tabel1[[#This Row],[Sandsynlighed]]</f>
        <v>0</v>
      </c>
      <c r="J273" s="10">
        <v>45306</v>
      </c>
      <c r="K273" s="1">
        <v>2024</v>
      </c>
      <c r="L273" s="8" t="s">
        <v>252</v>
      </c>
      <c r="M273" s="11">
        <v>0.75</v>
      </c>
      <c r="N273" s="1">
        <v>500</v>
      </c>
      <c r="O273" s="10">
        <v>46279.61109953704</v>
      </c>
      <c r="P273" s="10"/>
      <c r="Q273" s="1" t="s">
        <v>46</v>
      </c>
      <c r="R273" s="8" t="s">
        <v>49</v>
      </c>
      <c r="S27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7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7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7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7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7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7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7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7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7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7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7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7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73" s="12">
        <f ca="1">[1]!Tabel1[[#This Row],[Vægtet Honorar]]*([1]!Tabel1[[#This Row],[Sidst redigeret]]&gt;TODAY()-40)*([1]!Tabel1[[#This Row],[Er i resplan?]]&lt;&gt;"Ja")*([1]!Tabel1[[#This Row],[Status]]="Pågår")</f>
        <v>0</v>
      </c>
      <c r="AG273" s="12">
        <f ca="1">[1]!Tabel1[[#This Row],[Vægtet Honorar]]*([1]!Tabel1[[#This Row],[Sidst redigeret]]&gt;TODAY()-40)*([1]!Tabel1[[#This Row],[Status]]="Pågår")</f>
        <v>0</v>
      </c>
      <c r="AH273" s="13"/>
      <c r="AI273" s="12"/>
      <c r="AJ273" s="12"/>
      <c r="AK273" s="12"/>
      <c r="AL273" s="12"/>
      <c r="AM273" s="12"/>
      <c r="AN273" s="12"/>
      <c r="AO273" s="12"/>
      <c r="AP273" s="12"/>
    </row>
    <row r="274" spans="1:42">
      <c r="A274" t="s">
        <v>933</v>
      </c>
      <c r="B274" s="8"/>
      <c r="C274" s="8" t="s">
        <v>934</v>
      </c>
      <c r="D274" s="8" t="s">
        <v>269</v>
      </c>
      <c r="E274" s="8" t="s">
        <v>167</v>
      </c>
      <c r="F274" s="8" t="s">
        <v>935</v>
      </c>
      <c r="G274" s="8" t="s">
        <v>935</v>
      </c>
      <c r="H274" s="9">
        <v>350000</v>
      </c>
      <c r="I274" s="9">
        <f>[1]!Tabel1[[#This Row],[Honorar]]*[1]!Tabel1[[#This Row],[Sandsynlighed]]</f>
        <v>400000</v>
      </c>
      <c r="J274" s="10">
        <v>2023</v>
      </c>
      <c r="K274" s="1">
        <v>2023</v>
      </c>
      <c r="L274" s="8" t="s">
        <v>936</v>
      </c>
      <c r="M274" s="11">
        <v>1</v>
      </c>
      <c r="N274" s="1" t="s">
        <v>937</v>
      </c>
      <c r="O274" s="10">
        <v>46279.61109953704</v>
      </c>
      <c r="P274" s="10"/>
      <c r="Q274" s="1" t="s">
        <v>46</v>
      </c>
      <c r="R274" s="8" t="s">
        <v>47</v>
      </c>
      <c r="S27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7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7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7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7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7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7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7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7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7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7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7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7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74" s="12">
        <f ca="1">[1]!Tabel1[[#This Row],[Vægtet Honorar]]*([1]!Tabel1[[#This Row],[Sidst redigeret]]&gt;TODAY()-40)*([1]!Tabel1[[#This Row],[Er i resplan?]]&lt;&gt;"Ja")*([1]!Tabel1[[#This Row],[Status]]="Pågår")</f>
        <v>0</v>
      </c>
      <c r="AG274" s="12">
        <f ca="1">[1]!Tabel1[[#This Row],[Vægtet Honorar]]*([1]!Tabel1[[#This Row],[Sidst redigeret]]&gt;TODAY()-40)*([1]!Tabel1[[#This Row],[Status]]="Pågår")</f>
        <v>0</v>
      </c>
      <c r="AH274" s="13"/>
      <c r="AI274" s="12"/>
      <c r="AJ274" s="12"/>
      <c r="AK274" s="12"/>
      <c r="AL274" s="12"/>
      <c r="AM274" s="12"/>
      <c r="AN274" s="12"/>
      <c r="AO274" s="12"/>
      <c r="AP274" s="12"/>
    </row>
    <row r="275" spans="1:42">
      <c r="A275" t="s">
        <v>938</v>
      </c>
      <c r="B275" s="8"/>
      <c r="C275" s="8" t="s">
        <v>939</v>
      </c>
      <c r="D275" s="8" t="s">
        <v>720</v>
      </c>
      <c r="E275" s="8" t="s">
        <v>71</v>
      </c>
      <c r="F275" s="8" t="s">
        <v>940</v>
      </c>
      <c r="G275" s="8" t="s">
        <v>941</v>
      </c>
      <c r="H275" s="9">
        <v>9700000</v>
      </c>
      <c r="I275" s="9">
        <f>[1]!Tabel1[[#This Row],[Honorar]]*[1]!Tabel1[[#This Row],[Sandsynlighed]]</f>
        <v>0</v>
      </c>
      <c r="J275" s="10">
        <v>2023</v>
      </c>
      <c r="K275" s="1">
        <v>2025</v>
      </c>
      <c r="L275" s="8" t="s">
        <v>942</v>
      </c>
      <c r="M275" s="11">
        <v>0</v>
      </c>
      <c r="N275" s="1"/>
      <c r="O275" s="10">
        <v>46279.61109953704</v>
      </c>
      <c r="P275" s="10"/>
      <c r="Q275" s="1" t="s">
        <v>72</v>
      </c>
      <c r="R275" s="8" t="s">
        <v>75</v>
      </c>
      <c r="S27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7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7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7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7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7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7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7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7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7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7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7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7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75" s="12">
        <f ca="1">[1]!Tabel1[[#This Row],[Vægtet Honorar]]*([1]!Tabel1[[#This Row],[Sidst redigeret]]&gt;TODAY()-40)*([1]!Tabel1[[#This Row],[Er i resplan?]]&lt;&gt;"Ja")*([1]!Tabel1[[#This Row],[Status]]="Pågår")</f>
        <v>0</v>
      </c>
      <c r="AG275" s="12">
        <f ca="1">[1]!Tabel1[[#This Row],[Vægtet Honorar]]*([1]!Tabel1[[#This Row],[Sidst redigeret]]&gt;TODAY()-40)*([1]!Tabel1[[#This Row],[Status]]="Pågår")</f>
        <v>0</v>
      </c>
      <c r="AH275" s="13"/>
      <c r="AI275" s="12"/>
      <c r="AJ275" s="12" t="s">
        <v>943</v>
      </c>
      <c r="AK275" s="12"/>
      <c r="AL275" s="12" t="s">
        <v>944</v>
      </c>
      <c r="AM275" s="12" t="s">
        <v>945</v>
      </c>
      <c r="AN275" s="12"/>
      <c r="AO275" s="12"/>
      <c r="AP275" s="12"/>
    </row>
    <row r="276" spans="1:42">
      <c r="A276" t="s">
        <v>946</v>
      </c>
      <c r="B276" s="8"/>
      <c r="C276" s="8" t="s">
        <v>947</v>
      </c>
      <c r="D276" s="8" t="s">
        <v>875</v>
      </c>
      <c r="E276" s="8" t="s">
        <v>94</v>
      </c>
      <c r="F276" s="8" t="s">
        <v>948</v>
      </c>
      <c r="G276" s="8" t="s">
        <v>948</v>
      </c>
      <c r="H276" s="9">
        <v>950000</v>
      </c>
      <c r="I276" s="9">
        <f>[1]!Tabel1[[#This Row],[Honorar]]*[1]!Tabel1[[#This Row],[Sandsynlighed]]</f>
        <v>750000</v>
      </c>
      <c r="J276" s="10">
        <v>45015</v>
      </c>
      <c r="K276" s="1">
        <v>2025</v>
      </c>
      <c r="L276" s="8" t="s">
        <v>949</v>
      </c>
      <c r="M276" s="11">
        <v>1</v>
      </c>
      <c r="N276" s="1" t="s">
        <v>950</v>
      </c>
      <c r="O276" s="10">
        <v>46279.61109953704</v>
      </c>
      <c r="P276" s="1" t="s">
        <v>72</v>
      </c>
      <c r="Q276" s="1" t="s">
        <v>46</v>
      </c>
      <c r="R276" s="8" t="s">
        <v>47</v>
      </c>
      <c r="S27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7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7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7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7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7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7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7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7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7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7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7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7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76" s="12">
        <f ca="1">[1]!Tabel1[[#This Row],[Vægtet Honorar]]*([1]!Tabel1[[#This Row],[Sidst redigeret]]&gt;TODAY()-40)*([1]!Tabel1[[#This Row],[Er i resplan?]]&lt;&gt;"Ja")*([1]!Tabel1[[#This Row],[Status]]="Pågår")</f>
        <v>0</v>
      </c>
      <c r="AG276" s="12">
        <f ca="1">[1]!Tabel1[[#This Row],[Vægtet Honorar]]*([1]!Tabel1[[#This Row],[Sidst redigeret]]&gt;TODAY()-40)*([1]!Tabel1[[#This Row],[Status]]="Pågår")</f>
        <v>0</v>
      </c>
      <c r="AH276" s="13"/>
      <c r="AI276" s="12"/>
      <c r="AJ276" s="12"/>
      <c r="AK276" s="12"/>
      <c r="AL276" s="12"/>
      <c r="AM276" s="12"/>
      <c r="AN276" s="12"/>
      <c r="AO276" s="12"/>
      <c r="AP276" s="12"/>
    </row>
    <row r="277" spans="1:42">
      <c r="A277" t="s">
        <v>951</v>
      </c>
      <c r="B277" s="8"/>
      <c r="C277" s="8" t="s">
        <v>952</v>
      </c>
      <c r="D277" s="8" t="s">
        <v>875</v>
      </c>
      <c r="E277" s="8" t="s">
        <v>94</v>
      </c>
      <c r="F277" s="8" t="s">
        <v>583</v>
      </c>
      <c r="G277" s="8" t="s">
        <v>583</v>
      </c>
      <c r="H277" s="9">
        <v>1000000</v>
      </c>
      <c r="I277" s="9">
        <f>[1]!Tabel1[[#This Row],[Honorar]]*[1]!Tabel1[[#This Row],[Sandsynlighed]]</f>
        <v>300000</v>
      </c>
      <c r="J277" s="10">
        <v>45047</v>
      </c>
      <c r="K277" s="1">
        <v>2025</v>
      </c>
      <c r="L277" s="8" t="s">
        <v>252</v>
      </c>
      <c r="M277" s="11">
        <v>1</v>
      </c>
      <c r="N277" s="1"/>
      <c r="O277" s="10">
        <v>46279.61109953704</v>
      </c>
      <c r="P277" s="1" t="s">
        <v>72</v>
      </c>
      <c r="Q277" s="1" t="s">
        <v>46</v>
      </c>
      <c r="R277" s="8" t="s">
        <v>47</v>
      </c>
      <c r="S27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7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7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7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7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7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7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7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7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7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7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7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7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77" s="12">
        <f ca="1">[1]!Tabel1[[#This Row],[Vægtet Honorar]]*([1]!Tabel1[[#This Row],[Sidst redigeret]]&gt;TODAY()-40)*([1]!Tabel1[[#This Row],[Er i resplan?]]&lt;&gt;"Ja")*([1]!Tabel1[[#This Row],[Status]]="Pågår")</f>
        <v>0</v>
      </c>
      <c r="AG277" s="12">
        <f ca="1">[1]!Tabel1[[#This Row],[Vægtet Honorar]]*([1]!Tabel1[[#This Row],[Sidst redigeret]]&gt;TODAY()-40)*([1]!Tabel1[[#This Row],[Status]]="Pågår")</f>
        <v>0</v>
      </c>
      <c r="AH277" s="13"/>
      <c r="AI277" s="12"/>
      <c r="AJ277" s="12"/>
      <c r="AK277" s="12"/>
      <c r="AL277" s="12"/>
      <c r="AM277" s="12"/>
      <c r="AN277" s="12"/>
      <c r="AO277" s="12"/>
      <c r="AP277" s="12"/>
    </row>
    <row r="278" spans="1:42">
      <c r="A278" t="s">
        <v>953</v>
      </c>
      <c r="B278" s="8"/>
      <c r="C278" s="8" t="s">
        <v>954</v>
      </c>
      <c r="D278" s="8" t="s">
        <v>44</v>
      </c>
      <c r="E278" s="8" t="s">
        <v>71</v>
      </c>
      <c r="F278" s="8" t="s">
        <v>955</v>
      </c>
      <c r="G278" s="8" t="s">
        <v>548</v>
      </c>
      <c r="H278" s="9">
        <v>650000</v>
      </c>
      <c r="I278" s="9">
        <f>[1]!Tabel1[[#This Row],[Honorar]]*[1]!Tabel1[[#This Row],[Sandsynlighed]]</f>
        <v>2250000</v>
      </c>
      <c r="J278" s="10" t="s">
        <v>956</v>
      </c>
      <c r="K278" s="1">
        <v>2023</v>
      </c>
      <c r="L278" s="8"/>
      <c r="M278" s="11">
        <v>0</v>
      </c>
      <c r="N278" s="1">
        <v>2000</v>
      </c>
      <c r="O278" s="10">
        <v>46279.61109953704</v>
      </c>
      <c r="P278" s="10"/>
      <c r="Q278" s="1" t="s">
        <v>46</v>
      </c>
      <c r="R278" s="8" t="s">
        <v>75</v>
      </c>
      <c r="S27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7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7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7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7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7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7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7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7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7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7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7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7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78" s="12">
        <f ca="1">[1]!Tabel1[[#This Row],[Vægtet Honorar]]*([1]!Tabel1[[#This Row],[Sidst redigeret]]&gt;TODAY()-40)*([1]!Tabel1[[#This Row],[Er i resplan?]]&lt;&gt;"Ja")*([1]!Tabel1[[#This Row],[Status]]="Pågår")</f>
        <v>0</v>
      </c>
      <c r="AG278" s="12">
        <f ca="1">[1]!Tabel1[[#This Row],[Vægtet Honorar]]*([1]!Tabel1[[#This Row],[Sidst redigeret]]&gt;TODAY()-40)*([1]!Tabel1[[#This Row],[Status]]="Pågår")</f>
        <v>0</v>
      </c>
      <c r="AH278" s="13"/>
      <c r="AI278" s="12"/>
      <c r="AJ278" s="12"/>
      <c r="AK278" s="12"/>
      <c r="AL278" s="12"/>
      <c r="AM278" s="12"/>
      <c r="AN278" s="12"/>
      <c r="AO278" s="12"/>
      <c r="AP278" s="12"/>
    </row>
    <row r="279" spans="1:42">
      <c r="A279" t="s">
        <v>957</v>
      </c>
      <c r="B279" s="8"/>
      <c r="C279" s="8" t="s">
        <v>958</v>
      </c>
      <c r="D279" s="8" t="s">
        <v>720</v>
      </c>
      <c r="E279" s="8" t="s">
        <v>71</v>
      </c>
      <c r="F279" s="8" t="s">
        <v>959</v>
      </c>
      <c r="G279" s="8" t="s">
        <v>960</v>
      </c>
      <c r="H279" s="9">
        <v>350000</v>
      </c>
      <c r="I279" s="9">
        <f>[1]!Tabel1[[#This Row],[Honorar]]*[1]!Tabel1[[#This Row],[Sandsynlighed]]</f>
        <v>350000</v>
      </c>
      <c r="J279" s="10">
        <v>2023</v>
      </c>
      <c r="K279" s="1">
        <v>2023</v>
      </c>
      <c r="L279" s="8" t="s">
        <v>961</v>
      </c>
      <c r="M279" s="11">
        <v>1</v>
      </c>
      <c r="N279" s="1">
        <v>250</v>
      </c>
      <c r="O279" s="10">
        <v>46279.61109953704</v>
      </c>
      <c r="P279" s="10"/>
      <c r="Q279" s="1" t="s">
        <v>46</v>
      </c>
      <c r="R279" s="8" t="s">
        <v>47</v>
      </c>
      <c r="S27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7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7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7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7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7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7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7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7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7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7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7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7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79" s="12">
        <f ca="1">[1]!Tabel1[[#This Row],[Vægtet Honorar]]*([1]!Tabel1[[#This Row],[Sidst redigeret]]&gt;TODAY()-40)*([1]!Tabel1[[#This Row],[Er i resplan?]]&lt;&gt;"Ja")*([1]!Tabel1[[#This Row],[Status]]="Pågår")</f>
        <v>0</v>
      </c>
      <c r="AG279" s="12">
        <f ca="1">[1]!Tabel1[[#This Row],[Vægtet Honorar]]*([1]!Tabel1[[#This Row],[Sidst redigeret]]&gt;TODAY()-40)*([1]!Tabel1[[#This Row],[Status]]="Pågår")</f>
        <v>0</v>
      </c>
      <c r="AH279" s="13"/>
      <c r="AI279" s="12"/>
      <c r="AJ279" s="12"/>
      <c r="AK279" s="12"/>
      <c r="AL279" s="12"/>
      <c r="AM279" s="12"/>
      <c r="AN279" s="12"/>
      <c r="AO279" s="12"/>
      <c r="AP279" s="12"/>
    </row>
    <row r="280" spans="1:42">
      <c r="A280" t="s">
        <v>962</v>
      </c>
      <c r="B280" s="8"/>
      <c r="C280" s="8" t="s">
        <v>963</v>
      </c>
      <c r="D280" s="8" t="s">
        <v>859</v>
      </c>
      <c r="E280" s="8" t="s">
        <v>71</v>
      </c>
      <c r="F280" s="8"/>
      <c r="G280" s="8" t="s">
        <v>964</v>
      </c>
      <c r="H280" s="9">
        <v>4000000</v>
      </c>
      <c r="I280" s="9">
        <f>[1]!Tabel1[[#This Row],[Honorar]]*[1]!Tabel1[[#This Row],[Sandsynlighed]]</f>
        <v>0</v>
      </c>
      <c r="J280" s="10">
        <v>2023</v>
      </c>
      <c r="K280" s="1">
        <v>2026</v>
      </c>
      <c r="L280" s="8"/>
      <c r="M280" s="11">
        <v>0</v>
      </c>
      <c r="N280" s="1"/>
      <c r="O280" s="10">
        <v>46279.61109953704</v>
      </c>
      <c r="P280" s="10"/>
      <c r="Q280" s="1" t="s">
        <v>72</v>
      </c>
      <c r="R280" s="8" t="s">
        <v>965</v>
      </c>
      <c r="S28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8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8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8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8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8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8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8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8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8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8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8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8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80" s="12">
        <f ca="1">[1]!Tabel1[[#This Row],[Vægtet Honorar]]*([1]!Tabel1[[#This Row],[Sidst redigeret]]&gt;TODAY()-40)*([1]!Tabel1[[#This Row],[Er i resplan?]]&lt;&gt;"Ja")*([1]!Tabel1[[#This Row],[Status]]="Pågår")</f>
        <v>0</v>
      </c>
      <c r="AG280" s="12">
        <f ca="1">[1]!Tabel1[[#This Row],[Vægtet Honorar]]*([1]!Tabel1[[#This Row],[Sidst redigeret]]&gt;TODAY()-40)*([1]!Tabel1[[#This Row],[Status]]="Pågår")</f>
        <v>0</v>
      </c>
      <c r="AH280" s="13"/>
      <c r="AI280" s="12"/>
      <c r="AJ280" s="12"/>
      <c r="AK280" s="12"/>
      <c r="AL280" s="12"/>
      <c r="AM280" s="12"/>
      <c r="AN280" s="12"/>
      <c r="AO280" s="12"/>
      <c r="AP280" s="12"/>
    </row>
    <row r="281" spans="1:42">
      <c r="A281" t="s">
        <v>966</v>
      </c>
      <c r="B281" s="8"/>
      <c r="C281" s="8" t="s">
        <v>967</v>
      </c>
      <c r="D281" s="8" t="s">
        <v>93</v>
      </c>
      <c r="E281" s="8" t="s">
        <v>94</v>
      </c>
      <c r="F281" s="8" t="s">
        <v>968</v>
      </c>
      <c r="G281" s="8" t="s">
        <v>968</v>
      </c>
      <c r="H281" s="9">
        <v>2000000</v>
      </c>
      <c r="I281" s="9">
        <f>[1]!Tabel1[[#This Row],[Honorar]]*[1]!Tabel1[[#This Row],[Sandsynlighed]]</f>
        <v>950000</v>
      </c>
      <c r="J281" s="10">
        <v>45139</v>
      </c>
      <c r="K281" s="1">
        <v>2026</v>
      </c>
      <c r="L281" s="8" t="s">
        <v>969</v>
      </c>
      <c r="M281" s="11">
        <v>1</v>
      </c>
      <c r="N281" s="1"/>
      <c r="O281" s="10">
        <v>46279.61109953704</v>
      </c>
      <c r="P281" s="1" t="s">
        <v>72</v>
      </c>
      <c r="Q281" s="1" t="s">
        <v>46</v>
      </c>
      <c r="R281" s="8" t="s">
        <v>47</v>
      </c>
      <c r="S28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8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8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8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8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8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8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8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8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8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8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8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8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81" s="12">
        <f ca="1">[1]!Tabel1[[#This Row],[Vægtet Honorar]]*([1]!Tabel1[[#This Row],[Sidst redigeret]]&gt;TODAY()-40)*([1]!Tabel1[[#This Row],[Er i resplan?]]&lt;&gt;"Ja")*([1]!Tabel1[[#This Row],[Status]]="Pågår")</f>
        <v>0</v>
      </c>
      <c r="AG281" s="12">
        <f ca="1">[1]!Tabel1[[#This Row],[Vægtet Honorar]]*([1]!Tabel1[[#This Row],[Sidst redigeret]]&gt;TODAY()-40)*([1]!Tabel1[[#This Row],[Status]]="Pågår")</f>
        <v>0</v>
      </c>
      <c r="AH281" s="13"/>
      <c r="AI281" s="12"/>
      <c r="AJ281" s="12" t="s">
        <v>767</v>
      </c>
      <c r="AK281" s="12"/>
      <c r="AL281" s="12" t="s">
        <v>365</v>
      </c>
      <c r="AM281" s="12">
        <v>45028</v>
      </c>
      <c r="AN281" s="12" t="s">
        <v>47</v>
      </c>
      <c r="AO281" s="12">
        <v>45006</v>
      </c>
      <c r="AP281" s="12">
        <v>45006</v>
      </c>
    </row>
    <row r="282" spans="1:42">
      <c r="A282" t="s">
        <v>970</v>
      </c>
      <c r="B282" s="8"/>
      <c r="C282" s="8" t="s">
        <v>971</v>
      </c>
      <c r="D282" s="8" t="s">
        <v>720</v>
      </c>
      <c r="E282" s="8" t="s">
        <v>71</v>
      </c>
      <c r="F282" s="8" t="s">
        <v>972</v>
      </c>
      <c r="G282" s="8" t="s">
        <v>973</v>
      </c>
      <c r="H282" s="9">
        <v>1500000</v>
      </c>
      <c r="I282" s="9">
        <f>[1]!Tabel1[[#This Row],[Honorar]]*[1]!Tabel1[[#This Row],[Sandsynlighed]]</f>
        <v>1000000</v>
      </c>
      <c r="J282" s="10">
        <v>2023</v>
      </c>
      <c r="K282" s="1">
        <v>2026</v>
      </c>
      <c r="L282" s="8" t="s">
        <v>974</v>
      </c>
      <c r="M282" s="11">
        <v>0</v>
      </c>
      <c r="N282" s="1"/>
      <c r="O282" s="10">
        <v>46279.61109953704</v>
      </c>
      <c r="P282" s="10"/>
      <c r="Q282" s="1" t="s">
        <v>72</v>
      </c>
      <c r="R282" s="8" t="s">
        <v>75</v>
      </c>
      <c r="S28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8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8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8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8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8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8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8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8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8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8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8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8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82" s="12">
        <f ca="1">[1]!Tabel1[[#This Row],[Vægtet Honorar]]*([1]!Tabel1[[#This Row],[Sidst redigeret]]&gt;TODAY()-40)*([1]!Tabel1[[#This Row],[Er i resplan?]]&lt;&gt;"Ja")*([1]!Tabel1[[#This Row],[Status]]="Pågår")</f>
        <v>0</v>
      </c>
      <c r="AG282" s="12">
        <f ca="1">[1]!Tabel1[[#This Row],[Vægtet Honorar]]*([1]!Tabel1[[#This Row],[Sidst redigeret]]&gt;TODAY()-40)*([1]!Tabel1[[#This Row],[Status]]="Pågår")</f>
        <v>0</v>
      </c>
      <c r="AH282" s="13"/>
      <c r="AI282" s="12"/>
      <c r="AJ282" s="12"/>
      <c r="AK282" s="12"/>
      <c r="AL282" s="12"/>
      <c r="AM282" s="12"/>
      <c r="AN282" s="12"/>
      <c r="AO282" s="12"/>
      <c r="AP282" s="12"/>
    </row>
    <row r="283" spans="1:42">
      <c r="A283" t="s">
        <v>975</v>
      </c>
      <c r="B283" s="8"/>
      <c r="C283" s="8" t="s">
        <v>976</v>
      </c>
      <c r="D283" s="8" t="s">
        <v>246</v>
      </c>
      <c r="E283" s="8" t="s">
        <v>94</v>
      </c>
      <c r="F283" s="8" t="s">
        <v>844</v>
      </c>
      <c r="G283" s="8" t="s">
        <v>844</v>
      </c>
      <c r="H283" s="9">
        <v>300000</v>
      </c>
      <c r="I283" s="9">
        <f>[1]!Tabel1[[#This Row],[Honorar]]*[1]!Tabel1[[#This Row],[Sandsynlighed]]</f>
        <v>0</v>
      </c>
      <c r="J283" s="10">
        <v>45017</v>
      </c>
      <c r="K283" s="1">
        <v>2023</v>
      </c>
      <c r="L283" s="8" t="s">
        <v>977</v>
      </c>
      <c r="M283" s="11">
        <v>1</v>
      </c>
      <c r="N283" s="1"/>
      <c r="O283" s="10">
        <v>46279.61109953704</v>
      </c>
      <c r="P283" s="1" t="s">
        <v>72</v>
      </c>
      <c r="Q283" s="1" t="s">
        <v>46</v>
      </c>
      <c r="R283" s="8" t="s">
        <v>47</v>
      </c>
      <c r="S28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8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8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8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8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8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8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8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8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8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8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8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8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83" s="12">
        <f ca="1">[1]!Tabel1[[#This Row],[Vægtet Honorar]]*([1]!Tabel1[[#This Row],[Sidst redigeret]]&gt;TODAY()-40)*([1]!Tabel1[[#This Row],[Er i resplan?]]&lt;&gt;"Ja")*([1]!Tabel1[[#This Row],[Status]]="Pågår")</f>
        <v>0</v>
      </c>
      <c r="AG283" s="12">
        <f ca="1">[1]!Tabel1[[#This Row],[Vægtet Honorar]]*([1]!Tabel1[[#This Row],[Sidst redigeret]]&gt;TODAY()-40)*([1]!Tabel1[[#This Row],[Status]]="Pågår")</f>
        <v>0</v>
      </c>
      <c r="AH283" s="13"/>
      <c r="AI283" s="12"/>
      <c r="AJ283" s="12"/>
      <c r="AK283" s="12"/>
      <c r="AL283" s="12"/>
      <c r="AM283" s="12"/>
      <c r="AN283" s="12"/>
      <c r="AO283" s="12"/>
      <c r="AP283" s="12"/>
    </row>
    <row r="284" spans="1:42">
      <c r="A284" t="s">
        <v>978</v>
      </c>
      <c r="B284" s="8"/>
      <c r="C284" s="8" t="s">
        <v>979</v>
      </c>
      <c r="D284" s="8" t="s">
        <v>980</v>
      </c>
      <c r="E284" s="8" t="s">
        <v>71</v>
      </c>
      <c r="F284" s="8" t="s">
        <v>981</v>
      </c>
      <c r="G284" s="8" t="s">
        <v>478</v>
      </c>
      <c r="H284" s="9">
        <v>110000</v>
      </c>
      <c r="I284" s="9">
        <f>[1]!Tabel1[[#This Row],[Honorar]]*[1]!Tabel1[[#This Row],[Sandsynlighed]]</f>
        <v>350000</v>
      </c>
      <c r="J284" s="10">
        <v>45047</v>
      </c>
      <c r="K284" s="1">
        <v>2023</v>
      </c>
      <c r="L284" s="8"/>
      <c r="M284" s="11">
        <v>1</v>
      </c>
      <c r="N284" s="1"/>
      <c r="O284" s="10">
        <v>46279.61109953704</v>
      </c>
      <c r="P284" s="10"/>
      <c r="Q284" s="1" t="s">
        <v>46</v>
      </c>
      <c r="R284" s="8" t="s">
        <v>47</v>
      </c>
      <c r="S28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8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8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8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8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8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8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8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8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8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8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8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8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84" s="12">
        <f ca="1">[1]!Tabel1[[#This Row],[Vægtet Honorar]]*([1]!Tabel1[[#This Row],[Sidst redigeret]]&gt;TODAY()-40)*([1]!Tabel1[[#This Row],[Er i resplan?]]&lt;&gt;"Ja")*([1]!Tabel1[[#This Row],[Status]]="Pågår")</f>
        <v>0</v>
      </c>
      <c r="AG284" s="12">
        <f ca="1">[1]!Tabel1[[#This Row],[Vægtet Honorar]]*([1]!Tabel1[[#This Row],[Sidst redigeret]]&gt;TODAY()-40)*([1]!Tabel1[[#This Row],[Status]]="Pågår")</f>
        <v>0</v>
      </c>
      <c r="AH284" s="13"/>
      <c r="AI284" s="12"/>
      <c r="AJ284" s="12"/>
      <c r="AK284" s="12"/>
      <c r="AL284" s="12"/>
      <c r="AM284" s="12"/>
      <c r="AN284" s="12"/>
      <c r="AO284" s="12"/>
      <c r="AP284" s="12"/>
    </row>
    <row r="285" spans="1:42">
      <c r="A285" t="s">
        <v>982</v>
      </c>
      <c r="B285" s="8"/>
      <c r="C285" s="8" t="s">
        <v>979</v>
      </c>
      <c r="D285" s="8" t="s">
        <v>980</v>
      </c>
      <c r="E285" s="8" t="s">
        <v>71</v>
      </c>
      <c r="F285" s="8" t="s">
        <v>981</v>
      </c>
      <c r="G285" s="8" t="s">
        <v>478</v>
      </c>
      <c r="H285" s="9">
        <v>0</v>
      </c>
      <c r="I285" s="9">
        <f>[1]!Tabel1[[#This Row],[Honorar]]*[1]!Tabel1[[#This Row],[Sandsynlighed]]</f>
        <v>0</v>
      </c>
      <c r="J285" s="10"/>
      <c r="K285" s="1">
        <v>2023</v>
      </c>
      <c r="L285" s="8" t="s">
        <v>983</v>
      </c>
      <c r="M285" s="11">
        <v>0</v>
      </c>
      <c r="N285" s="1"/>
      <c r="O285" s="10">
        <v>46279.61109953704</v>
      </c>
      <c r="P285" s="10"/>
      <c r="Q285" s="1" t="s">
        <v>72</v>
      </c>
      <c r="R285" s="8" t="s">
        <v>984</v>
      </c>
      <c r="S28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8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8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8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8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8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8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8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8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8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8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8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8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85" s="12">
        <f ca="1">[1]!Tabel1[[#This Row],[Vægtet Honorar]]*([1]!Tabel1[[#This Row],[Sidst redigeret]]&gt;TODAY()-40)*([1]!Tabel1[[#This Row],[Er i resplan?]]&lt;&gt;"Ja")*([1]!Tabel1[[#This Row],[Status]]="Pågår")</f>
        <v>0</v>
      </c>
      <c r="AG285" s="12">
        <f ca="1">[1]!Tabel1[[#This Row],[Vægtet Honorar]]*([1]!Tabel1[[#This Row],[Sidst redigeret]]&gt;TODAY()-40)*([1]!Tabel1[[#This Row],[Status]]="Pågår")</f>
        <v>0</v>
      </c>
      <c r="AH285" s="13"/>
      <c r="AI285" s="12"/>
      <c r="AJ285" s="12"/>
      <c r="AK285" s="12"/>
      <c r="AL285" s="12"/>
      <c r="AM285" s="12"/>
      <c r="AN285" s="12"/>
      <c r="AO285" s="12"/>
      <c r="AP285" s="12"/>
    </row>
    <row r="286" spans="1:42">
      <c r="A286" t="s">
        <v>985</v>
      </c>
      <c r="B286" s="8"/>
      <c r="C286" s="8" t="s">
        <v>986</v>
      </c>
      <c r="D286" s="8" t="s">
        <v>980</v>
      </c>
      <c r="E286" s="8" t="s">
        <v>71</v>
      </c>
      <c r="F286" s="8" t="s">
        <v>981</v>
      </c>
      <c r="G286" s="8" t="s">
        <v>478</v>
      </c>
      <c r="H286" s="9">
        <v>0</v>
      </c>
      <c r="I286" s="9">
        <f>[1]!Tabel1[[#This Row],[Honorar]]*[1]!Tabel1[[#This Row],[Sandsynlighed]]</f>
        <v>2000000</v>
      </c>
      <c r="J286" s="10"/>
      <c r="K286" s="1">
        <v>2023</v>
      </c>
      <c r="L286" s="8" t="s">
        <v>983</v>
      </c>
      <c r="M286" s="11">
        <v>0</v>
      </c>
      <c r="N286" s="1"/>
      <c r="O286" s="10">
        <v>46279.61109953704</v>
      </c>
      <c r="P286" s="10"/>
      <c r="Q286" s="1" t="s">
        <v>72</v>
      </c>
      <c r="R286" s="8" t="s">
        <v>984</v>
      </c>
      <c r="S28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8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8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8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8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8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8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8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8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8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8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8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8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86" s="12">
        <f ca="1">[1]!Tabel1[[#This Row],[Vægtet Honorar]]*([1]!Tabel1[[#This Row],[Sidst redigeret]]&gt;TODAY()-40)*([1]!Tabel1[[#This Row],[Er i resplan?]]&lt;&gt;"Ja")*([1]!Tabel1[[#This Row],[Status]]="Pågår")</f>
        <v>0</v>
      </c>
      <c r="AG286" s="12">
        <f ca="1">[1]!Tabel1[[#This Row],[Vægtet Honorar]]*([1]!Tabel1[[#This Row],[Sidst redigeret]]&gt;TODAY()-40)*([1]!Tabel1[[#This Row],[Status]]="Pågår")</f>
        <v>0</v>
      </c>
      <c r="AH286" s="13"/>
      <c r="AI286" s="12"/>
      <c r="AJ286" s="12"/>
      <c r="AK286" s="12"/>
      <c r="AL286" s="12"/>
      <c r="AM286" s="12"/>
      <c r="AN286" s="12"/>
      <c r="AO286" s="12"/>
      <c r="AP286" s="12"/>
    </row>
    <row r="287" spans="1:42">
      <c r="A287" t="s">
        <v>987</v>
      </c>
      <c r="B287" s="8"/>
      <c r="C287" s="8"/>
      <c r="D287" s="8"/>
      <c r="E287" s="8"/>
      <c r="F287" s="8"/>
      <c r="G287" s="8"/>
      <c r="H287" s="9"/>
      <c r="I287" s="9">
        <f>[1]!Tabel1[[#This Row],[Honorar]]*[1]!Tabel1[[#This Row],[Sandsynlighed]]</f>
        <v>0</v>
      </c>
      <c r="J287" s="10"/>
      <c r="K287" s="1"/>
      <c r="L287" s="8"/>
      <c r="M287" s="11"/>
      <c r="N287" s="1"/>
      <c r="O287" s="10">
        <v>46279.61109953704</v>
      </c>
      <c r="P287" s="10"/>
      <c r="Q287" s="1" t="s">
        <v>72</v>
      </c>
      <c r="R287" s="8" t="s">
        <v>49</v>
      </c>
      <c r="S28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8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8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8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8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8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8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8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8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8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8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8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8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87" s="12">
        <f ca="1">[1]!Tabel1[[#This Row],[Vægtet Honorar]]*([1]!Tabel1[[#This Row],[Sidst redigeret]]&gt;TODAY()-40)*([1]!Tabel1[[#This Row],[Er i resplan?]]&lt;&gt;"Ja")*([1]!Tabel1[[#This Row],[Status]]="Pågår")</f>
        <v>0</v>
      </c>
      <c r="AG287" s="12">
        <f ca="1">[1]!Tabel1[[#This Row],[Vægtet Honorar]]*([1]!Tabel1[[#This Row],[Sidst redigeret]]&gt;TODAY()-40)*([1]!Tabel1[[#This Row],[Status]]="Pågår")</f>
        <v>0</v>
      </c>
      <c r="AH287" s="13"/>
      <c r="AI287" s="12"/>
      <c r="AJ287" s="12"/>
      <c r="AK287" s="12"/>
      <c r="AL287" s="12"/>
      <c r="AM287" s="12"/>
      <c r="AN287" s="12"/>
      <c r="AO287" s="12"/>
      <c r="AP287" s="12"/>
    </row>
    <row r="288" spans="1:42">
      <c r="A288" t="s">
        <v>988</v>
      </c>
      <c r="B288" s="8"/>
      <c r="C288" s="8" t="s">
        <v>989</v>
      </c>
      <c r="D288" s="8" t="s">
        <v>990</v>
      </c>
      <c r="E288" s="8" t="s">
        <v>71</v>
      </c>
      <c r="F288" s="8" t="s">
        <v>991</v>
      </c>
      <c r="G288" s="8" t="s">
        <v>992</v>
      </c>
      <c r="H288" s="9">
        <v>350000</v>
      </c>
      <c r="I288" s="9">
        <f>[1]!Tabel1[[#This Row],[Honorar]]*[1]!Tabel1[[#This Row],[Sandsynlighed]]</f>
        <v>300000</v>
      </c>
      <c r="J288" s="10">
        <v>45078</v>
      </c>
      <c r="K288" s="1">
        <v>2023</v>
      </c>
      <c r="L288" s="8"/>
      <c r="M288" s="11">
        <v>1</v>
      </c>
      <c r="N288" s="1"/>
      <c r="O288" s="10">
        <v>46279.61109953704</v>
      </c>
      <c r="P288" s="10"/>
      <c r="Q288" s="1" t="s">
        <v>46</v>
      </c>
      <c r="R288" s="8" t="s">
        <v>47</v>
      </c>
      <c r="S28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8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8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8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8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8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8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8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8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8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8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8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8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88" s="12">
        <f ca="1">[1]!Tabel1[[#This Row],[Vægtet Honorar]]*([1]!Tabel1[[#This Row],[Sidst redigeret]]&gt;TODAY()-40)*([1]!Tabel1[[#This Row],[Er i resplan?]]&lt;&gt;"Ja")*([1]!Tabel1[[#This Row],[Status]]="Pågår")</f>
        <v>0</v>
      </c>
      <c r="AG288" s="12">
        <f ca="1">[1]!Tabel1[[#This Row],[Vægtet Honorar]]*([1]!Tabel1[[#This Row],[Sidst redigeret]]&gt;TODAY()-40)*([1]!Tabel1[[#This Row],[Status]]="Pågår")</f>
        <v>0</v>
      </c>
      <c r="AH288" s="13"/>
      <c r="AI288" s="12"/>
      <c r="AJ288" s="12"/>
      <c r="AK288" s="12"/>
      <c r="AL288" s="12"/>
      <c r="AM288" s="12"/>
      <c r="AN288" s="12"/>
      <c r="AO288" s="12"/>
      <c r="AP288" s="12"/>
    </row>
    <row r="289" spans="1:42">
      <c r="A289" t="s">
        <v>993</v>
      </c>
      <c r="B289" s="8"/>
      <c r="C289" s="8" t="s">
        <v>994</v>
      </c>
      <c r="D289" s="8" t="s">
        <v>720</v>
      </c>
      <c r="E289" s="8" t="s">
        <v>71</v>
      </c>
      <c r="F289" s="8" t="s">
        <v>995</v>
      </c>
      <c r="G289" s="8" t="s">
        <v>599</v>
      </c>
      <c r="H289" s="9">
        <v>5200000</v>
      </c>
      <c r="I289" s="9">
        <f>[1]!Tabel1[[#This Row],[Honorar]]*[1]!Tabel1[[#This Row],[Sandsynlighed]]</f>
        <v>110000</v>
      </c>
      <c r="J289" s="10">
        <v>2023</v>
      </c>
      <c r="K289" s="1">
        <v>2023</v>
      </c>
      <c r="L289" s="8" t="s">
        <v>996</v>
      </c>
      <c r="M289" s="11">
        <v>0</v>
      </c>
      <c r="N289" s="1" t="s">
        <v>997</v>
      </c>
      <c r="O289" s="10">
        <v>46279.61109953704</v>
      </c>
      <c r="P289" s="10"/>
      <c r="Q289" s="1" t="s">
        <v>46</v>
      </c>
      <c r="R289" s="8" t="s">
        <v>75</v>
      </c>
      <c r="S28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8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8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8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8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8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8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8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8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8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8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8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8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89" s="12">
        <f ca="1">[1]!Tabel1[[#This Row],[Vægtet Honorar]]*([1]!Tabel1[[#This Row],[Sidst redigeret]]&gt;TODAY()-40)*([1]!Tabel1[[#This Row],[Er i resplan?]]&lt;&gt;"Ja")*([1]!Tabel1[[#This Row],[Status]]="Pågår")</f>
        <v>0</v>
      </c>
      <c r="AG289" s="12">
        <f ca="1">[1]!Tabel1[[#This Row],[Vægtet Honorar]]*([1]!Tabel1[[#This Row],[Sidst redigeret]]&gt;TODAY()-40)*([1]!Tabel1[[#This Row],[Status]]="Pågår")</f>
        <v>0</v>
      </c>
      <c r="AH289" s="13"/>
      <c r="AI289" s="12" t="s">
        <v>599</v>
      </c>
      <c r="AJ289" s="12" t="s">
        <v>600</v>
      </c>
      <c r="AK289" s="12"/>
      <c r="AL289" s="12"/>
      <c r="AM289" s="12"/>
      <c r="AN289" s="12"/>
      <c r="AO289" s="12"/>
      <c r="AP289" s="12"/>
    </row>
    <row r="290" spans="1:42">
      <c r="A290" t="s">
        <v>998</v>
      </c>
      <c r="B290" s="8"/>
      <c r="C290" s="8" t="s">
        <v>999</v>
      </c>
      <c r="D290" s="8" t="s">
        <v>720</v>
      </c>
      <c r="E290" s="8" t="s">
        <v>71</v>
      </c>
      <c r="F290" s="8" t="s">
        <v>1000</v>
      </c>
      <c r="G290" s="8" t="s">
        <v>1000</v>
      </c>
      <c r="H290" s="9">
        <v>3000000</v>
      </c>
      <c r="I290" s="9">
        <f>[1]!Tabel1[[#This Row],[Honorar]]*[1]!Tabel1[[#This Row],[Sandsynlighed]]</f>
        <v>0</v>
      </c>
      <c r="J290" s="10">
        <v>2023</v>
      </c>
      <c r="K290" s="1">
        <v>2025</v>
      </c>
      <c r="L290" s="8" t="s">
        <v>1001</v>
      </c>
      <c r="M290" s="11">
        <v>0</v>
      </c>
      <c r="N290" s="1" t="s">
        <v>774</v>
      </c>
      <c r="O290" s="10">
        <v>46279.61109953704</v>
      </c>
      <c r="P290" s="10"/>
      <c r="Q290" s="1" t="s">
        <v>72</v>
      </c>
      <c r="R290" s="8" t="s">
        <v>75</v>
      </c>
      <c r="S29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9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9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9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9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9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9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9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9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9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9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9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9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90" s="12">
        <f ca="1">[1]!Tabel1[[#This Row],[Vægtet Honorar]]*([1]!Tabel1[[#This Row],[Sidst redigeret]]&gt;TODAY()-40)*([1]!Tabel1[[#This Row],[Er i resplan?]]&lt;&gt;"Ja")*([1]!Tabel1[[#This Row],[Status]]="Pågår")</f>
        <v>0</v>
      </c>
      <c r="AG290" s="12">
        <f ca="1">[1]!Tabel1[[#This Row],[Vægtet Honorar]]*([1]!Tabel1[[#This Row],[Sidst redigeret]]&gt;TODAY()-40)*([1]!Tabel1[[#This Row],[Status]]="Pågår")</f>
        <v>0</v>
      </c>
      <c r="AH290" s="13"/>
      <c r="AI290" s="12"/>
      <c r="AJ290" s="12"/>
      <c r="AK290" s="12"/>
      <c r="AL290" s="12"/>
      <c r="AM290" s="12"/>
      <c r="AN290" s="12"/>
      <c r="AO290" s="12"/>
      <c r="AP290" s="12"/>
    </row>
    <row r="291" spans="1:42">
      <c r="A291" t="s">
        <v>1002</v>
      </c>
      <c r="B291" s="8"/>
      <c r="C291" s="8" t="s">
        <v>1003</v>
      </c>
      <c r="D291" s="8" t="s">
        <v>44</v>
      </c>
      <c r="E291" s="8" t="s">
        <v>71</v>
      </c>
      <c r="F291" s="8" t="s">
        <v>1004</v>
      </c>
      <c r="G291" s="8" t="s">
        <v>1004</v>
      </c>
      <c r="H291" s="9">
        <v>3000000</v>
      </c>
      <c r="I291" s="9">
        <f>[1]!Tabel1[[#This Row],[Honorar]]*[1]!Tabel1[[#This Row],[Sandsynlighed]]</f>
        <v>0</v>
      </c>
      <c r="J291" s="10" t="s">
        <v>1005</v>
      </c>
      <c r="K291" s="1" t="s">
        <v>1006</v>
      </c>
      <c r="L291" s="8" t="s">
        <v>1007</v>
      </c>
      <c r="M291" s="11">
        <v>0.02</v>
      </c>
      <c r="N291" s="1" t="s">
        <v>105</v>
      </c>
      <c r="O291" s="10">
        <v>46279.61109953704</v>
      </c>
      <c r="P291" s="10"/>
      <c r="Q291" s="1" t="s">
        <v>72</v>
      </c>
      <c r="R291" s="8" t="s">
        <v>343</v>
      </c>
      <c r="S29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9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9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9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9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9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9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9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9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9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9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9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9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91" s="12">
        <f ca="1">[1]!Tabel1[[#This Row],[Vægtet Honorar]]*([1]!Tabel1[[#This Row],[Sidst redigeret]]&gt;TODAY()-40)*([1]!Tabel1[[#This Row],[Er i resplan?]]&lt;&gt;"Ja")*([1]!Tabel1[[#This Row],[Status]]="Pågår")</f>
        <v>0</v>
      </c>
      <c r="AG291" s="12">
        <f ca="1">[1]!Tabel1[[#This Row],[Vægtet Honorar]]*([1]!Tabel1[[#This Row],[Sidst redigeret]]&gt;TODAY()-40)*([1]!Tabel1[[#This Row],[Status]]="Pågår")</f>
        <v>0</v>
      </c>
      <c r="AH291" s="13"/>
      <c r="AI291" s="12"/>
      <c r="AJ291" s="12" t="s">
        <v>1008</v>
      </c>
      <c r="AK291" s="12" t="s">
        <v>539</v>
      </c>
      <c r="AL291" s="12" t="s">
        <v>1009</v>
      </c>
      <c r="AM291" s="12" t="s">
        <v>529</v>
      </c>
      <c r="AN291" s="12"/>
      <c r="AO291" s="12"/>
      <c r="AP291" s="12"/>
    </row>
    <row r="292" spans="1:42">
      <c r="A292" t="s">
        <v>1010</v>
      </c>
      <c r="B292" s="8">
        <v>231062</v>
      </c>
      <c r="C292" s="8" t="s">
        <v>1011</v>
      </c>
      <c r="D292" s="8" t="s">
        <v>119</v>
      </c>
      <c r="E292" s="8" t="s">
        <v>71</v>
      </c>
      <c r="F292" s="8" t="s">
        <v>1012</v>
      </c>
      <c r="G292" s="8" t="s">
        <v>1013</v>
      </c>
      <c r="H292" s="9">
        <v>25000</v>
      </c>
      <c r="I292" s="9">
        <f>[1]!Tabel1[[#This Row],[Honorar]]*[1]!Tabel1[[#This Row],[Sandsynlighed]]</f>
        <v>0</v>
      </c>
      <c r="J292" s="10">
        <v>45017</v>
      </c>
      <c r="K292" s="1">
        <v>2023</v>
      </c>
      <c r="L292" s="8" t="s">
        <v>1014</v>
      </c>
      <c r="M292" s="11">
        <v>1</v>
      </c>
      <c r="N292" s="1" t="s">
        <v>1015</v>
      </c>
      <c r="O292" s="10">
        <v>46279.61109953704</v>
      </c>
      <c r="P292" s="10"/>
      <c r="Q292" s="1" t="s">
        <v>46</v>
      </c>
      <c r="R292" s="8" t="s">
        <v>47</v>
      </c>
      <c r="S29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9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9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9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9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9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9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9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9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9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9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9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9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92" s="12">
        <f ca="1">[1]!Tabel1[[#This Row],[Vægtet Honorar]]*([1]!Tabel1[[#This Row],[Sidst redigeret]]&gt;TODAY()-40)*([1]!Tabel1[[#This Row],[Er i resplan?]]&lt;&gt;"Ja")*([1]!Tabel1[[#This Row],[Status]]="Pågår")</f>
        <v>0</v>
      </c>
      <c r="AG292" s="12">
        <f ca="1">[1]!Tabel1[[#This Row],[Vægtet Honorar]]*([1]!Tabel1[[#This Row],[Sidst redigeret]]&gt;TODAY()-40)*([1]!Tabel1[[#This Row],[Status]]="Pågår")</f>
        <v>0</v>
      </c>
      <c r="AH292" s="13"/>
      <c r="AI292" s="12"/>
      <c r="AJ292" s="12"/>
      <c r="AK292" s="12"/>
      <c r="AL292" s="12"/>
      <c r="AM292" s="12"/>
      <c r="AN292" s="12"/>
      <c r="AO292" s="12"/>
      <c r="AP292" s="12"/>
    </row>
    <row r="293" spans="1:42">
      <c r="A293" t="s">
        <v>1016</v>
      </c>
      <c r="B293" s="8">
        <v>231078</v>
      </c>
      <c r="C293" s="8" t="s">
        <v>1017</v>
      </c>
      <c r="D293" s="8" t="s">
        <v>119</v>
      </c>
      <c r="E293" s="8" t="s">
        <v>120</v>
      </c>
      <c r="F293" s="8" t="s">
        <v>916</v>
      </c>
      <c r="G293" s="8" t="s">
        <v>916</v>
      </c>
      <c r="H293" s="9">
        <v>20000</v>
      </c>
      <c r="I293" s="9">
        <f>[1]!Tabel1[[#This Row],[Honorar]]*[1]!Tabel1[[#This Row],[Sandsynlighed]]</f>
        <v>350000</v>
      </c>
      <c r="J293" s="10">
        <v>45033</v>
      </c>
      <c r="K293" s="1">
        <v>2023</v>
      </c>
      <c r="L293" s="8" t="s">
        <v>1018</v>
      </c>
      <c r="M293" s="11">
        <v>1</v>
      </c>
      <c r="N293" s="1" t="s">
        <v>1015</v>
      </c>
      <c r="O293" s="10">
        <v>46279.61109953704</v>
      </c>
      <c r="P293" s="10"/>
      <c r="Q293" s="1" t="s">
        <v>46</v>
      </c>
      <c r="R293" s="8" t="s">
        <v>49</v>
      </c>
      <c r="S29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9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9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9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9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9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9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9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9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9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9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9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9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93" s="12">
        <f ca="1">[1]!Tabel1[[#This Row],[Vægtet Honorar]]*([1]!Tabel1[[#This Row],[Sidst redigeret]]&gt;TODAY()-40)*([1]!Tabel1[[#This Row],[Er i resplan?]]&lt;&gt;"Ja")*([1]!Tabel1[[#This Row],[Status]]="Pågår")</f>
        <v>0</v>
      </c>
      <c r="AG293" s="12">
        <f ca="1">[1]!Tabel1[[#This Row],[Vægtet Honorar]]*([1]!Tabel1[[#This Row],[Sidst redigeret]]&gt;TODAY()-40)*([1]!Tabel1[[#This Row],[Status]]="Pågår")</f>
        <v>0</v>
      </c>
      <c r="AH293" s="13"/>
      <c r="AI293" s="12"/>
      <c r="AJ293" s="12"/>
      <c r="AK293" s="12"/>
      <c r="AL293" s="12"/>
      <c r="AM293" s="12"/>
      <c r="AN293" s="12"/>
      <c r="AO293" s="12"/>
      <c r="AP293" s="12"/>
    </row>
    <row r="294" spans="1:42">
      <c r="A294" t="s">
        <v>1019</v>
      </c>
      <c r="B294" s="8"/>
      <c r="C294" s="8" t="s">
        <v>1020</v>
      </c>
      <c r="D294" s="8" t="s">
        <v>435</v>
      </c>
      <c r="E294" s="8" t="s">
        <v>167</v>
      </c>
      <c r="F294" s="8" t="s">
        <v>1021</v>
      </c>
      <c r="G294" s="8" t="s">
        <v>1021</v>
      </c>
      <c r="H294" s="9">
        <v>500000</v>
      </c>
      <c r="I294" s="9">
        <f>[1]!Tabel1[[#This Row],[Honorar]]*[1]!Tabel1[[#This Row],[Sandsynlighed]]</f>
        <v>0</v>
      </c>
      <c r="J294" s="10">
        <v>2023</v>
      </c>
      <c r="K294" s="1">
        <v>2023</v>
      </c>
      <c r="L294" s="8" t="s">
        <v>1015</v>
      </c>
      <c r="M294" s="11">
        <v>1</v>
      </c>
      <c r="N294" s="1" t="s">
        <v>1015</v>
      </c>
      <c r="O294" s="10">
        <v>46279.61109953704</v>
      </c>
      <c r="P294" s="10"/>
      <c r="Q294" s="1" t="s">
        <v>46</v>
      </c>
      <c r="R294" s="8" t="s">
        <v>47</v>
      </c>
      <c r="S29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9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9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9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9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9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9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9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9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9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9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9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9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94" s="12">
        <f ca="1">[1]!Tabel1[[#This Row],[Vægtet Honorar]]*([1]!Tabel1[[#This Row],[Sidst redigeret]]&gt;TODAY()-40)*([1]!Tabel1[[#This Row],[Er i resplan?]]&lt;&gt;"Ja")*([1]!Tabel1[[#This Row],[Status]]="Pågår")</f>
        <v>0</v>
      </c>
      <c r="AG294" s="12">
        <f ca="1">[1]!Tabel1[[#This Row],[Vægtet Honorar]]*([1]!Tabel1[[#This Row],[Sidst redigeret]]&gt;TODAY()-40)*([1]!Tabel1[[#This Row],[Status]]="Pågår")</f>
        <v>0</v>
      </c>
      <c r="AH294" s="13"/>
      <c r="AI294" s="12"/>
      <c r="AJ294" s="12"/>
      <c r="AK294" s="12"/>
      <c r="AL294" s="12"/>
      <c r="AM294" s="12"/>
      <c r="AN294" s="12"/>
      <c r="AO294" s="12"/>
      <c r="AP294" s="12"/>
    </row>
    <row r="295" spans="1:42">
      <c r="A295" t="s">
        <v>1022</v>
      </c>
      <c r="B295" s="8"/>
      <c r="C295" s="8" t="s">
        <v>1023</v>
      </c>
      <c r="D295" s="8" t="s">
        <v>158</v>
      </c>
      <c r="E295" s="8" t="s">
        <v>167</v>
      </c>
      <c r="F295" s="8" t="s">
        <v>1024</v>
      </c>
      <c r="G295" s="8" t="s">
        <v>402</v>
      </c>
      <c r="H295" s="9">
        <v>1</v>
      </c>
      <c r="I295" s="9">
        <f>[1]!Tabel1[[#This Row],[Honorar]]*[1]!Tabel1[[#This Row],[Sandsynlighed]]</f>
        <v>0</v>
      </c>
      <c r="J295" s="10">
        <v>2023</v>
      </c>
      <c r="K295" s="1">
        <v>2024</v>
      </c>
      <c r="L295" s="8" t="s">
        <v>1015</v>
      </c>
      <c r="M295" s="11">
        <v>1</v>
      </c>
      <c r="N295" s="1" t="s">
        <v>1015</v>
      </c>
      <c r="O295" s="10">
        <v>46279.61109953704</v>
      </c>
      <c r="P295" s="10"/>
      <c r="Q295" s="1"/>
      <c r="R295" s="8" t="s">
        <v>75</v>
      </c>
      <c r="S29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9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9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9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9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9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9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9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9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9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9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9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9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95" s="12">
        <f ca="1">[1]!Tabel1[[#This Row],[Vægtet Honorar]]*([1]!Tabel1[[#This Row],[Sidst redigeret]]&gt;TODAY()-40)*([1]!Tabel1[[#This Row],[Er i resplan?]]&lt;&gt;"Ja")*([1]!Tabel1[[#This Row],[Status]]="Pågår")</f>
        <v>0</v>
      </c>
      <c r="AG295" s="12">
        <f ca="1">[1]!Tabel1[[#This Row],[Vægtet Honorar]]*([1]!Tabel1[[#This Row],[Sidst redigeret]]&gt;TODAY()-40)*([1]!Tabel1[[#This Row],[Status]]="Pågår")</f>
        <v>0</v>
      </c>
      <c r="AH295" s="13"/>
      <c r="AI295" s="12"/>
      <c r="AJ295" s="12"/>
      <c r="AK295" s="12"/>
      <c r="AL295" s="12"/>
      <c r="AM295" s="12"/>
      <c r="AN295" s="12"/>
      <c r="AO295" s="12"/>
      <c r="AP295" s="12"/>
    </row>
    <row r="296" spans="1:42">
      <c r="A296" t="s">
        <v>1025</v>
      </c>
      <c r="B296" s="8"/>
      <c r="C296" s="8" t="s">
        <v>1023</v>
      </c>
      <c r="D296" s="8" t="s">
        <v>158</v>
      </c>
      <c r="E296" s="8" t="s">
        <v>167</v>
      </c>
      <c r="F296" s="8" t="s">
        <v>1024</v>
      </c>
      <c r="G296" s="8" t="s">
        <v>402</v>
      </c>
      <c r="H296" s="9">
        <v>1</v>
      </c>
      <c r="I296" s="9">
        <f>[1]!Tabel1[[#This Row],[Honorar]]*[1]!Tabel1[[#This Row],[Sandsynlighed]]</f>
        <v>60000</v>
      </c>
      <c r="J296" s="10">
        <v>2023</v>
      </c>
      <c r="K296" s="1">
        <v>2024</v>
      </c>
      <c r="L296" s="8" t="s">
        <v>1015</v>
      </c>
      <c r="M296" s="11">
        <v>1</v>
      </c>
      <c r="N296" s="1" t="s">
        <v>1015</v>
      </c>
      <c r="O296" s="10">
        <v>46279.61109953704</v>
      </c>
      <c r="P296" s="10"/>
      <c r="Q296" s="1"/>
      <c r="R296" s="8" t="s">
        <v>75</v>
      </c>
      <c r="S29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9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9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9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9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9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9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9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9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9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9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9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9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96" s="12">
        <f ca="1">[1]!Tabel1[[#This Row],[Vægtet Honorar]]*([1]!Tabel1[[#This Row],[Sidst redigeret]]&gt;TODAY()-40)*([1]!Tabel1[[#This Row],[Er i resplan?]]&lt;&gt;"Ja")*([1]!Tabel1[[#This Row],[Status]]="Pågår")</f>
        <v>60000</v>
      </c>
      <c r="AG296" s="12">
        <f ca="1">[1]!Tabel1[[#This Row],[Vægtet Honorar]]*([1]!Tabel1[[#This Row],[Sidst redigeret]]&gt;TODAY()-40)*([1]!Tabel1[[#This Row],[Status]]="Pågår")</f>
        <v>60000</v>
      </c>
      <c r="AH296" s="13"/>
      <c r="AI296" s="12"/>
      <c r="AJ296" s="12"/>
      <c r="AK296" s="12"/>
      <c r="AL296" s="12"/>
      <c r="AM296" s="12"/>
      <c r="AN296" s="12"/>
      <c r="AO296" s="12"/>
      <c r="AP296" s="12"/>
    </row>
    <row r="297" spans="1:42">
      <c r="A297" t="s">
        <v>1026</v>
      </c>
      <c r="B297" s="8"/>
      <c r="C297" s="8" t="s">
        <v>1027</v>
      </c>
      <c r="D297" s="8" t="s">
        <v>57</v>
      </c>
      <c r="E297" s="8" t="s">
        <v>94</v>
      </c>
      <c r="F297" s="8" t="s">
        <v>1028</v>
      </c>
      <c r="G297" s="8" t="s">
        <v>1028</v>
      </c>
      <c r="H297" s="9">
        <v>2600000</v>
      </c>
      <c r="I297" s="9">
        <f>[1]!Tabel1[[#This Row],[Honorar]]*[1]!Tabel1[[#This Row],[Sandsynlighed]]</f>
        <v>25000</v>
      </c>
      <c r="J297" s="10">
        <v>2023</v>
      </c>
      <c r="K297" s="1">
        <v>2025</v>
      </c>
      <c r="L297" s="8" t="s">
        <v>1029</v>
      </c>
      <c r="M297" s="11">
        <v>1</v>
      </c>
      <c r="N297" s="1">
        <v>2500</v>
      </c>
      <c r="O297" s="10">
        <v>46279.61109953704</v>
      </c>
      <c r="P297" s="1" t="s">
        <v>72</v>
      </c>
      <c r="Q297" s="1" t="s">
        <v>46</v>
      </c>
      <c r="R297" s="8" t="s">
        <v>47</v>
      </c>
      <c r="S29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9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9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9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9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9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9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9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9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9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9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9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9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97" s="12">
        <f ca="1">[1]!Tabel1[[#This Row],[Vægtet Honorar]]*([1]!Tabel1[[#This Row],[Sidst redigeret]]&gt;TODAY()-40)*([1]!Tabel1[[#This Row],[Er i resplan?]]&lt;&gt;"Ja")*([1]!Tabel1[[#This Row],[Status]]="Pågår")</f>
        <v>0</v>
      </c>
      <c r="AG297" s="12">
        <f ca="1">[1]!Tabel1[[#This Row],[Vægtet Honorar]]*([1]!Tabel1[[#This Row],[Sidst redigeret]]&gt;TODAY()-40)*([1]!Tabel1[[#This Row],[Status]]="Pågår")</f>
        <v>0</v>
      </c>
      <c r="AH297" s="13"/>
      <c r="AI297" s="12"/>
      <c r="AJ297" s="12"/>
      <c r="AK297" s="12"/>
      <c r="AL297" s="12"/>
      <c r="AM297" s="12"/>
      <c r="AN297" s="12"/>
      <c r="AO297" s="12"/>
      <c r="AP297" s="12"/>
    </row>
    <row r="298" spans="1:42">
      <c r="A298" t="s">
        <v>1030</v>
      </c>
      <c r="B298" s="8"/>
      <c r="C298" s="8" t="s">
        <v>1031</v>
      </c>
      <c r="D298" s="8" t="s">
        <v>1032</v>
      </c>
      <c r="E298" s="8" t="s">
        <v>94</v>
      </c>
      <c r="F298" s="8" t="s">
        <v>1033</v>
      </c>
      <c r="G298" s="8" t="s">
        <v>1034</v>
      </c>
      <c r="H298" s="9">
        <v>650000</v>
      </c>
      <c r="I298" s="9">
        <f>[1]!Tabel1[[#This Row],[Honorar]]*[1]!Tabel1[[#This Row],[Sandsynlighed]]</f>
        <v>20000</v>
      </c>
      <c r="J298" s="10">
        <v>45153</v>
      </c>
      <c r="K298" s="1">
        <v>2023</v>
      </c>
      <c r="L298" s="8" t="s">
        <v>1035</v>
      </c>
      <c r="M298" s="11">
        <v>1</v>
      </c>
      <c r="N298" s="14">
        <v>45171.515231481484</v>
      </c>
      <c r="O298" s="10">
        <v>46279.61109953704</v>
      </c>
      <c r="P298" s="1" t="s">
        <v>72</v>
      </c>
      <c r="Q298" s="1" t="s">
        <v>46</v>
      </c>
      <c r="R298" s="8" t="s">
        <v>47</v>
      </c>
      <c r="S29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9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9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9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9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9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9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9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9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9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9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9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9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98" s="12">
        <f ca="1">[1]!Tabel1[[#This Row],[Vægtet Honorar]]*([1]!Tabel1[[#This Row],[Sidst redigeret]]&gt;TODAY()-40)*([1]!Tabel1[[#This Row],[Er i resplan?]]&lt;&gt;"Ja")*([1]!Tabel1[[#This Row],[Status]]="Pågår")</f>
        <v>0</v>
      </c>
      <c r="AG298" s="12">
        <f ca="1">[1]!Tabel1[[#This Row],[Vægtet Honorar]]*([1]!Tabel1[[#This Row],[Sidst redigeret]]&gt;TODAY()-40)*([1]!Tabel1[[#This Row],[Status]]="Pågår")</f>
        <v>0</v>
      </c>
      <c r="AH298" s="13"/>
      <c r="AI298" s="12"/>
      <c r="AJ298" s="12"/>
      <c r="AK298" s="12"/>
      <c r="AL298" s="12"/>
      <c r="AM298" s="12"/>
      <c r="AN298" s="12"/>
      <c r="AO298" s="12"/>
      <c r="AP298" s="12"/>
    </row>
    <row r="299" spans="1:42">
      <c r="A299" t="s">
        <v>1036</v>
      </c>
      <c r="B299" s="8"/>
      <c r="C299" s="8" t="s">
        <v>1031</v>
      </c>
      <c r="D299" s="8" t="s">
        <v>1037</v>
      </c>
      <c r="E299" s="8" t="s">
        <v>71</v>
      </c>
      <c r="F299" s="8" t="s">
        <v>1038</v>
      </c>
      <c r="G299" s="8" t="s">
        <v>1039</v>
      </c>
      <c r="H299" s="9">
        <v>500000</v>
      </c>
      <c r="I299" s="9">
        <f>[1]!Tabel1[[#This Row],[Honorar]]*[1]!Tabel1[[#This Row],[Sandsynlighed]]</f>
        <v>500000</v>
      </c>
      <c r="J299" s="10">
        <v>2023</v>
      </c>
      <c r="K299" s="1">
        <v>2024</v>
      </c>
      <c r="L299" s="8" t="s">
        <v>1040</v>
      </c>
      <c r="M299" s="11">
        <v>0</v>
      </c>
      <c r="N299" s="1">
        <v>700</v>
      </c>
      <c r="O299" s="10">
        <v>46279.61109953704</v>
      </c>
      <c r="P299" s="10"/>
      <c r="Q299" s="1" t="s">
        <v>72</v>
      </c>
      <c r="R299" s="8" t="s">
        <v>75</v>
      </c>
      <c r="S29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29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29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29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29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29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29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29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29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29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29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29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29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299" s="12">
        <f ca="1">[1]!Tabel1[[#This Row],[Vægtet Honorar]]*([1]!Tabel1[[#This Row],[Sidst redigeret]]&gt;TODAY()-40)*([1]!Tabel1[[#This Row],[Er i resplan?]]&lt;&gt;"Ja")*([1]!Tabel1[[#This Row],[Status]]="Pågår")</f>
        <v>0</v>
      </c>
      <c r="AG299" s="12">
        <f ca="1">[1]!Tabel1[[#This Row],[Vægtet Honorar]]*([1]!Tabel1[[#This Row],[Sidst redigeret]]&gt;TODAY()-40)*([1]!Tabel1[[#This Row],[Status]]="Pågår")</f>
        <v>0</v>
      </c>
      <c r="AH299" s="13"/>
      <c r="AI299" s="12"/>
      <c r="AJ299" s="12"/>
      <c r="AK299" s="12"/>
      <c r="AL299" s="12"/>
      <c r="AM299" s="12"/>
      <c r="AN299" s="12"/>
      <c r="AO299" s="12"/>
      <c r="AP299" s="12"/>
    </row>
    <row r="300" spans="1:42">
      <c r="A300" t="s">
        <v>1041</v>
      </c>
      <c r="B300" s="8"/>
      <c r="C300" s="8" t="s">
        <v>1042</v>
      </c>
      <c r="D300" s="8" t="s">
        <v>720</v>
      </c>
      <c r="E300" s="8" t="s">
        <v>71</v>
      </c>
      <c r="F300" s="8" t="s">
        <v>1038</v>
      </c>
      <c r="G300" s="8" t="s">
        <v>1039</v>
      </c>
      <c r="H300" s="9">
        <v>500000</v>
      </c>
      <c r="I300" s="9">
        <f>[1]!Tabel1[[#This Row],[Honorar]]*[1]!Tabel1[[#This Row],[Sandsynlighed]]</f>
        <v>1</v>
      </c>
      <c r="J300" s="10">
        <v>2023</v>
      </c>
      <c r="K300" s="1">
        <v>2024</v>
      </c>
      <c r="L300" s="8" t="s">
        <v>1043</v>
      </c>
      <c r="M300" s="11">
        <v>1</v>
      </c>
      <c r="N300" s="1">
        <v>700</v>
      </c>
      <c r="O300" s="10">
        <v>46279.61109953704</v>
      </c>
      <c r="P300" s="10"/>
      <c r="Q300" s="1" t="s">
        <v>46</v>
      </c>
      <c r="R300" s="8" t="s">
        <v>47</v>
      </c>
      <c r="S30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0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0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0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0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0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0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0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0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0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0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0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0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00" s="12">
        <f ca="1">[1]!Tabel1[[#This Row],[Vægtet Honorar]]*([1]!Tabel1[[#This Row],[Sidst redigeret]]&gt;TODAY()-40)*([1]!Tabel1[[#This Row],[Er i resplan?]]&lt;&gt;"Ja")*([1]!Tabel1[[#This Row],[Status]]="Pågår")</f>
        <v>0</v>
      </c>
      <c r="AG300" s="12">
        <f ca="1">[1]!Tabel1[[#This Row],[Vægtet Honorar]]*([1]!Tabel1[[#This Row],[Sidst redigeret]]&gt;TODAY()-40)*([1]!Tabel1[[#This Row],[Status]]="Pågår")</f>
        <v>0</v>
      </c>
      <c r="AH300" s="13"/>
      <c r="AI300" s="12"/>
      <c r="AJ300" s="12"/>
      <c r="AK300" s="12"/>
      <c r="AL300" s="12"/>
      <c r="AM300" s="12"/>
      <c r="AN300" s="12"/>
      <c r="AO300" s="12"/>
      <c r="AP300" s="12"/>
    </row>
    <row r="301" spans="1:42">
      <c r="A301" t="s">
        <v>1044</v>
      </c>
      <c r="B301" s="8"/>
      <c r="C301" s="8" t="s">
        <v>1045</v>
      </c>
      <c r="D301" s="8" t="s">
        <v>119</v>
      </c>
      <c r="E301" s="8" t="s">
        <v>120</v>
      </c>
      <c r="F301" s="8" t="s">
        <v>753</v>
      </c>
      <c r="G301" s="8" t="s">
        <v>916</v>
      </c>
      <c r="H301" s="9">
        <v>0</v>
      </c>
      <c r="I301" s="9">
        <f>[1]!Tabel1[[#This Row],[Honorar]]*[1]!Tabel1[[#This Row],[Sandsynlighed]]</f>
        <v>1</v>
      </c>
      <c r="J301" s="10">
        <v>45352</v>
      </c>
      <c r="K301" s="1">
        <v>2024</v>
      </c>
      <c r="L301" s="8" t="s">
        <v>1046</v>
      </c>
      <c r="M301" s="11">
        <v>0.05</v>
      </c>
      <c r="N301" s="1"/>
      <c r="O301" s="10">
        <v>46279.61109953704</v>
      </c>
      <c r="P301" s="10"/>
      <c r="Q301" s="1" t="s">
        <v>72</v>
      </c>
      <c r="R301" s="8" t="s">
        <v>49</v>
      </c>
      <c r="S30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0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0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0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0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0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0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0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0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0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0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0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0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01" s="12">
        <f ca="1">[1]!Tabel1[[#This Row],[Vægtet Honorar]]*([1]!Tabel1[[#This Row],[Sidst redigeret]]&gt;TODAY()-40)*([1]!Tabel1[[#This Row],[Er i resplan?]]&lt;&gt;"Ja")*([1]!Tabel1[[#This Row],[Status]]="Pågår")</f>
        <v>0</v>
      </c>
      <c r="AG301" s="12">
        <f ca="1">[1]!Tabel1[[#This Row],[Vægtet Honorar]]*([1]!Tabel1[[#This Row],[Sidst redigeret]]&gt;TODAY()-40)*([1]!Tabel1[[#This Row],[Status]]="Pågår")</f>
        <v>0</v>
      </c>
      <c r="AH301" s="13"/>
      <c r="AI301" s="12"/>
      <c r="AJ301" s="12"/>
      <c r="AK301" s="12"/>
      <c r="AL301" s="12"/>
      <c r="AM301" s="12"/>
      <c r="AN301" s="12"/>
      <c r="AO301" s="12"/>
      <c r="AP301" s="12"/>
    </row>
    <row r="302" spans="1:42">
      <c r="A302" t="s">
        <v>1047</v>
      </c>
      <c r="B302" s="8"/>
      <c r="C302" s="8" t="s">
        <v>1048</v>
      </c>
      <c r="D302" s="8" t="s">
        <v>44</v>
      </c>
      <c r="E302" s="8" t="s">
        <v>71</v>
      </c>
      <c r="F302" s="8" t="s">
        <v>1012</v>
      </c>
      <c r="G302" s="8" t="s">
        <v>1049</v>
      </c>
      <c r="H302" s="9">
        <v>1400000</v>
      </c>
      <c r="I302" s="9">
        <f>[1]!Tabel1[[#This Row],[Honorar]]*[1]!Tabel1[[#This Row],[Sandsynlighed]]</f>
        <v>2600000</v>
      </c>
      <c r="J302" s="10">
        <v>2023</v>
      </c>
      <c r="K302" s="1">
        <v>2024</v>
      </c>
      <c r="L302" s="8" t="s">
        <v>942</v>
      </c>
      <c r="M302" s="11">
        <v>0.15</v>
      </c>
      <c r="N302" s="1"/>
      <c r="O302" s="10">
        <v>46279.61109953704</v>
      </c>
      <c r="P302" s="10"/>
      <c r="Q302" s="1" t="s">
        <v>46</v>
      </c>
      <c r="R302" s="8" t="s">
        <v>75</v>
      </c>
      <c r="S30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0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0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0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0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0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0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0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0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0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0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0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0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02" s="12">
        <f ca="1">[1]!Tabel1[[#This Row],[Vægtet Honorar]]*([1]!Tabel1[[#This Row],[Sidst redigeret]]&gt;TODAY()-40)*([1]!Tabel1[[#This Row],[Er i resplan?]]&lt;&gt;"Ja")*([1]!Tabel1[[#This Row],[Status]]="Pågår")</f>
        <v>0</v>
      </c>
      <c r="AG302" s="12">
        <f ca="1">[1]!Tabel1[[#This Row],[Vægtet Honorar]]*([1]!Tabel1[[#This Row],[Sidst redigeret]]&gt;TODAY()-40)*([1]!Tabel1[[#This Row],[Status]]="Pågår")</f>
        <v>0</v>
      </c>
      <c r="AH302" s="13"/>
      <c r="AI302" s="12"/>
      <c r="AJ302" s="12"/>
      <c r="AK302" s="12"/>
      <c r="AL302" s="12"/>
      <c r="AM302" s="12"/>
      <c r="AN302" s="12"/>
      <c r="AO302" s="12"/>
      <c r="AP302" s="12"/>
    </row>
    <row r="303" spans="1:42">
      <c r="A303" t="s">
        <v>1050</v>
      </c>
      <c r="B303" s="8"/>
      <c r="C303" s="8" t="s">
        <v>1051</v>
      </c>
      <c r="D303" s="8" t="s">
        <v>720</v>
      </c>
      <c r="E303" s="8" t="s">
        <v>71</v>
      </c>
      <c r="F303" s="8" t="s">
        <v>547</v>
      </c>
      <c r="G303" s="8" t="s">
        <v>1008</v>
      </c>
      <c r="H303" s="9">
        <v>1400000</v>
      </c>
      <c r="I303" s="9">
        <f>[1]!Tabel1[[#This Row],[Honorar]]*[1]!Tabel1[[#This Row],[Sandsynlighed]]</f>
        <v>650000</v>
      </c>
      <c r="J303" s="10">
        <v>2023</v>
      </c>
      <c r="K303" s="1">
        <v>2024</v>
      </c>
      <c r="L303" s="8" t="s">
        <v>1052</v>
      </c>
      <c r="M303" s="11">
        <v>0</v>
      </c>
      <c r="N303" s="1"/>
      <c r="O303" s="10">
        <v>46279.61109953704</v>
      </c>
      <c r="P303" s="10"/>
      <c r="Q303" s="1" t="s">
        <v>72</v>
      </c>
      <c r="R303" s="8" t="s">
        <v>75</v>
      </c>
      <c r="S30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0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0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0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0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0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0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0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0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0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0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0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0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03" s="12">
        <f ca="1">[1]!Tabel1[[#This Row],[Vægtet Honorar]]*([1]!Tabel1[[#This Row],[Sidst redigeret]]&gt;TODAY()-40)*([1]!Tabel1[[#This Row],[Er i resplan?]]&lt;&gt;"Ja")*([1]!Tabel1[[#This Row],[Status]]="Pågår")</f>
        <v>0</v>
      </c>
      <c r="AG303" s="12">
        <f ca="1">[1]!Tabel1[[#This Row],[Vægtet Honorar]]*([1]!Tabel1[[#This Row],[Sidst redigeret]]&gt;TODAY()-40)*([1]!Tabel1[[#This Row],[Status]]="Pågår")</f>
        <v>0</v>
      </c>
      <c r="AH303" s="13"/>
      <c r="AI303" s="12"/>
      <c r="AJ303" s="12"/>
      <c r="AK303" s="12"/>
      <c r="AL303" s="12"/>
      <c r="AM303" s="12"/>
      <c r="AN303" s="12"/>
      <c r="AO303" s="12"/>
      <c r="AP303" s="12"/>
    </row>
    <row r="304" spans="1:42">
      <c r="A304" t="s">
        <v>1053</v>
      </c>
      <c r="B304" s="8"/>
      <c r="C304" s="8" t="s">
        <v>1054</v>
      </c>
      <c r="D304" s="8" t="s">
        <v>720</v>
      </c>
      <c r="E304" s="8" t="s">
        <v>71</v>
      </c>
      <c r="F304" s="8" t="s">
        <v>1055</v>
      </c>
      <c r="G304" s="8" t="s">
        <v>1055</v>
      </c>
      <c r="H304" s="9">
        <v>0</v>
      </c>
      <c r="I304" s="9">
        <f>[1]!Tabel1[[#This Row],[Honorar]]*[1]!Tabel1[[#This Row],[Sandsynlighed]]</f>
        <v>0</v>
      </c>
      <c r="J304" s="10">
        <v>2023</v>
      </c>
      <c r="K304" s="1">
        <v>2024</v>
      </c>
      <c r="L304" s="8" t="s">
        <v>1056</v>
      </c>
      <c r="M304" s="11">
        <v>1</v>
      </c>
      <c r="N304" s="1" t="s">
        <v>1057</v>
      </c>
      <c r="O304" s="10">
        <v>46279.61109953704</v>
      </c>
      <c r="P304" s="10"/>
      <c r="Q304" s="1" t="s">
        <v>72</v>
      </c>
      <c r="R304" s="8" t="s">
        <v>49</v>
      </c>
      <c r="S30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0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0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0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0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0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0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0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0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0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0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0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0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04" s="12">
        <f ca="1">[1]!Tabel1[[#This Row],[Vægtet Honorar]]*([1]!Tabel1[[#This Row],[Sidst redigeret]]&gt;TODAY()-40)*([1]!Tabel1[[#This Row],[Er i resplan?]]&lt;&gt;"Ja")*([1]!Tabel1[[#This Row],[Status]]="Pågår")</f>
        <v>0</v>
      </c>
      <c r="AG304" s="12">
        <f ca="1">[1]!Tabel1[[#This Row],[Vægtet Honorar]]*([1]!Tabel1[[#This Row],[Sidst redigeret]]&gt;TODAY()-40)*([1]!Tabel1[[#This Row],[Status]]="Pågår")</f>
        <v>0</v>
      </c>
      <c r="AH304" s="13"/>
      <c r="AI304" s="12"/>
      <c r="AJ304" s="12"/>
      <c r="AK304" s="12"/>
      <c r="AL304" s="12"/>
      <c r="AM304" s="12"/>
      <c r="AN304" s="12"/>
      <c r="AO304" s="12"/>
      <c r="AP304" s="12"/>
    </row>
    <row r="305" spans="1:42">
      <c r="A305" t="s">
        <v>1058</v>
      </c>
      <c r="B305" s="8"/>
      <c r="C305" s="8" t="s">
        <v>1059</v>
      </c>
      <c r="D305" s="8" t="s">
        <v>134</v>
      </c>
      <c r="E305" s="8" t="s">
        <v>94</v>
      </c>
      <c r="F305" s="8" t="s">
        <v>1060</v>
      </c>
      <c r="G305" s="8" t="s">
        <v>460</v>
      </c>
      <c r="H305" s="9">
        <v>3000000</v>
      </c>
      <c r="I305" s="9">
        <f>[1]!Tabel1[[#This Row],[Honorar]]*[1]!Tabel1[[#This Row],[Sandsynlighed]]</f>
        <v>500000</v>
      </c>
      <c r="J305" s="10" t="s">
        <v>1061</v>
      </c>
      <c r="K305" s="1" t="s">
        <v>1062</v>
      </c>
      <c r="L305" s="8"/>
      <c r="M305" s="11">
        <v>0.01</v>
      </c>
      <c r="N305" s="1" t="s">
        <v>1063</v>
      </c>
      <c r="O305" s="10">
        <v>46279.61109953704</v>
      </c>
      <c r="P305" s="1" t="s">
        <v>72</v>
      </c>
      <c r="Q305" s="1"/>
      <c r="R305" s="8" t="s">
        <v>49</v>
      </c>
      <c r="S30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0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0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0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0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0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0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0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0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0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0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0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0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05" s="12">
        <f ca="1">[1]!Tabel1[[#This Row],[Vægtet Honorar]]*([1]!Tabel1[[#This Row],[Sidst redigeret]]&gt;TODAY()-40)*([1]!Tabel1[[#This Row],[Er i resplan?]]&lt;&gt;"Ja")*([1]!Tabel1[[#This Row],[Status]]="Pågår")</f>
        <v>0</v>
      </c>
      <c r="AG305" s="12">
        <f ca="1">[1]!Tabel1[[#This Row],[Vægtet Honorar]]*([1]!Tabel1[[#This Row],[Sidst redigeret]]&gt;TODAY()-40)*([1]!Tabel1[[#This Row],[Status]]="Pågår")</f>
        <v>0</v>
      </c>
      <c r="AH305" s="13"/>
      <c r="AI305" s="12"/>
      <c r="AJ305" s="12"/>
      <c r="AK305" s="12"/>
      <c r="AL305" s="12"/>
      <c r="AM305" s="12"/>
      <c r="AN305" s="12"/>
      <c r="AO305" s="12"/>
      <c r="AP305" s="12"/>
    </row>
    <row r="306" spans="1:42">
      <c r="A306" t="s">
        <v>1064</v>
      </c>
      <c r="B306" s="8"/>
      <c r="C306" s="8" t="s">
        <v>1065</v>
      </c>
      <c r="D306" s="8" t="s">
        <v>269</v>
      </c>
      <c r="E306" s="8" t="s">
        <v>167</v>
      </c>
      <c r="F306" s="8" t="s">
        <v>1066</v>
      </c>
      <c r="G306" s="8" t="s">
        <v>1067</v>
      </c>
      <c r="H306" s="9">
        <v>150000</v>
      </c>
      <c r="I306" s="9">
        <f>[1]!Tabel1[[#This Row],[Honorar]]*[1]!Tabel1[[#This Row],[Sandsynlighed]]</f>
        <v>0</v>
      </c>
      <c r="J306" s="10" t="s">
        <v>1068</v>
      </c>
      <c r="K306" s="1" t="s">
        <v>622</v>
      </c>
      <c r="L306" s="8"/>
      <c r="M306" s="11">
        <v>1</v>
      </c>
      <c r="N306" s="1" t="s">
        <v>777</v>
      </c>
      <c r="O306" s="10">
        <v>46279.61109953704</v>
      </c>
      <c r="P306" s="10"/>
      <c r="Q306" s="1" t="s">
        <v>46</v>
      </c>
      <c r="R306" s="8" t="s">
        <v>49</v>
      </c>
      <c r="S30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0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0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0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0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0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0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0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0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0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0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0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0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06" s="12">
        <f ca="1">[1]!Tabel1[[#This Row],[Vægtet Honorar]]*([1]!Tabel1[[#This Row],[Sidst redigeret]]&gt;TODAY()-40)*([1]!Tabel1[[#This Row],[Er i resplan?]]&lt;&gt;"Ja")*([1]!Tabel1[[#This Row],[Status]]="Pågår")</f>
        <v>0</v>
      </c>
      <c r="AG306" s="12">
        <f ca="1">[1]!Tabel1[[#This Row],[Vægtet Honorar]]*([1]!Tabel1[[#This Row],[Sidst redigeret]]&gt;TODAY()-40)*([1]!Tabel1[[#This Row],[Status]]="Pågår")</f>
        <v>0</v>
      </c>
      <c r="AH306" s="13"/>
      <c r="AI306" s="12"/>
      <c r="AJ306" s="12"/>
      <c r="AK306" s="12"/>
      <c r="AL306" s="12"/>
      <c r="AM306" s="12"/>
      <c r="AN306" s="12"/>
      <c r="AO306" s="12"/>
      <c r="AP306" s="12"/>
    </row>
    <row r="307" spans="1:42">
      <c r="A307" t="s">
        <v>1069</v>
      </c>
      <c r="B307" s="8"/>
      <c r="C307" s="8" t="s">
        <v>1070</v>
      </c>
      <c r="D307" s="8" t="s">
        <v>119</v>
      </c>
      <c r="E307" s="8" t="s">
        <v>120</v>
      </c>
      <c r="F307" s="8" t="s">
        <v>1071</v>
      </c>
      <c r="G307" s="8" t="s">
        <v>1071</v>
      </c>
      <c r="H307" s="9">
        <v>500000</v>
      </c>
      <c r="I307" s="9">
        <f>[1]!Tabel1[[#This Row],[Honorar]]*[1]!Tabel1[[#This Row],[Sandsynlighed]]</f>
        <v>210000</v>
      </c>
      <c r="J307" s="10">
        <v>45047</v>
      </c>
      <c r="K307" s="1">
        <v>2025</v>
      </c>
      <c r="L307" s="8" t="s">
        <v>1072</v>
      </c>
      <c r="M307" s="11">
        <v>0</v>
      </c>
      <c r="N307" s="1" t="s">
        <v>1073</v>
      </c>
      <c r="O307" s="10">
        <v>46279.61109953704</v>
      </c>
      <c r="P307" s="10"/>
      <c r="Q307" s="1" t="s">
        <v>72</v>
      </c>
      <c r="R307" s="8" t="s">
        <v>75</v>
      </c>
      <c r="S30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0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0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0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0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0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0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0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0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0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0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0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0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07" s="12">
        <f ca="1">[1]!Tabel1[[#This Row],[Vægtet Honorar]]*([1]!Tabel1[[#This Row],[Sidst redigeret]]&gt;TODAY()-40)*([1]!Tabel1[[#This Row],[Er i resplan?]]&lt;&gt;"Ja")*([1]!Tabel1[[#This Row],[Status]]="Pågår")</f>
        <v>0</v>
      </c>
      <c r="AG307" s="12">
        <f ca="1">[1]!Tabel1[[#This Row],[Vægtet Honorar]]*([1]!Tabel1[[#This Row],[Sidst redigeret]]&gt;TODAY()-40)*([1]!Tabel1[[#This Row],[Status]]="Pågår")</f>
        <v>0</v>
      </c>
      <c r="AH307" s="13"/>
      <c r="AI307" s="12"/>
      <c r="AJ307" s="12"/>
      <c r="AK307" s="12"/>
      <c r="AL307" s="12"/>
      <c r="AM307" s="12"/>
      <c r="AN307" s="12"/>
      <c r="AO307" s="12"/>
      <c r="AP307" s="12"/>
    </row>
    <row r="308" spans="1:42">
      <c r="A308" t="s">
        <v>1074</v>
      </c>
      <c r="B308" s="8">
        <v>231077</v>
      </c>
      <c r="C308" s="8" t="s">
        <v>1075</v>
      </c>
      <c r="D308" s="8" t="s">
        <v>119</v>
      </c>
      <c r="E308" s="8" t="s">
        <v>120</v>
      </c>
      <c r="F308" s="8" t="s">
        <v>753</v>
      </c>
      <c r="G308" s="8" t="s">
        <v>916</v>
      </c>
      <c r="H308" s="9">
        <v>59000</v>
      </c>
      <c r="I308" s="9">
        <f>[1]!Tabel1[[#This Row],[Honorar]]*[1]!Tabel1[[#This Row],[Sandsynlighed]]</f>
        <v>0</v>
      </c>
      <c r="J308" s="10">
        <v>45033</v>
      </c>
      <c r="K308" s="1">
        <v>2023</v>
      </c>
      <c r="L308" s="8" t="s">
        <v>1076</v>
      </c>
      <c r="M308" s="11">
        <v>1</v>
      </c>
      <c r="N308" s="1"/>
      <c r="O308" s="10">
        <v>46279.61109953704</v>
      </c>
      <c r="P308" s="10"/>
      <c r="Q308" s="1" t="s">
        <v>46</v>
      </c>
      <c r="R308" s="8" t="s">
        <v>47</v>
      </c>
      <c r="S30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0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0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0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0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0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0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0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0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0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0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0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0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08" s="12">
        <f ca="1">[1]!Tabel1[[#This Row],[Vægtet Honorar]]*([1]!Tabel1[[#This Row],[Sidst redigeret]]&gt;TODAY()-40)*([1]!Tabel1[[#This Row],[Er i resplan?]]&lt;&gt;"Ja")*([1]!Tabel1[[#This Row],[Status]]="Pågår")</f>
        <v>0</v>
      </c>
      <c r="AG308" s="12">
        <f ca="1">[1]!Tabel1[[#This Row],[Vægtet Honorar]]*([1]!Tabel1[[#This Row],[Sidst redigeret]]&gt;TODAY()-40)*([1]!Tabel1[[#This Row],[Status]]="Pågår")</f>
        <v>0</v>
      </c>
      <c r="AH308" s="13"/>
      <c r="AI308" s="12"/>
      <c r="AJ308" s="12"/>
      <c r="AK308" s="12"/>
      <c r="AL308" s="12"/>
      <c r="AM308" s="12"/>
      <c r="AN308" s="12"/>
      <c r="AO308" s="12"/>
      <c r="AP308" s="12"/>
    </row>
    <row r="309" spans="1:42">
      <c r="A309" t="s">
        <v>1077</v>
      </c>
      <c r="B309" s="8"/>
      <c r="C309" s="8" t="s">
        <v>1078</v>
      </c>
      <c r="D309" s="8" t="s">
        <v>720</v>
      </c>
      <c r="E309" s="8" t="s">
        <v>71</v>
      </c>
      <c r="F309" s="8" t="s">
        <v>1079</v>
      </c>
      <c r="G309" s="8" t="s">
        <v>1080</v>
      </c>
      <c r="H309" s="9">
        <v>100000</v>
      </c>
      <c r="I309" s="9">
        <f>[1]!Tabel1[[#This Row],[Honorar]]*[1]!Tabel1[[#This Row],[Sandsynlighed]]</f>
        <v>0</v>
      </c>
      <c r="J309" s="10">
        <v>2023</v>
      </c>
      <c r="K309" s="1">
        <v>2023</v>
      </c>
      <c r="L309" s="8" t="s">
        <v>1081</v>
      </c>
      <c r="M309" s="11">
        <v>1</v>
      </c>
      <c r="N309" s="1"/>
      <c r="O309" s="10">
        <v>46279.61109953704</v>
      </c>
      <c r="P309" s="10"/>
      <c r="Q309" s="1" t="s">
        <v>46</v>
      </c>
      <c r="R309" s="8" t="s">
        <v>47</v>
      </c>
      <c r="S30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0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0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0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0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0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0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0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0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0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0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0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0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09" s="12">
        <f ca="1">[1]!Tabel1[[#This Row],[Vægtet Honorar]]*([1]!Tabel1[[#This Row],[Sidst redigeret]]&gt;TODAY()-40)*([1]!Tabel1[[#This Row],[Er i resplan?]]&lt;&gt;"Ja")*([1]!Tabel1[[#This Row],[Status]]="Pågår")</f>
        <v>0</v>
      </c>
      <c r="AG309" s="12">
        <f ca="1">[1]!Tabel1[[#This Row],[Vægtet Honorar]]*([1]!Tabel1[[#This Row],[Sidst redigeret]]&gt;TODAY()-40)*([1]!Tabel1[[#This Row],[Status]]="Pågår")</f>
        <v>0</v>
      </c>
      <c r="AH309" s="13"/>
      <c r="AI309" s="12"/>
      <c r="AJ309" s="12"/>
      <c r="AK309" s="12"/>
      <c r="AL309" s="12"/>
      <c r="AM309" s="12"/>
      <c r="AN309" s="12"/>
      <c r="AO309" s="12"/>
      <c r="AP309" s="12"/>
    </row>
    <row r="310" spans="1:42">
      <c r="A310" t="s">
        <v>1082</v>
      </c>
      <c r="B310" s="8"/>
      <c r="C310" s="8" t="s">
        <v>1083</v>
      </c>
      <c r="D310" s="8" t="s">
        <v>119</v>
      </c>
      <c r="E310" s="8" t="s">
        <v>120</v>
      </c>
      <c r="F310" s="8" t="s">
        <v>753</v>
      </c>
      <c r="G310" s="8" t="s">
        <v>916</v>
      </c>
      <c r="H310" s="9">
        <v>250000</v>
      </c>
      <c r="I310" s="9">
        <f>[1]!Tabel1[[#This Row],[Honorar]]*[1]!Tabel1[[#This Row],[Sandsynlighed]]</f>
        <v>30000</v>
      </c>
      <c r="J310" s="10" t="s">
        <v>1084</v>
      </c>
      <c r="K310" s="1">
        <v>2024</v>
      </c>
      <c r="L310" s="8" t="s">
        <v>1081</v>
      </c>
      <c r="M310" s="11">
        <v>0.02</v>
      </c>
      <c r="N310" s="14"/>
      <c r="O310" s="10">
        <v>46279.61109953704</v>
      </c>
      <c r="P310" s="10"/>
      <c r="Q310" s="1" t="s">
        <v>72</v>
      </c>
      <c r="R310" s="8" t="s">
        <v>49</v>
      </c>
      <c r="S31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1114.1636141636141</v>
      </c>
      <c r="T31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1114.1636141636141</v>
      </c>
      <c r="U31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1114.1636141636141</v>
      </c>
      <c r="V31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1114.1636141636141</v>
      </c>
      <c r="W31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1114.1636141636141</v>
      </c>
      <c r="X31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1114.1636141636141</v>
      </c>
      <c r="Y31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1114.1636141636141</v>
      </c>
      <c r="Z31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1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1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1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1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1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10" s="12">
        <f ca="1">[1]!Tabel1[[#This Row],[Vægtet Honorar]]*([1]!Tabel1[[#This Row],[Sidst redigeret]]&gt;TODAY()-40)*([1]!Tabel1[[#This Row],[Er i resplan?]]&lt;&gt;"Ja")*([1]!Tabel1[[#This Row],[Status]]="Pågår")</f>
        <v>0</v>
      </c>
      <c r="AG310" s="12">
        <f ca="1">[1]!Tabel1[[#This Row],[Vægtet Honorar]]*([1]!Tabel1[[#This Row],[Sidst redigeret]]&gt;TODAY()-40)*([1]!Tabel1[[#This Row],[Status]]="Pågår")</f>
        <v>0</v>
      </c>
      <c r="AH310" s="13"/>
      <c r="AI310" s="12"/>
      <c r="AJ310" s="12"/>
      <c r="AK310" s="12"/>
      <c r="AL310" s="12"/>
      <c r="AM310" s="12"/>
      <c r="AN310" s="12"/>
      <c r="AO310" s="12"/>
      <c r="AP310" s="12"/>
    </row>
    <row r="311" spans="1:42">
      <c r="A311" t="s">
        <v>1085</v>
      </c>
      <c r="B311" s="8"/>
      <c r="C311" s="8" t="s">
        <v>1086</v>
      </c>
      <c r="D311" s="8" t="s">
        <v>581</v>
      </c>
      <c r="E311" s="8" t="s">
        <v>94</v>
      </c>
      <c r="F311" s="8" t="s">
        <v>1087</v>
      </c>
      <c r="G311" s="8" t="s">
        <v>1087</v>
      </c>
      <c r="H311" s="9">
        <v>600000</v>
      </c>
      <c r="I311" s="9">
        <f>[1]!Tabel1[[#This Row],[Honorar]]*[1]!Tabel1[[#This Row],[Sandsynlighed]]</f>
        <v>150000</v>
      </c>
      <c r="J311" s="10" t="s">
        <v>1088</v>
      </c>
      <c r="K311" s="1" t="s">
        <v>329</v>
      </c>
      <c r="L311" s="8" t="s">
        <v>252</v>
      </c>
      <c r="M311" s="11">
        <v>0.3</v>
      </c>
      <c r="N311" s="1"/>
      <c r="O311" s="10">
        <v>46279.61109953704</v>
      </c>
      <c r="P311" s="1" t="s">
        <v>72</v>
      </c>
      <c r="Q311" s="1" t="s">
        <v>72</v>
      </c>
      <c r="R311" s="8" t="s">
        <v>75</v>
      </c>
      <c r="S31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1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1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1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1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1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1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1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1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1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1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1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1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11" s="12">
        <f ca="1">[1]!Tabel1[[#This Row],[Vægtet Honorar]]*([1]!Tabel1[[#This Row],[Sidst redigeret]]&gt;TODAY()-40)*([1]!Tabel1[[#This Row],[Er i resplan?]]&lt;&gt;"Ja")*([1]!Tabel1[[#This Row],[Status]]="Pågår")</f>
        <v>0</v>
      </c>
      <c r="AG311" s="12">
        <f ca="1">[1]!Tabel1[[#This Row],[Vægtet Honorar]]*([1]!Tabel1[[#This Row],[Sidst redigeret]]&gt;TODAY()-40)*([1]!Tabel1[[#This Row],[Status]]="Pågår")</f>
        <v>0</v>
      </c>
      <c r="AH311" s="13"/>
      <c r="AI311" s="12"/>
      <c r="AJ311" s="12"/>
      <c r="AK311" s="12"/>
      <c r="AL311" s="12"/>
      <c r="AM311" s="12"/>
      <c r="AN311" s="12"/>
      <c r="AO311" s="12"/>
      <c r="AP311" s="12"/>
    </row>
    <row r="312" spans="1:42">
      <c r="A312" t="s">
        <v>1089</v>
      </c>
      <c r="B312" s="8"/>
      <c r="C312" s="8" t="s">
        <v>1090</v>
      </c>
      <c r="D312" s="8" t="s">
        <v>57</v>
      </c>
      <c r="E312" s="8" t="s">
        <v>94</v>
      </c>
      <c r="F312" s="8" t="s">
        <v>1091</v>
      </c>
      <c r="G312" s="8" t="s">
        <v>1091</v>
      </c>
      <c r="H312" s="9">
        <v>600000</v>
      </c>
      <c r="I312" s="9">
        <f>[1]!Tabel1[[#This Row],[Honorar]]*[1]!Tabel1[[#This Row],[Sandsynlighed]]</f>
        <v>0</v>
      </c>
      <c r="J312" s="10">
        <v>2023</v>
      </c>
      <c r="K312" s="1">
        <v>2025</v>
      </c>
      <c r="L312" s="8" t="s">
        <v>1092</v>
      </c>
      <c r="M312" s="11">
        <v>0.5</v>
      </c>
      <c r="N312" s="1" t="s">
        <v>1057</v>
      </c>
      <c r="O312" s="10">
        <v>46279.61109953704</v>
      </c>
      <c r="P312" s="1" t="s">
        <v>72</v>
      </c>
      <c r="Q312" s="1" t="s">
        <v>46</v>
      </c>
      <c r="R312" s="8" t="s">
        <v>47</v>
      </c>
      <c r="S31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1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1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1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1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1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1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1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1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1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1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1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1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12" s="12">
        <f ca="1">[1]!Tabel1[[#This Row],[Vægtet Honorar]]*([1]!Tabel1[[#This Row],[Sidst redigeret]]&gt;TODAY()-40)*([1]!Tabel1[[#This Row],[Er i resplan?]]&lt;&gt;"Ja")*([1]!Tabel1[[#This Row],[Status]]="Pågår")</f>
        <v>0</v>
      </c>
      <c r="AG312" s="12">
        <f ca="1">[1]!Tabel1[[#This Row],[Vægtet Honorar]]*([1]!Tabel1[[#This Row],[Sidst redigeret]]&gt;TODAY()-40)*([1]!Tabel1[[#This Row],[Status]]="Pågår")</f>
        <v>0</v>
      </c>
      <c r="AH312" s="13"/>
      <c r="AI312" s="12"/>
      <c r="AJ312" s="12"/>
      <c r="AK312" s="12"/>
      <c r="AL312" s="12"/>
      <c r="AM312" s="12"/>
      <c r="AN312" s="12"/>
      <c r="AO312" s="12"/>
      <c r="AP312" s="12"/>
    </row>
    <row r="313" spans="1:42">
      <c r="A313" t="s">
        <v>1093</v>
      </c>
      <c r="B313" s="8"/>
      <c r="C313" s="8" t="s">
        <v>1094</v>
      </c>
      <c r="D313" s="8" t="s">
        <v>334</v>
      </c>
      <c r="E313" s="8" t="s">
        <v>71</v>
      </c>
      <c r="F313" s="8" t="s">
        <v>1095</v>
      </c>
      <c r="G313" s="8" t="s">
        <v>1095</v>
      </c>
      <c r="H313" s="9">
        <v>450000</v>
      </c>
      <c r="I313" s="9">
        <f>[1]!Tabel1[[#This Row],[Honorar]]*[1]!Tabel1[[#This Row],[Sandsynlighed]]</f>
        <v>59000</v>
      </c>
      <c r="J313" s="10" t="s">
        <v>484</v>
      </c>
      <c r="K313" s="1">
        <v>2025</v>
      </c>
      <c r="L313" s="8" t="s">
        <v>1096</v>
      </c>
      <c r="M313" s="11">
        <v>1</v>
      </c>
      <c r="N313" s="1">
        <v>4700</v>
      </c>
      <c r="O313" s="10">
        <v>46279.61109953704</v>
      </c>
      <c r="P313" s="10"/>
      <c r="Q313" s="1" t="s">
        <v>46</v>
      </c>
      <c r="R313" s="8" t="s">
        <v>47</v>
      </c>
      <c r="S31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1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1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1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1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1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1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1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1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1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1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1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1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13" s="12">
        <f ca="1">[1]!Tabel1[[#This Row],[Vægtet Honorar]]*([1]!Tabel1[[#This Row],[Sidst redigeret]]&gt;TODAY()-40)*([1]!Tabel1[[#This Row],[Er i resplan?]]&lt;&gt;"Ja")*([1]!Tabel1[[#This Row],[Status]]="Pågår")</f>
        <v>0</v>
      </c>
      <c r="AG313" s="12">
        <f ca="1">[1]!Tabel1[[#This Row],[Vægtet Honorar]]*([1]!Tabel1[[#This Row],[Sidst redigeret]]&gt;TODAY()-40)*([1]!Tabel1[[#This Row],[Status]]="Pågår")</f>
        <v>0</v>
      </c>
      <c r="AH313" s="13">
        <v>45993.410925925928</v>
      </c>
      <c r="AI313" s="12"/>
      <c r="AJ313" s="12"/>
      <c r="AK313" s="12"/>
      <c r="AL313" s="12"/>
      <c r="AM313" s="12"/>
      <c r="AN313" s="12"/>
      <c r="AO313" s="12"/>
      <c r="AP313" s="12"/>
    </row>
    <row r="314" spans="1:42">
      <c r="A314" t="s">
        <v>1097</v>
      </c>
      <c r="B314" s="8"/>
      <c r="C314" s="8" t="s">
        <v>1098</v>
      </c>
      <c r="D314" s="8" t="s">
        <v>720</v>
      </c>
      <c r="E314" s="8" t="s">
        <v>71</v>
      </c>
      <c r="F314" s="8" t="s">
        <v>1099</v>
      </c>
      <c r="G314" s="8" t="s">
        <v>1100</v>
      </c>
      <c r="H314" s="9">
        <v>0</v>
      </c>
      <c r="I314" s="9">
        <f>[1]!Tabel1[[#This Row],[Honorar]]*[1]!Tabel1[[#This Row],[Sandsynlighed]]</f>
        <v>100000</v>
      </c>
      <c r="J314" s="10">
        <v>2023</v>
      </c>
      <c r="K314" s="1">
        <v>2026</v>
      </c>
      <c r="L314" s="8" t="s">
        <v>1101</v>
      </c>
      <c r="M314" s="11">
        <v>0</v>
      </c>
      <c r="N314" s="1">
        <v>48000</v>
      </c>
      <c r="O314" s="10">
        <v>46279.61109953704</v>
      </c>
      <c r="P314" s="10"/>
      <c r="Q314" s="1" t="s">
        <v>72</v>
      </c>
      <c r="R314" s="8" t="s">
        <v>49</v>
      </c>
      <c r="S31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1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1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1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1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1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1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1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1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1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1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1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1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14" s="12">
        <f ca="1">[1]!Tabel1[[#This Row],[Vægtet Honorar]]*([1]!Tabel1[[#This Row],[Sidst redigeret]]&gt;TODAY()-40)*([1]!Tabel1[[#This Row],[Er i resplan?]]&lt;&gt;"Ja")*([1]!Tabel1[[#This Row],[Status]]="Pågår")</f>
        <v>0</v>
      </c>
      <c r="AG314" s="12">
        <f ca="1">[1]!Tabel1[[#This Row],[Vægtet Honorar]]*([1]!Tabel1[[#This Row],[Sidst redigeret]]&gt;TODAY()-40)*([1]!Tabel1[[#This Row],[Status]]="Pågår")</f>
        <v>0</v>
      </c>
      <c r="AH314" s="13"/>
      <c r="AI314" s="12"/>
      <c r="AJ314" s="12"/>
      <c r="AK314" s="12"/>
      <c r="AL314" s="12"/>
      <c r="AM314" s="12"/>
      <c r="AN314" s="12"/>
      <c r="AO314" s="12"/>
      <c r="AP314" s="12"/>
    </row>
    <row r="315" spans="1:42">
      <c r="A315" t="s">
        <v>1102</v>
      </c>
      <c r="B315" s="8"/>
      <c r="C315" s="8" t="s">
        <v>1103</v>
      </c>
      <c r="D315" s="8" t="s">
        <v>119</v>
      </c>
      <c r="E315" s="8" t="s">
        <v>120</v>
      </c>
      <c r="F315" s="8" t="s">
        <v>726</v>
      </c>
      <c r="G315" s="8" t="s">
        <v>1104</v>
      </c>
      <c r="H315" s="9">
        <v>300000</v>
      </c>
      <c r="I315" s="9">
        <f>[1]!Tabel1[[#This Row],[Honorar]]*[1]!Tabel1[[#This Row],[Sandsynlighed]]</f>
        <v>5000</v>
      </c>
      <c r="J315" s="10">
        <v>45170</v>
      </c>
      <c r="K315" s="1">
        <v>2024</v>
      </c>
      <c r="L315" s="8" t="s">
        <v>1105</v>
      </c>
      <c r="M315" s="11">
        <v>1</v>
      </c>
      <c r="N315" s="1" t="s">
        <v>1015</v>
      </c>
      <c r="O315" s="10">
        <v>46279.61109953704</v>
      </c>
      <c r="P315" s="10"/>
      <c r="Q315" s="1" t="s">
        <v>46</v>
      </c>
      <c r="R315" s="8" t="s">
        <v>47</v>
      </c>
      <c r="S31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1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1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1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1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1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1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1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1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1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1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1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1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15" s="12">
        <f ca="1">[1]!Tabel1[[#This Row],[Vægtet Honorar]]*([1]!Tabel1[[#This Row],[Sidst redigeret]]&gt;TODAY()-40)*([1]!Tabel1[[#This Row],[Er i resplan?]]&lt;&gt;"Ja")*([1]!Tabel1[[#This Row],[Status]]="Pågår")</f>
        <v>0</v>
      </c>
      <c r="AG315" s="12">
        <f ca="1">[1]!Tabel1[[#This Row],[Vægtet Honorar]]*([1]!Tabel1[[#This Row],[Sidst redigeret]]&gt;TODAY()-40)*([1]!Tabel1[[#This Row],[Status]]="Pågår")</f>
        <v>0</v>
      </c>
      <c r="AH315" s="13"/>
      <c r="AI315" s="12"/>
      <c r="AJ315" s="12"/>
      <c r="AK315" s="12"/>
      <c r="AL315" s="12"/>
      <c r="AM315" s="12"/>
      <c r="AN315" s="12"/>
      <c r="AO315" s="12"/>
      <c r="AP315" s="12"/>
    </row>
    <row r="316" spans="1:42">
      <c r="A316" t="s">
        <v>1106</v>
      </c>
      <c r="B316" s="8"/>
      <c r="C316" s="8" t="s">
        <v>1107</v>
      </c>
      <c r="D316" s="8" t="s">
        <v>57</v>
      </c>
      <c r="E316" s="8" t="s">
        <v>94</v>
      </c>
      <c r="F316" s="8" t="s">
        <v>1108</v>
      </c>
      <c r="G316" s="8" t="s">
        <v>1109</v>
      </c>
      <c r="H316" s="9">
        <v>3000000</v>
      </c>
      <c r="I316" s="9">
        <f>[1]!Tabel1[[#This Row],[Honorar]]*[1]!Tabel1[[#This Row],[Sandsynlighed]]</f>
        <v>180000</v>
      </c>
      <c r="J316" s="10">
        <v>2023</v>
      </c>
      <c r="K316" s="1">
        <v>2025</v>
      </c>
      <c r="L316" s="8" t="s">
        <v>1110</v>
      </c>
      <c r="M316" s="11">
        <v>0.15</v>
      </c>
      <c r="N316" s="1" t="s">
        <v>1015</v>
      </c>
      <c r="O316" s="10">
        <v>46279.61109953704</v>
      </c>
      <c r="P316" s="1" t="s">
        <v>72</v>
      </c>
      <c r="Q316" s="1"/>
      <c r="R316" s="8" t="s">
        <v>75</v>
      </c>
      <c r="S31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1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1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1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1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1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1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1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1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1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1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1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1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16" s="12">
        <f ca="1">[1]!Tabel1[[#This Row],[Vægtet Honorar]]*([1]!Tabel1[[#This Row],[Sidst redigeret]]&gt;TODAY()-40)*([1]!Tabel1[[#This Row],[Er i resplan?]]&lt;&gt;"Ja")*([1]!Tabel1[[#This Row],[Status]]="Pågår")</f>
        <v>0</v>
      </c>
      <c r="AG316" s="12">
        <f ca="1">[1]!Tabel1[[#This Row],[Vægtet Honorar]]*([1]!Tabel1[[#This Row],[Sidst redigeret]]&gt;TODAY()-40)*([1]!Tabel1[[#This Row],[Status]]="Pågår")</f>
        <v>0</v>
      </c>
      <c r="AH316" s="13"/>
      <c r="AI316" s="12"/>
      <c r="AJ316" s="12"/>
      <c r="AK316" s="12"/>
      <c r="AL316" s="12"/>
      <c r="AM316" s="12"/>
      <c r="AN316" s="12"/>
      <c r="AO316" s="12"/>
      <c r="AP316" s="12"/>
    </row>
    <row r="317" spans="1:42">
      <c r="A317" t="s">
        <v>1111</v>
      </c>
      <c r="B317" s="8"/>
      <c r="C317" s="8" t="s">
        <v>1112</v>
      </c>
      <c r="D317" s="8" t="s">
        <v>875</v>
      </c>
      <c r="E317" s="8" t="s">
        <v>94</v>
      </c>
      <c r="F317" s="8" t="s">
        <v>1113</v>
      </c>
      <c r="G317" s="8" t="s">
        <v>1114</v>
      </c>
      <c r="H317" s="9">
        <v>1200000</v>
      </c>
      <c r="I317" s="9">
        <f>[1]!Tabel1[[#This Row],[Honorar]]*[1]!Tabel1[[#This Row],[Sandsynlighed]]</f>
        <v>300000</v>
      </c>
      <c r="J317" s="10">
        <v>45139</v>
      </c>
      <c r="K317" s="1">
        <v>2024</v>
      </c>
      <c r="L317" s="8" t="s">
        <v>1115</v>
      </c>
      <c r="M317" s="11">
        <v>0.5</v>
      </c>
      <c r="N317" s="1" t="s">
        <v>1116</v>
      </c>
      <c r="O317" s="10">
        <v>46279.61109953704</v>
      </c>
      <c r="P317" s="1" t="s">
        <v>72</v>
      </c>
      <c r="Q317" s="1" t="s">
        <v>46</v>
      </c>
      <c r="R317" s="8" t="s">
        <v>75</v>
      </c>
      <c r="S31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1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1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1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1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1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1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1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1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1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1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1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1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17" s="12">
        <f ca="1">[1]!Tabel1[[#This Row],[Vægtet Honorar]]*([1]!Tabel1[[#This Row],[Sidst redigeret]]&gt;TODAY()-40)*([1]!Tabel1[[#This Row],[Er i resplan?]]&lt;&gt;"Ja")*([1]!Tabel1[[#This Row],[Status]]="Pågår")</f>
        <v>0</v>
      </c>
      <c r="AG317" s="12">
        <f ca="1">[1]!Tabel1[[#This Row],[Vægtet Honorar]]*([1]!Tabel1[[#This Row],[Sidst redigeret]]&gt;TODAY()-40)*([1]!Tabel1[[#This Row],[Status]]="Pågår")</f>
        <v>0</v>
      </c>
      <c r="AH317" s="13"/>
      <c r="AI317" s="12"/>
      <c r="AJ317" s="12"/>
      <c r="AK317" s="12"/>
      <c r="AL317" s="12"/>
      <c r="AM317" s="12"/>
      <c r="AN317" s="12"/>
      <c r="AO317" s="12"/>
      <c r="AP317" s="12"/>
    </row>
    <row r="318" spans="1:42">
      <c r="A318" t="s">
        <v>1117</v>
      </c>
      <c r="B318" s="8"/>
      <c r="C318" s="8" t="s">
        <v>1118</v>
      </c>
      <c r="D318" s="8" t="s">
        <v>203</v>
      </c>
      <c r="E318" s="8" t="s">
        <v>167</v>
      </c>
      <c r="F318" s="8" t="s">
        <v>1119</v>
      </c>
      <c r="G318" s="8" t="s">
        <v>1119</v>
      </c>
      <c r="H318" s="9">
        <v>500000</v>
      </c>
      <c r="I318" s="9">
        <f>[1]!Tabel1[[#This Row],[Honorar]]*[1]!Tabel1[[#This Row],[Sandsynlighed]]</f>
        <v>450000</v>
      </c>
      <c r="J318" s="10">
        <v>45122</v>
      </c>
      <c r="K318" s="1">
        <v>2024</v>
      </c>
      <c r="L318" s="8"/>
      <c r="M318" s="11">
        <v>0</v>
      </c>
      <c r="N318" s="1" t="s">
        <v>777</v>
      </c>
      <c r="O318" s="10">
        <v>46279.61109953704</v>
      </c>
      <c r="P318" s="10"/>
      <c r="Q318" s="1" t="s">
        <v>46</v>
      </c>
      <c r="R318" s="8" t="s">
        <v>49</v>
      </c>
      <c r="S31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1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1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1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1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1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1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1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1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1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1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1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1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18" s="12">
        <f ca="1">[1]!Tabel1[[#This Row],[Vægtet Honorar]]*([1]!Tabel1[[#This Row],[Sidst redigeret]]&gt;TODAY()-40)*([1]!Tabel1[[#This Row],[Er i resplan?]]&lt;&gt;"Ja")*([1]!Tabel1[[#This Row],[Status]]="Pågår")</f>
        <v>0</v>
      </c>
      <c r="AG318" s="12">
        <f ca="1">[1]!Tabel1[[#This Row],[Vægtet Honorar]]*([1]!Tabel1[[#This Row],[Sidst redigeret]]&gt;TODAY()-40)*([1]!Tabel1[[#This Row],[Status]]="Pågår")</f>
        <v>0</v>
      </c>
      <c r="AH318" s="13"/>
      <c r="AI318" s="12"/>
      <c r="AJ318" s="12"/>
      <c r="AK318" s="12"/>
      <c r="AL318" s="12"/>
      <c r="AM318" s="12"/>
      <c r="AN318" s="12"/>
      <c r="AO318" s="12"/>
      <c r="AP318" s="12"/>
    </row>
    <row r="319" spans="1:42">
      <c r="A319" t="s">
        <v>1120</v>
      </c>
      <c r="B319" s="8">
        <v>231127</v>
      </c>
      <c r="C319" s="8" t="s">
        <v>1121</v>
      </c>
      <c r="D319" s="8" t="s">
        <v>119</v>
      </c>
      <c r="E319" s="8" t="s">
        <v>120</v>
      </c>
      <c r="F319" s="8" t="s">
        <v>1122</v>
      </c>
      <c r="G319" s="8" t="s">
        <v>1123</v>
      </c>
      <c r="H319" s="9">
        <v>100000</v>
      </c>
      <c r="I319" s="9">
        <f>[1]!Tabel1[[#This Row],[Honorar]]*[1]!Tabel1[[#This Row],[Sandsynlighed]]</f>
        <v>0</v>
      </c>
      <c r="J319" s="10">
        <v>45170</v>
      </c>
      <c r="K319" s="1">
        <v>2023</v>
      </c>
      <c r="L319" s="8" t="s">
        <v>1124</v>
      </c>
      <c r="M319" s="11">
        <v>1</v>
      </c>
      <c r="N319" s="1"/>
      <c r="O319" s="10">
        <v>46279.61109953704</v>
      </c>
      <c r="P319" s="10"/>
      <c r="Q319" s="1" t="s">
        <v>46</v>
      </c>
      <c r="R319" s="8" t="s">
        <v>47</v>
      </c>
      <c r="S31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1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1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1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1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1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1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1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1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1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1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1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1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19" s="12">
        <f ca="1">[1]!Tabel1[[#This Row],[Vægtet Honorar]]*([1]!Tabel1[[#This Row],[Sidst redigeret]]&gt;TODAY()-40)*([1]!Tabel1[[#This Row],[Er i resplan?]]&lt;&gt;"Ja")*([1]!Tabel1[[#This Row],[Status]]="Pågår")</f>
        <v>0</v>
      </c>
      <c r="AG319" s="12">
        <f ca="1">[1]!Tabel1[[#This Row],[Vægtet Honorar]]*([1]!Tabel1[[#This Row],[Sidst redigeret]]&gt;TODAY()-40)*([1]!Tabel1[[#This Row],[Status]]="Pågår")</f>
        <v>0</v>
      </c>
      <c r="AH319" s="13"/>
      <c r="AI319" s="12"/>
      <c r="AJ319" s="12"/>
      <c r="AK319" s="12"/>
      <c r="AL319" s="12"/>
      <c r="AM319" s="12"/>
      <c r="AN319" s="12"/>
      <c r="AO319" s="12"/>
      <c r="AP319" s="12"/>
    </row>
    <row r="320" spans="1:42">
      <c r="A320" t="s">
        <v>1125</v>
      </c>
      <c r="B320" s="8"/>
      <c r="C320" s="8" t="s">
        <v>1126</v>
      </c>
      <c r="D320" s="8" t="s">
        <v>288</v>
      </c>
      <c r="E320" s="8" t="s">
        <v>167</v>
      </c>
      <c r="F320" s="8" t="s">
        <v>1127</v>
      </c>
      <c r="G320" s="8" t="s">
        <v>1127</v>
      </c>
      <c r="H320" s="9">
        <v>0</v>
      </c>
      <c r="I320" s="9">
        <f>[1]!Tabel1[[#This Row],[Honorar]]*[1]!Tabel1[[#This Row],[Sandsynlighed]]</f>
        <v>300000</v>
      </c>
      <c r="J320" s="10">
        <v>45047</v>
      </c>
      <c r="K320" s="1">
        <v>2023</v>
      </c>
      <c r="L320" s="8" t="s">
        <v>681</v>
      </c>
      <c r="M320" s="11">
        <v>0</v>
      </c>
      <c r="N320" s="1" t="s">
        <v>1128</v>
      </c>
      <c r="O320" s="10">
        <v>46279.61109953704</v>
      </c>
      <c r="P320" s="10"/>
      <c r="Q320" s="1"/>
      <c r="R320" s="8" t="s">
        <v>49</v>
      </c>
      <c r="S32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2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2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2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2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2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2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2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2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2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2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2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2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20" s="12">
        <f ca="1">[1]!Tabel1[[#This Row],[Vægtet Honorar]]*([1]!Tabel1[[#This Row],[Sidst redigeret]]&gt;TODAY()-40)*([1]!Tabel1[[#This Row],[Er i resplan?]]&lt;&gt;"Ja")*([1]!Tabel1[[#This Row],[Status]]="Pågår")</f>
        <v>0</v>
      </c>
      <c r="AG320" s="12">
        <f ca="1">[1]!Tabel1[[#This Row],[Vægtet Honorar]]*([1]!Tabel1[[#This Row],[Sidst redigeret]]&gt;TODAY()-40)*([1]!Tabel1[[#This Row],[Status]]="Pågår")</f>
        <v>0</v>
      </c>
      <c r="AH320" s="13"/>
      <c r="AI320" s="12"/>
      <c r="AJ320" s="12"/>
      <c r="AK320" s="12"/>
      <c r="AL320" s="12"/>
      <c r="AM320" s="12"/>
      <c r="AN320" s="12"/>
      <c r="AO320" s="12"/>
      <c r="AP320" s="12"/>
    </row>
    <row r="321" spans="1:42">
      <c r="A321" t="s">
        <v>1129</v>
      </c>
      <c r="B321" s="8">
        <v>231088</v>
      </c>
      <c r="C321" s="8" t="s">
        <v>1130</v>
      </c>
      <c r="D321" s="8" t="s">
        <v>57</v>
      </c>
      <c r="E321" s="8" t="s">
        <v>167</v>
      </c>
      <c r="F321" s="8" t="s">
        <v>1131</v>
      </c>
      <c r="G321" s="8" t="s">
        <v>1131</v>
      </c>
      <c r="H321" s="9">
        <v>100000</v>
      </c>
      <c r="I321" s="9">
        <f>[1]!Tabel1[[#This Row],[Honorar]]*[1]!Tabel1[[#This Row],[Sandsynlighed]]</f>
        <v>450000</v>
      </c>
      <c r="J321" s="10">
        <v>2023</v>
      </c>
      <c r="K321" s="1">
        <v>2023</v>
      </c>
      <c r="L321" s="8" t="s">
        <v>1132</v>
      </c>
      <c r="M321" s="11">
        <v>1</v>
      </c>
      <c r="N321" s="1" t="s">
        <v>1128</v>
      </c>
      <c r="O321" s="10">
        <v>46279.61109953704</v>
      </c>
      <c r="P321" s="10"/>
      <c r="Q321" s="1" t="s">
        <v>46</v>
      </c>
      <c r="R321" s="8" t="s">
        <v>47</v>
      </c>
      <c r="S32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2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2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2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2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2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2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2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2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2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2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2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2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21" s="12">
        <f ca="1">[1]!Tabel1[[#This Row],[Vægtet Honorar]]*([1]!Tabel1[[#This Row],[Sidst redigeret]]&gt;TODAY()-40)*([1]!Tabel1[[#This Row],[Er i resplan?]]&lt;&gt;"Ja")*([1]!Tabel1[[#This Row],[Status]]="Pågår")</f>
        <v>0</v>
      </c>
      <c r="AG321" s="12">
        <f ca="1">[1]!Tabel1[[#This Row],[Vægtet Honorar]]*([1]!Tabel1[[#This Row],[Sidst redigeret]]&gt;TODAY()-40)*([1]!Tabel1[[#This Row],[Status]]="Pågår")</f>
        <v>0</v>
      </c>
      <c r="AH321" s="13"/>
      <c r="AI321" s="12"/>
      <c r="AJ321" s="12"/>
      <c r="AK321" s="12"/>
      <c r="AL321" s="12"/>
      <c r="AM321" s="12"/>
      <c r="AN321" s="12"/>
      <c r="AO321" s="12"/>
      <c r="AP321" s="12"/>
    </row>
    <row r="322" spans="1:42">
      <c r="A322" t="s">
        <v>1133</v>
      </c>
      <c r="B322" s="8"/>
      <c r="C322" s="8" t="s">
        <v>1134</v>
      </c>
      <c r="D322" s="8" t="s">
        <v>246</v>
      </c>
      <c r="E322" s="8" t="s">
        <v>94</v>
      </c>
      <c r="F322" s="8" t="s">
        <v>1135</v>
      </c>
      <c r="G322" s="8" t="s">
        <v>1135</v>
      </c>
      <c r="H322" s="9">
        <v>450000</v>
      </c>
      <c r="I322" s="9">
        <f>[1]!Tabel1[[#This Row],[Honorar]]*[1]!Tabel1[[#This Row],[Sandsynlighed]]</f>
        <v>600000</v>
      </c>
      <c r="J322" s="10">
        <v>2023</v>
      </c>
      <c r="K322" s="1">
        <v>2023</v>
      </c>
      <c r="L322" s="8" t="s">
        <v>1136</v>
      </c>
      <c r="M322" s="11">
        <v>1</v>
      </c>
      <c r="N322" s="1" t="s">
        <v>1137</v>
      </c>
      <c r="O322" s="10">
        <v>46279.61109953704</v>
      </c>
      <c r="P322" s="1" t="s">
        <v>72</v>
      </c>
      <c r="Q322" s="1" t="s">
        <v>46</v>
      </c>
      <c r="R322" s="8" t="s">
        <v>47</v>
      </c>
      <c r="S32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2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2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2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2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2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2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2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2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2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2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2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2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22" s="12">
        <f ca="1">[1]!Tabel1[[#This Row],[Vægtet Honorar]]*([1]!Tabel1[[#This Row],[Sidst redigeret]]&gt;TODAY()-40)*([1]!Tabel1[[#This Row],[Er i resplan?]]&lt;&gt;"Ja")*([1]!Tabel1[[#This Row],[Status]]="Pågår")</f>
        <v>0</v>
      </c>
      <c r="AG322" s="12">
        <f ca="1">[1]!Tabel1[[#This Row],[Vægtet Honorar]]*([1]!Tabel1[[#This Row],[Sidst redigeret]]&gt;TODAY()-40)*([1]!Tabel1[[#This Row],[Status]]="Pågår")</f>
        <v>0</v>
      </c>
      <c r="AH322" s="13"/>
      <c r="AI322" s="12"/>
      <c r="AJ322" s="12"/>
      <c r="AK322" s="12"/>
      <c r="AL322" s="12"/>
      <c r="AM322" s="12"/>
      <c r="AN322" s="12"/>
      <c r="AO322" s="12"/>
      <c r="AP322" s="12"/>
    </row>
    <row r="323" spans="1:42">
      <c r="A323" t="s">
        <v>1138</v>
      </c>
      <c r="B323" s="8"/>
      <c r="C323" s="8" t="s">
        <v>1139</v>
      </c>
      <c r="D323" s="8" t="s">
        <v>334</v>
      </c>
      <c r="E323" s="8" t="s">
        <v>71</v>
      </c>
      <c r="F323" s="8" t="s">
        <v>1140</v>
      </c>
      <c r="G323" s="8" t="s">
        <v>1141</v>
      </c>
      <c r="H323" s="9">
        <v>50000</v>
      </c>
      <c r="I323" s="9">
        <f>[1]!Tabel1[[#This Row],[Honorar]]*[1]!Tabel1[[#This Row],[Sandsynlighed]]</f>
        <v>0</v>
      </c>
      <c r="J323" s="10">
        <v>2023</v>
      </c>
      <c r="K323" s="1">
        <v>2023</v>
      </c>
      <c r="L323" s="8" t="s">
        <v>983</v>
      </c>
      <c r="M323" s="11">
        <v>0.25</v>
      </c>
      <c r="N323" s="1">
        <v>-0.9</v>
      </c>
      <c r="O323" s="10">
        <v>46279.61109953704</v>
      </c>
      <c r="P323" s="10"/>
      <c r="Q323" s="1" t="s">
        <v>72</v>
      </c>
      <c r="R323" s="8" t="s">
        <v>984</v>
      </c>
      <c r="S32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2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2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2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2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2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2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2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2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2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2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2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2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23" s="12">
        <f ca="1">[1]!Tabel1[[#This Row],[Vægtet Honorar]]*([1]!Tabel1[[#This Row],[Sidst redigeret]]&gt;TODAY()-40)*([1]!Tabel1[[#This Row],[Er i resplan?]]&lt;&gt;"Ja")*([1]!Tabel1[[#This Row],[Status]]="Pågår")</f>
        <v>0</v>
      </c>
      <c r="AG323" s="12">
        <f ca="1">[1]!Tabel1[[#This Row],[Vægtet Honorar]]*([1]!Tabel1[[#This Row],[Sidst redigeret]]&gt;TODAY()-40)*([1]!Tabel1[[#This Row],[Status]]="Pågår")</f>
        <v>0</v>
      </c>
      <c r="AH323" s="13"/>
      <c r="AI323" s="12"/>
      <c r="AJ323" s="12"/>
      <c r="AK323" s="12"/>
      <c r="AL323" s="12"/>
      <c r="AM323" s="12"/>
      <c r="AN323" s="12"/>
      <c r="AO323" s="12"/>
      <c r="AP323" s="12"/>
    </row>
    <row r="324" spans="1:42">
      <c r="A324" t="s">
        <v>1142</v>
      </c>
      <c r="B324" s="8"/>
      <c r="C324" s="8" t="s">
        <v>1139</v>
      </c>
      <c r="D324" s="8" t="s">
        <v>334</v>
      </c>
      <c r="E324" s="8" t="s">
        <v>71</v>
      </c>
      <c r="F324" s="8" t="s">
        <v>1140</v>
      </c>
      <c r="G324" s="8" t="s">
        <v>1141</v>
      </c>
      <c r="H324" s="9">
        <v>50000</v>
      </c>
      <c r="I324" s="9">
        <f>[1]!Tabel1[[#This Row],[Honorar]]*[1]!Tabel1[[#This Row],[Sandsynlighed]]</f>
        <v>100000</v>
      </c>
      <c r="J324" s="10">
        <v>2023</v>
      </c>
      <c r="K324" s="1">
        <v>2023</v>
      </c>
      <c r="L324" s="8" t="s">
        <v>1143</v>
      </c>
      <c r="M324" s="11">
        <v>1</v>
      </c>
      <c r="N324" s="1"/>
      <c r="O324" s="10">
        <v>46279.61109953704</v>
      </c>
      <c r="P324" s="10"/>
      <c r="Q324" s="1" t="s">
        <v>46</v>
      </c>
      <c r="R324" s="8" t="s">
        <v>47</v>
      </c>
      <c r="S32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2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2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2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2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2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2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2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2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2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2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2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2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24" s="12">
        <f ca="1">[1]!Tabel1[[#This Row],[Vægtet Honorar]]*([1]!Tabel1[[#This Row],[Sidst redigeret]]&gt;TODAY()-40)*([1]!Tabel1[[#This Row],[Er i resplan?]]&lt;&gt;"Ja")*([1]!Tabel1[[#This Row],[Status]]="Pågår")</f>
        <v>0</v>
      </c>
      <c r="AG324" s="12">
        <f ca="1">[1]!Tabel1[[#This Row],[Vægtet Honorar]]*([1]!Tabel1[[#This Row],[Sidst redigeret]]&gt;TODAY()-40)*([1]!Tabel1[[#This Row],[Status]]="Pågår")</f>
        <v>0</v>
      </c>
      <c r="AH324" s="13"/>
      <c r="AI324" s="12"/>
      <c r="AJ324" s="12"/>
      <c r="AK324" s="12"/>
      <c r="AL324" s="12"/>
      <c r="AM324" s="12"/>
      <c r="AN324" s="12"/>
      <c r="AO324" s="12"/>
      <c r="AP324" s="12"/>
    </row>
    <row r="325" spans="1:42">
      <c r="A325" t="s">
        <v>1144</v>
      </c>
      <c r="B325" s="8">
        <v>232320</v>
      </c>
      <c r="C325" s="8" t="s">
        <v>1145</v>
      </c>
      <c r="D325" s="8" t="s">
        <v>119</v>
      </c>
      <c r="E325" s="8" t="s">
        <v>120</v>
      </c>
      <c r="F325" s="8" t="s">
        <v>1146</v>
      </c>
      <c r="G325" s="8" t="s">
        <v>916</v>
      </c>
      <c r="H325" s="9">
        <v>68500</v>
      </c>
      <c r="I325" s="9">
        <f>[1]!Tabel1[[#This Row],[Honorar]]*[1]!Tabel1[[#This Row],[Sandsynlighed]]</f>
        <v>0</v>
      </c>
      <c r="J325" s="10">
        <v>45047</v>
      </c>
      <c r="K325" s="1">
        <v>2023</v>
      </c>
      <c r="L325" s="8" t="s">
        <v>1147</v>
      </c>
      <c r="M325" s="11">
        <v>1</v>
      </c>
      <c r="N325" s="1" t="s">
        <v>1148</v>
      </c>
      <c r="O325" s="10">
        <v>46279.61109953704</v>
      </c>
      <c r="P325" s="10"/>
      <c r="Q325" s="1" t="s">
        <v>46</v>
      </c>
      <c r="R325" s="8" t="s">
        <v>47</v>
      </c>
      <c r="S32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2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2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2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2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2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2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2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2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2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2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2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2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25" s="12">
        <f ca="1">[1]!Tabel1[[#This Row],[Vægtet Honorar]]*([1]!Tabel1[[#This Row],[Sidst redigeret]]&gt;TODAY()-40)*([1]!Tabel1[[#This Row],[Er i resplan?]]&lt;&gt;"Ja")*([1]!Tabel1[[#This Row],[Status]]="Pågår")</f>
        <v>0</v>
      </c>
      <c r="AG325" s="12">
        <f ca="1">[1]!Tabel1[[#This Row],[Vægtet Honorar]]*([1]!Tabel1[[#This Row],[Sidst redigeret]]&gt;TODAY()-40)*([1]!Tabel1[[#This Row],[Status]]="Pågår")</f>
        <v>0</v>
      </c>
      <c r="AH325" s="13"/>
      <c r="AI325" s="12"/>
      <c r="AJ325" s="12"/>
      <c r="AK325" s="12"/>
      <c r="AL325" s="12"/>
      <c r="AM325" s="12"/>
      <c r="AN325" s="12"/>
      <c r="AO325" s="12"/>
      <c r="AP325" s="12"/>
    </row>
    <row r="326" spans="1:42">
      <c r="A326" t="s">
        <v>1149</v>
      </c>
      <c r="B326" s="8"/>
      <c r="C326" s="8" t="s">
        <v>1150</v>
      </c>
      <c r="D326" s="8" t="s">
        <v>720</v>
      </c>
      <c r="E326" s="8" t="s">
        <v>71</v>
      </c>
      <c r="F326" s="8" t="s">
        <v>1151</v>
      </c>
      <c r="G326" s="8" t="s">
        <v>1152</v>
      </c>
      <c r="H326" s="9">
        <v>2000000</v>
      </c>
      <c r="I326" s="9">
        <f>[1]!Tabel1[[#This Row],[Honorar]]*[1]!Tabel1[[#This Row],[Sandsynlighed]]</f>
        <v>100000</v>
      </c>
      <c r="J326" s="10">
        <v>2023</v>
      </c>
      <c r="K326" s="1">
        <v>2024</v>
      </c>
      <c r="L326" s="8" t="s">
        <v>1153</v>
      </c>
      <c r="M326" s="11">
        <v>0.1</v>
      </c>
      <c r="N326" s="1"/>
      <c r="O326" s="10">
        <v>46279.61109953704</v>
      </c>
      <c r="P326" s="10"/>
      <c r="Q326" s="1" t="s">
        <v>72</v>
      </c>
      <c r="R326" s="8" t="s">
        <v>75</v>
      </c>
      <c r="S32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2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2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2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2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2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2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2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2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2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2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2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2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26" s="12">
        <f ca="1">[1]!Tabel1[[#This Row],[Vægtet Honorar]]*([1]!Tabel1[[#This Row],[Sidst redigeret]]&gt;TODAY()-40)*([1]!Tabel1[[#This Row],[Er i resplan?]]&lt;&gt;"Ja")*([1]!Tabel1[[#This Row],[Status]]="Pågår")</f>
        <v>0</v>
      </c>
      <c r="AG326" s="12">
        <f ca="1">[1]!Tabel1[[#This Row],[Vægtet Honorar]]*([1]!Tabel1[[#This Row],[Sidst redigeret]]&gt;TODAY()-40)*([1]!Tabel1[[#This Row],[Status]]="Pågår")</f>
        <v>0</v>
      </c>
      <c r="AH326" s="13"/>
      <c r="AI326" s="12" t="s">
        <v>1154</v>
      </c>
      <c r="AJ326" s="12" t="s">
        <v>1155</v>
      </c>
      <c r="AK326" s="12"/>
      <c r="AL326" s="12" t="s">
        <v>1156</v>
      </c>
      <c r="AM326" s="12"/>
      <c r="AN326" s="12"/>
      <c r="AO326" s="12"/>
      <c r="AP326" s="12"/>
    </row>
    <row r="327" spans="1:42">
      <c r="A327" t="s">
        <v>1157</v>
      </c>
      <c r="B327" s="8"/>
      <c r="C327" s="8" t="s">
        <v>1158</v>
      </c>
      <c r="D327" s="8" t="s">
        <v>269</v>
      </c>
      <c r="E327" s="8" t="s">
        <v>167</v>
      </c>
      <c r="F327" s="8" t="s">
        <v>777</v>
      </c>
      <c r="G327" s="8" t="s">
        <v>1158</v>
      </c>
      <c r="H327" s="9">
        <v>100000</v>
      </c>
      <c r="I327" s="9">
        <f>[1]!Tabel1[[#This Row],[Honorar]]*[1]!Tabel1[[#This Row],[Sandsynlighed]]</f>
        <v>450000</v>
      </c>
      <c r="J327" s="10">
        <v>2023</v>
      </c>
      <c r="K327" s="1">
        <v>2023</v>
      </c>
      <c r="L327" s="8" t="s">
        <v>1015</v>
      </c>
      <c r="M327" s="11">
        <v>0.85</v>
      </c>
      <c r="N327" s="1"/>
      <c r="O327" s="10">
        <v>46279.61109953704</v>
      </c>
      <c r="P327" s="10"/>
      <c r="Q327" s="1" t="s">
        <v>46</v>
      </c>
      <c r="R327" s="8" t="s">
        <v>47</v>
      </c>
      <c r="S32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2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2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2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2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2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2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2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2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2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2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2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2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27" s="12">
        <f ca="1">[1]!Tabel1[[#This Row],[Vægtet Honorar]]*([1]!Tabel1[[#This Row],[Sidst redigeret]]&gt;TODAY()-40)*([1]!Tabel1[[#This Row],[Er i resplan?]]&lt;&gt;"Ja")*([1]!Tabel1[[#This Row],[Status]]="Pågår")</f>
        <v>0</v>
      </c>
      <c r="AG327" s="12">
        <f ca="1">[1]!Tabel1[[#This Row],[Vægtet Honorar]]*([1]!Tabel1[[#This Row],[Sidst redigeret]]&gt;TODAY()-40)*([1]!Tabel1[[#This Row],[Status]]="Pågår")</f>
        <v>0</v>
      </c>
      <c r="AH327" s="13"/>
      <c r="AI327" s="12"/>
      <c r="AJ327" s="12"/>
      <c r="AK327" s="12"/>
      <c r="AL327" s="12"/>
      <c r="AM327" s="12"/>
      <c r="AN327" s="12"/>
      <c r="AO327" s="12"/>
      <c r="AP327" s="12"/>
    </row>
    <row r="328" spans="1:42">
      <c r="A328" t="s">
        <v>1159</v>
      </c>
      <c r="B328" s="8"/>
      <c r="C328" s="8" t="s">
        <v>1160</v>
      </c>
      <c r="D328" s="8" t="s">
        <v>720</v>
      </c>
      <c r="E328" s="8" t="s">
        <v>71</v>
      </c>
      <c r="F328" s="8" t="s">
        <v>1161</v>
      </c>
      <c r="G328" s="8" t="s">
        <v>1162</v>
      </c>
      <c r="H328" s="9">
        <v>3500000</v>
      </c>
      <c r="I328" s="9">
        <f>[1]!Tabel1[[#This Row],[Honorar]]*[1]!Tabel1[[#This Row],[Sandsynlighed]]</f>
        <v>12500</v>
      </c>
      <c r="J328" s="10" t="s">
        <v>1163</v>
      </c>
      <c r="K328" s="1">
        <v>2024</v>
      </c>
      <c r="L328" s="8" t="s">
        <v>1015</v>
      </c>
      <c r="M328" s="11">
        <v>0</v>
      </c>
      <c r="N328" s="1"/>
      <c r="O328" s="10">
        <v>46279.61109953704</v>
      </c>
      <c r="P328" s="10"/>
      <c r="Q328" s="1" t="s">
        <v>46</v>
      </c>
      <c r="R328" s="8" t="s">
        <v>75</v>
      </c>
      <c r="S32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2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2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2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2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2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2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2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2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2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2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2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2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28" s="12">
        <f ca="1">[1]!Tabel1[[#This Row],[Vægtet Honorar]]*([1]!Tabel1[[#This Row],[Sidst redigeret]]&gt;TODAY()-40)*([1]!Tabel1[[#This Row],[Er i resplan?]]&lt;&gt;"Ja")*([1]!Tabel1[[#This Row],[Status]]="Pågår")</f>
        <v>0</v>
      </c>
      <c r="AG328" s="12">
        <f ca="1">[1]!Tabel1[[#This Row],[Vægtet Honorar]]*([1]!Tabel1[[#This Row],[Sidst redigeret]]&gt;TODAY()-40)*([1]!Tabel1[[#This Row],[Status]]="Pågår")</f>
        <v>0</v>
      </c>
      <c r="AH328" s="13"/>
      <c r="AI328" s="12"/>
      <c r="AJ328" s="12"/>
      <c r="AK328" s="12"/>
      <c r="AL328" s="12"/>
      <c r="AM328" s="12"/>
      <c r="AN328" s="12"/>
      <c r="AO328" s="12"/>
      <c r="AP328" s="12"/>
    </row>
    <row r="329" spans="1:42">
      <c r="A329" t="s">
        <v>1164</v>
      </c>
      <c r="B329" s="8"/>
      <c r="C329" s="8" t="s">
        <v>1165</v>
      </c>
      <c r="D329" s="8" t="s">
        <v>720</v>
      </c>
      <c r="E329" s="8" t="s">
        <v>71</v>
      </c>
      <c r="F329" s="8" t="s">
        <v>788</v>
      </c>
      <c r="G329" s="8" t="s">
        <v>1166</v>
      </c>
      <c r="H329" s="9">
        <v>1000000</v>
      </c>
      <c r="I329" s="9">
        <f>[1]!Tabel1[[#This Row],[Honorar]]*[1]!Tabel1[[#This Row],[Sandsynlighed]]</f>
        <v>50000</v>
      </c>
      <c r="J329" s="10">
        <v>2023</v>
      </c>
      <c r="K329" s="1">
        <v>2025</v>
      </c>
      <c r="L329" s="8" t="s">
        <v>1167</v>
      </c>
      <c r="M329" s="11">
        <v>0.25</v>
      </c>
      <c r="N329" s="1"/>
      <c r="O329" s="10">
        <v>46279.61109953704</v>
      </c>
      <c r="P329" s="10"/>
      <c r="Q329" s="1" t="s">
        <v>72</v>
      </c>
      <c r="R329" s="8" t="s">
        <v>75</v>
      </c>
      <c r="S32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2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2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2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2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2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2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2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2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2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2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2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2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29" s="12">
        <f ca="1">[1]!Tabel1[[#This Row],[Vægtet Honorar]]*([1]!Tabel1[[#This Row],[Sidst redigeret]]&gt;TODAY()-40)*([1]!Tabel1[[#This Row],[Er i resplan?]]&lt;&gt;"Ja")*([1]!Tabel1[[#This Row],[Status]]="Pågår")</f>
        <v>0</v>
      </c>
      <c r="AG329" s="12">
        <f ca="1">[1]!Tabel1[[#This Row],[Vægtet Honorar]]*([1]!Tabel1[[#This Row],[Sidst redigeret]]&gt;TODAY()-40)*([1]!Tabel1[[#This Row],[Status]]="Pågår")</f>
        <v>0</v>
      </c>
      <c r="AH329" s="13"/>
      <c r="AI329" s="12"/>
      <c r="AJ329" s="12"/>
      <c r="AK329" s="12"/>
      <c r="AL329" s="12"/>
      <c r="AM329" s="12"/>
      <c r="AN329" s="12"/>
      <c r="AO329" s="12"/>
      <c r="AP329" s="12"/>
    </row>
    <row r="330" spans="1:42">
      <c r="A330" t="s">
        <v>1168</v>
      </c>
      <c r="B330" s="8"/>
      <c r="C330" s="8" t="s">
        <v>1169</v>
      </c>
      <c r="D330" s="8" t="s">
        <v>720</v>
      </c>
      <c r="E330" s="8" t="s">
        <v>71</v>
      </c>
      <c r="F330" s="8" t="s">
        <v>940</v>
      </c>
      <c r="G330" s="8" t="s">
        <v>1170</v>
      </c>
      <c r="H330" s="9">
        <v>1000000</v>
      </c>
      <c r="I330" s="9">
        <f>[1]!Tabel1[[#This Row],[Honorar]]*[1]!Tabel1[[#This Row],[Sandsynlighed]]</f>
        <v>68500</v>
      </c>
      <c r="J330" s="10" t="s">
        <v>612</v>
      </c>
      <c r="K330" s="1">
        <v>2025</v>
      </c>
      <c r="L330" s="8" t="s">
        <v>1167</v>
      </c>
      <c r="M330" s="11">
        <v>0.05</v>
      </c>
      <c r="N330" s="1">
        <v>1500</v>
      </c>
      <c r="O330" s="10">
        <v>46279.61109953704</v>
      </c>
      <c r="P330" s="10"/>
      <c r="Q330" s="1" t="s">
        <v>72</v>
      </c>
      <c r="R330" s="8" t="s">
        <v>343</v>
      </c>
      <c r="S33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3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3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3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3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3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3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3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3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3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3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3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3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30" s="12">
        <f ca="1">[1]!Tabel1[[#This Row],[Vægtet Honorar]]*([1]!Tabel1[[#This Row],[Sidst redigeret]]&gt;TODAY()-40)*([1]!Tabel1[[#This Row],[Er i resplan?]]&lt;&gt;"Ja")*([1]!Tabel1[[#This Row],[Status]]="Pågår")</f>
        <v>0</v>
      </c>
      <c r="AG330" s="12">
        <f ca="1">[1]!Tabel1[[#This Row],[Vægtet Honorar]]*([1]!Tabel1[[#This Row],[Sidst redigeret]]&gt;TODAY()-40)*([1]!Tabel1[[#This Row],[Status]]="Pågår")</f>
        <v>0</v>
      </c>
      <c r="AH330" s="13"/>
      <c r="AI330" s="12" t="s">
        <v>1154</v>
      </c>
      <c r="AJ330" s="12" t="s">
        <v>943</v>
      </c>
      <c r="AK330" s="12"/>
      <c r="AL330" s="12" t="s">
        <v>906</v>
      </c>
      <c r="AM330" s="12"/>
      <c r="AN330" s="12"/>
      <c r="AO330" s="12"/>
      <c r="AP330" s="12"/>
    </row>
    <row r="331" spans="1:42">
      <c r="A331" t="s">
        <v>1171</v>
      </c>
      <c r="B331" s="8"/>
      <c r="C331" s="8" t="s">
        <v>1172</v>
      </c>
      <c r="D331" s="8" t="s">
        <v>203</v>
      </c>
      <c r="E331" s="8" t="s">
        <v>167</v>
      </c>
      <c r="F331" s="8" t="s">
        <v>1173</v>
      </c>
      <c r="G331" s="8" t="s">
        <v>1173</v>
      </c>
      <c r="H331" s="9">
        <v>6000000</v>
      </c>
      <c r="I331" s="9">
        <f>[1]!Tabel1[[#This Row],[Honorar]]*[1]!Tabel1[[#This Row],[Sandsynlighed]]</f>
        <v>200000</v>
      </c>
      <c r="J331" s="10" t="s">
        <v>1174</v>
      </c>
      <c r="K331" s="1" t="s">
        <v>1061</v>
      </c>
      <c r="L331" s="8"/>
      <c r="M331" s="11">
        <v>0.5</v>
      </c>
      <c r="N331" s="1">
        <v>20000</v>
      </c>
      <c r="O331" s="10">
        <v>46279.61109953704</v>
      </c>
      <c r="P331" s="10"/>
      <c r="Q331" s="1" t="s">
        <v>46</v>
      </c>
      <c r="R331" s="8" t="s">
        <v>49</v>
      </c>
      <c r="S33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3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3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3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3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3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3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3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3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3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3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3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3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31" s="12">
        <f ca="1">[1]!Tabel1[[#This Row],[Vægtet Honorar]]*([1]!Tabel1[[#This Row],[Sidst redigeret]]&gt;TODAY()-40)*([1]!Tabel1[[#This Row],[Er i resplan?]]&lt;&gt;"Ja")*([1]!Tabel1[[#This Row],[Status]]="Pågår")</f>
        <v>0</v>
      </c>
      <c r="AG331" s="12">
        <f ca="1">[1]!Tabel1[[#This Row],[Vægtet Honorar]]*([1]!Tabel1[[#This Row],[Sidst redigeret]]&gt;TODAY()-40)*([1]!Tabel1[[#This Row],[Status]]="Pågår")</f>
        <v>0</v>
      </c>
      <c r="AH331" s="13"/>
      <c r="AI331" s="12"/>
      <c r="AJ331" s="12"/>
      <c r="AK331" s="12"/>
      <c r="AL331" s="12"/>
      <c r="AM331" s="12"/>
      <c r="AN331" s="12" t="s">
        <v>1175</v>
      </c>
      <c r="AO331" s="12"/>
      <c r="AP331" s="12"/>
    </row>
    <row r="332" spans="1:42">
      <c r="A332" t="s">
        <v>1176</v>
      </c>
      <c r="B332" s="8"/>
      <c r="C332" s="8" t="s">
        <v>1177</v>
      </c>
      <c r="D332" s="8" t="s">
        <v>720</v>
      </c>
      <c r="E332" s="8" t="s">
        <v>71</v>
      </c>
      <c r="F332" s="8" t="s">
        <v>1178</v>
      </c>
      <c r="G332" s="8" t="s">
        <v>1179</v>
      </c>
      <c r="H332" s="9">
        <v>500000</v>
      </c>
      <c r="I332" s="9">
        <f>[1]!Tabel1[[#This Row],[Honorar]]*[1]!Tabel1[[#This Row],[Sandsynlighed]]</f>
        <v>85000</v>
      </c>
      <c r="J332" s="10" t="s">
        <v>1068</v>
      </c>
      <c r="K332" s="1" t="s">
        <v>1061</v>
      </c>
      <c r="L332" s="8" t="s">
        <v>1180</v>
      </c>
      <c r="M332" s="11">
        <v>0.05</v>
      </c>
      <c r="N332" s="1">
        <v>2100</v>
      </c>
      <c r="O332" s="10">
        <v>46279.61109953704</v>
      </c>
      <c r="P332" s="10"/>
      <c r="Q332" s="1" t="s">
        <v>46</v>
      </c>
      <c r="R332" s="8" t="s">
        <v>75</v>
      </c>
      <c r="S33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3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3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3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3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3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3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3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3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3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3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3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3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32" s="12">
        <f ca="1">[1]!Tabel1[[#This Row],[Vægtet Honorar]]*([1]!Tabel1[[#This Row],[Sidst redigeret]]&gt;TODAY()-40)*([1]!Tabel1[[#This Row],[Er i resplan?]]&lt;&gt;"Ja")*([1]!Tabel1[[#This Row],[Status]]="Pågår")</f>
        <v>0</v>
      </c>
      <c r="AG332" s="12">
        <f ca="1">[1]!Tabel1[[#This Row],[Vægtet Honorar]]*([1]!Tabel1[[#This Row],[Sidst redigeret]]&gt;TODAY()-40)*([1]!Tabel1[[#This Row],[Status]]="Pågår")</f>
        <v>0</v>
      </c>
      <c r="AH332" s="13"/>
      <c r="AI332" s="12"/>
      <c r="AJ332" s="12"/>
      <c r="AK332" s="12"/>
      <c r="AL332" s="12"/>
      <c r="AM332" s="12"/>
      <c r="AN332" s="12"/>
      <c r="AO332" s="12"/>
      <c r="AP332" s="12"/>
    </row>
    <row r="333" spans="1:42">
      <c r="A333" t="s">
        <v>1181</v>
      </c>
      <c r="B333" s="8"/>
      <c r="C333" s="8" t="s">
        <v>1182</v>
      </c>
      <c r="D333" s="8" t="s">
        <v>990</v>
      </c>
      <c r="E333" s="8" t="s">
        <v>71</v>
      </c>
      <c r="F333" s="8" t="s">
        <v>1183</v>
      </c>
      <c r="G333" s="8" t="s">
        <v>1183</v>
      </c>
      <c r="H333" s="9">
        <v>50000</v>
      </c>
      <c r="I333" s="9">
        <f>[1]!Tabel1[[#This Row],[Honorar]]*[1]!Tabel1[[#This Row],[Sandsynlighed]]</f>
        <v>0</v>
      </c>
      <c r="J333" s="10" t="s">
        <v>1174</v>
      </c>
      <c r="K333" s="1" t="s">
        <v>622</v>
      </c>
      <c r="L333" s="8"/>
      <c r="M333" s="11">
        <v>1</v>
      </c>
      <c r="N333" s="1">
        <v>8000</v>
      </c>
      <c r="O333" s="10">
        <v>46279.61109953704</v>
      </c>
      <c r="P333" s="10"/>
      <c r="Q333" s="1" t="s">
        <v>46</v>
      </c>
      <c r="R333" s="8" t="s">
        <v>47</v>
      </c>
      <c r="S33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3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3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3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3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3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3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3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3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3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3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3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3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33" s="12">
        <f ca="1">[1]!Tabel1[[#This Row],[Vægtet Honorar]]*([1]!Tabel1[[#This Row],[Sidst redigeret]]&gt;TODAY()-40)*([1]!Tabel1[[#This Row],[Er i resplan?]]&lt;&gt;"Ja")*([1]!Tabel1[[#This Row],[Status]]="Pågår")</f>
        <v>0</v>
      </c>
      <c r="AG333" s="12">
        <f ca="1">[1]!Tabel1[[#This Row],[Vægtet Honorar]]*([1]!Tabel1[[#This Row],[Sidst redigeret]]&gt;TODAY()-40)*([1]!Tabel1[[#This Row],[Status]]="Pågår")</f>
        <v>0</v>
      </c>
      <c r="AH333" s="13"/>
      <c r="AI333" s="12"/>
      <c r="AJ333" s="12"/>
      <c r="AK333" s="12"/>
      <c r="AL333" s="12"/>
      <c r="AM333" s="12"/>
      <c r="AN333" s="12"/>
      <c r="AO333" s="12"/>
      <c r="AP333" s="12"/>
    </row>
    <row r="334" spans="1:42">
      <c r="A334" t="s">
        <v>1184</v>
      </c>
      <c r="B334" s="8"/>
      <c r="C334" s="8" t="s">
        <v>1185</v>
      </c>
      <c r="D334" s="8" t="s">
        <v>119</v>
      </c>
      <c r="E334" s="8" t="s">
        <v>120</v>
      </c>
      <c r="F334" s="8" t="s">
        <v>792</v>
      </c>
      <c r="G334" s="8" t="s">
        <v>792</v>
      </c>
      <c r="H334" s="9">
        <v>0</v>
      </c>
      <c r="I334" s="9">
        <f>[1]!Tabel1[[#This Row],[Honorar]]*[1]!Tabel1[[#This Row],[Sandsynlighed]]</f>
        <v>250000</v>
      </c>
      <c r="J334" s="10">
        <v>45066</v>
      </c>
      <c r="K334" s="10">
        <v>45170</v>
      </c>
      <c r="L334" s="8" t="s">
        <v>1186</v>
      </c>
      <c r="M334" s="11">
        <v>0</v>
      </c>
      <c r="N334" s="1" t="s">
        <v>1187</v>
      </c>
      <c r="O334" s="10">
        <v>46279.61109953704</v>
      </c>
      <c r="P334" s="10"/>
      <c r="Q334" s="1" t="s">
        <v>72</v>
      </c>
      <c r="R334" s="8" t="s">
        <v>75</v>
      </c>
      <c r="S33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3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3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3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3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3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3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3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3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3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3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3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3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34" s="12">
        <f ca="1">[1]!Tabel1[[#This Row],[Vægtet Honorar]]*([1]!Tabel1[[#This Row],[Sidst redigeret]]&gt;TODAY()-40)*([1]!Tabel1[[#This Row],[Er i resplan?]]&lt;&gt;"Ja")*([1]!Tabel1[[#This Row],[Status]]="Pågår")</f>
        <v>0</v>
      </c>
      <c r="AG334" s="12">
        <f ca="1">[1]!Tabel1[[#This Row],[Vægtet Honorar]]*([1]!Tabel1[[#This Row],[Sidst redigeret]]&gt;TODAY()-40)*([1]!Tabel1[[#This Row],[Status]]="Pågår")</f>
        <v>0</v>
      </c>
      <c r="AH334" s="13"/>
      <c r="AI334" s="12"/>
      <c r="AJ334" s="12"/>
      <c r="AK334" s="12"/>
      <c r="AL334" s="12"/>
      <c r="AM334" s="12"/>
      <c r="AN334" s="12"/>
      <c r="AO334" s="12"/>
      <c r="AP334" s="12"/>
    </row>
    <row r="335" spans="1:42">
      <c r="A335" t="s">
        <v>1188</v>
      </c>
      <c r="B335" s="8"/>
      <c r="C335" s="8" t="s">
        <v>1189</v>
      </c>
      <c r="D335" s="8" t="s">
        <v>158</v>
      </c>
      <c r="E335" s="8" t="s">
        <v>167</v>
      </c>
      <c r="F335" s="8" t="s">
        <v>1190</v>
      </c>
      <c r="G335" s="8" t="s">
        <v>1190</v>
      </c>
      <c r="H335" s="9">
        <v>400000</v>
      </c>
      <c r="I335" s="9">
        <f>[1]!Tabel1[[#This Row],[Honorar]]*[1]!Tabel1[[#This Row],[Sandsynlighed]]</f>
        <v>50000</v>
      </c>
      <c r="J335" s="10" t="s">
        <v>612</v>
      </c>
      <c r="K335" s="10" t="s">
        <v>1191</v>
      </c>
      <c r="L335" s="8" t="s">
        <v>1192</v>
      </c>
      <c r="M335" s="11">
        <v>0.33</v>
      </c>
      <c r="N335" s="1"/>
      <c r="O335" s="10">
        <v>46279.61109953704</v>
      </c>
      <c r="P335" s="10"/>
      <c r="Q335" s="1" t="s">
        <v>72</v>
      </c>
      <c r="R335" s="8" t="s">
        <v>49</v>
      </c>
      <c r="S33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3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3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3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3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3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3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3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3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3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3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3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3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35" s="12">
        <f ca="1">[1]!Tabel1[[#This Row],[Vægtet Honorar]]*([1]!Tabel1[[#This Row],[Sidst redigeret]]&gt;TODAY()-40)*([1]!Tabel1[[#This Row],[Er i resplan?]]&lt;&gt;"Ja")*([1]!Tabel1[[#This Row],[Status]]="Pågår")</f>
        <v>50000</v>
      </c>
      <c r="AG335" s="12">
        <f ca="1">[1]!Tabel1[[#This Row],[Vægtet Honorar]]*([1]!Tabel1[[#This Row],[Sidst redigeret]]&gt;TODAY()-40)*([1]!Tabel1[[#This Row],[Status]]="Pågår")</f>
        <v>50000</v>
      </c>
      <c r="AH335" s="13"/>
      <c r="AI335" s="12"/>
      <c r="AJ335" s="12"/>
      <c r="AK335" s="12"/>
      <c r="AL335" s="12"/>
      <c r="AM335" s="12"/>
      <c r="AN335" s="12"/>
      <c r="AO335" s="12"/>
      <c r="AP335" s="12"/>
    </row>
    <row r="336" spans="1:42">
      <c r="A336" t="s">
        <v>1193</v>
      </c>
      <c r="B336" s="8"/>
      <c r="C336" s="8" t="s">
        <v>1194</v>
      </c>
      <c r="D336" s="8" t="s">
        <v>158</v>
      </c>
      <c r="E336" s="8" t="s">
        <v>167</v>
      </c>
      <c r="F336" s="8" t="s">
        <v>1195</v>
      </c>
      <c r="G336" s="8" t="s">
        <v>1195</v>
      </c>
      <c r="H336" s="9">
        <v>600000</v>
      </c>
      <c r="I336" s="9">
        <f>[1]!Tabel1[[#This Row],[Honorar]]*[1]!Tabel1[[#This Row],[Sandsynlighed]]</f>
        <v>3000000</v>
      </c>
      <c r="J336" s="10" t="s">
        <v>612</v>
      </c>
      <c r="K336" s="10" t="s">
        <v>1191</v>
      </c>
      <c r="L336" s="8"/>
      <c r="M336" s="11">
        <v>0.33</v>
      </c>
      <c r="N336" s="1"/>
      <c r="O336" s="10">
        <v>46279.61109953704</v>
      </c>
      <c r="P336" s="10"/>
      <c r="Q336" s="1" t="s">
        <v>72</v>
      </c>
      <c r="R336" s="8" t="s">
        <v>49</v>
      </c>
      <c r="S33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3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3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3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3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3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3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3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3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3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3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3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3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36" s="12">
        <f ca="1">[1]!Tabel1[[#This Row],[Vægtet Honorar]]*([1]!Tabel1[[#This Row],[Sidst redigeret]]&gt;TODAY()-40)*([1]!Tabel1[[#This Row],[Er i resplan?]]&lt;&gt;"Ja")*([1]!Tabel1[[#This Row],[Status]]="Pågår")</f>
        <v>0</v>
      </c>
      <c r="AG336" s="12">
        <f ca="1">[1]!Tabel1[[#This Row],[Vægtet Honorar]]*([1]!Tabel1[[#This Row],[Sidst redigeret]]&gt;TODAY()-40)*([1]!Tabel1[[#This Row],[Status]]="Pågår")</f>
        <v>0</v>
      </c>
      <c r="AH336" s="13"/>
      <c r="AI336" s="12"/>
      <c r="AJ336" s="12"/>
      <c r="AK336" s="12"/>
      <c r="AL336" s="12"/>
      <c r="AM336" s="12"/>
      <c r="AN336" s="12"/>
      <c r="AO336" s="12"/>
      <c r="AP336" s="12"/>
    </row>
    <row r="337" spans="1:42">
      <c r="A337" t="s">
        <v>1196</v>
      </c>
      <c r="B337" s="8">
        <v>231128</v>
      </c>
      <c r="C337" s="8" t="s">
        <v>1197</v>
      </c>
      <c r="D337" s="8" t="s">
        <v>119</v>
      </c>
      <c r="E337" s="8" t="s">
        <v>120</v>
      </c>
      <c r="F337" s="8" t="s">
        <v>1198</v>
      </c>
      <c r="G337" s="8" t="s">
        <v>1199</v>
      </c>
      <c r="H337" s="9">
        <v>100000</v>
      </c>
      <c r="I337" s="9">
        <f>[1]!Tabel1[[#This Row],[Honorar]]*[1]!Tabel1[[#This Row],[Sandsynlighed]]</f>
        <v>25000</v>
      </c>
      <c r="J337" s="10">
        <v>45145</v>
      </c>
      <c r="K337" s="10">
        <v>45170</v>
      </c>
      <c r="L337" s="8" t="s">
        <v>1200</v>
      </c>
      <c r="M337" s="11">
        <v>1</v>
      </c>
      <c r="N337" s="1"/>
      <c r="O337" s="10">
        <v>46279.61109953704</v>
      </c>
      <c r="P337" s="10"/>
      <c r="Q337" s="1" t="s">
        <v>46</v>
      </c>
      <c r="R337" s="8" t="s">
        <v>47</v>
      </c>
      <c r="S33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3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3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3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3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3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3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3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3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3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3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3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3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37" s="12">
        <f ca="1">[1]!Tabel1[[#This Row],[Vægtet Honorar]]*([1]!Tabel1[[#This Row],[Sidst redigeret]]&gt;TODAY()-40)*([1]!Tabel1[[#This Row],[Er i resplan?]]&lt;&gt;"Ja")*([1]!Tabel1[[#This Row],[Status]]="Pågår")</f>
        <v>0</v>
      </c>
      <c r="AG337" s="12">
        <f ca="1">[1]!Tabel1[[#This Row],[Vægtet Honorar]]*([1]!Tabel1[[#This Row],[Sidst redigeret]]&gt;TODAY()-40)*([1]!Tabel1[[#This Row],[Status]]="Pågår")</f>
        <v>0</v>
      </c>
      <c r="AH337" s="13"/>
      <c r="AI337" s="12"/>
      <c r="AJ337" s="12"/>
      <c r="AK337" s="12"/>
      <c r="AL337" s="12"/>
      <c r="AM337" s="12"/>
      <c r="AN337" s="12"/>
      <c r="AO337" s="12"/>
      <c r="AP337" s="12"/>
    </row>
    <row r="338" spans="1:42">
      <c r="A338" t="s">
        <v>1201</v>
      </c>
      <c r="B338" s="8"/>
      <c r="C338" s="8" t="s">
        <v>1202</v>
      </c>
      <c r="D338" s="8" t="s">
        <v>720</v>
      </c>
      <c r="E338" s="8" t="s">
        <v>71</v>
      </c>
      <c r="F338" s="8" t="s">
        <v>788</v>
      </c>
      <c r="G338" s="8" t="s">
        <v>1203</v>
      </c>
      <c r="H338" s="9">
        <v>1600000</v>
      </c>
      <c r="I338" s="9">
        <f>[1]!Tabel1[[#This Row],[Honorar]]*[1]!Tabel1[[#This Row],[Sandsynlighed]]</f>
        <v>50000</v>
      </c>
      <c r="J338" s="10" t="s">
        <v>1068</v>
      </c>
      <c r="K338" s="10" t="s">
        <v>612</v>
      </c>
      <c r="L338" s="8" t="s">
        <v>1167</v>
      </c>
      <c r="M338" s="11">
        <v>0.1</v>
      </c>
      <c r="N338" s="1">
        <v>2000</v>
      </c>
      <c r="O338" s="10">
        <v>46279.61109953704</v>
      </c>
      <c r="P338" s="10"/>
      <c r="Q338" s="1" t="s">
        <v>72</v>
      </c>
      <c r="R338" s="8" t="s">
        <v>75</v>
      </c>
      <c r="S33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3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3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3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3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3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3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3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3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3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3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3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3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38" s="12">
        <f ca="1">[1]!Tabel1[[#This Row],[Vægtet Honorar]]*([1]!Tabel1[[#This Row],[Sidst redigeret]]&gt;TODAY()-40)*([1]!Tabel1[[#This Row],[Er i resplan?]]&lt;&gt;"Ja")*([1]!Tabel1[[#This Row],[Status]]="Pågår")</f>
        <v>0</v>
      </c>
      <c r="AG338" s="12">
        <f ca="1">[1]!Tabel1[[#This Row],[Vægtet Honorar]]*([1]!Tabel1[[#This Row],[Sidst redigeret]]&gt;TODAY()-40)*([1]!Tabel1[[#This Row],[Status]]="Pågår")</f>
        <v>0</v>
      </c>
      <c r="AH338" s="13"/>
      <c r="AI338" s="12"/>
      <c r="AJ338" s="12" t="s">
        <v>1008</v>
      </c>
      <c r="AK338" s="12"/>
      <c r="AL338" s="12" t="s">
        <v>1204</v>
      </c>
      <c r="AM338" s="12"/>
      <c r="AN338" s="12" t="s">
        <v>1205</v>
      </c>
      <c r="AO338" s="12"/>
      <c r="AP338" s="12"/>
    </row>
    <row r="339" spans="1:42">
      <c r="A339" t="s">
        <v>1206</v>
      </c>
      <c r="B339" s="8"/>
      <c r="C339" s="8" t="s">
        <v>1207</v>
      </c>
      <c r="D339" s="8" t="s">
        <v>119</v>
      </c>
      <c r="E339" s="8" t="s">
        <v>120</v>
      </c>
      <c r="F339" s="8" t="s">
        <v>1208</v>
      </c>
      <c r="G339" s="8" t="s">
        <v>1208</v>
      </c>
      <c r="H339" s="9">
        <v>500000</v>
      </c>
      <c r="I339" s="9">
        <f>[1]!Tabel1[[#This Row],[Honorar]]*[1]!Tabel1[[#This Row],[Sandsynlighed]]</f>
        <v>0</v>
      </c>
      <c r="J339" s="10" t="s">
        <v>1068</v>
      </c>
      <c r="K339" s="10" t="s">
        <v>452</v>
      </c>
      <c r="L339" s="8" t="s">
        <v>1209</v>
      </c>
      <c r="M339" s="11">
        <v>0</v>
      </c>
      <c r="N339" s="1">
        <v>30000</v>
      </c>
      <c r="O339" s="10">
        <v>46279.61109953704</v>
      </c>
      <c r="P339" s="10"/>
      <c r="Q339" s="1" t="s">
        <v>72</v>
      </c>
      <c r="R339" s="8" t="s">
        <v>49</v>
      </c>
      <c r="S33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3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3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3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3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3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3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3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3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3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3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3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3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39" s="12">
        <f ca="1">[1]!Tabel1[[#This Row],[Vægtet Honorar]]*([1]!Tabel1[[#This Row],[Sidst redigeret]]&gt;TODAY()-40)*([1]!Tabel1[[#This Row],[Er i resplan?]]&lt;&gt;"Ja")*([1]!Tabel1[[#This Row],[Status]]="Pågår")</f>
        <v>0</v>
      </c>
      <c r="AG339" s="12">
        <f ca="1">[1]!Tabel1[[#This Row],[Vægtet Honorar]]*([1]!Tabel1[[#This Row],[Sidst redigeret]]&gt;TODAY()-40)*([1]!Tabel1[[#This Row],[Status]]="Pågår")</f>
        <v>0</v>
      </c>
      <c r="AH339" s="13"/>
      <c r="AI339" s="12"/>
      <c r="AJ339" s="12"/>
      <c r="AK339" s="12"/>
      <c r="AL339" s="12"/>
      <c r="AM339" s="12"/>
      <c r="AN339" s="12"/>
      <c r="AO339" s="12"/>
      <c r="AP339" s="12"/>
    </row>
    <row r="340" spans="1:42">
      <c r="A340" t="s">
        <v>1210</v>
      </c>
      <c r="B340" s="8"/>
      <c r="C340" s="8" t="s">
        <v>1211</v>
      </c>
      <c r="D340" s="8" t="s">
        <v>93</v>
      </c>
      <c r="E340" s="8" t="s">
        <v>94</v>
      </c>
      <c r="F340" s="8" t="s">
        <v>777</v>
      </c>
      <c r="G340" s="8" t="s">
        <v>777</v>
      </c>
      <c r="H340" s="9">
        <v>1</v>
      </c>
      <c r="I340" s="9">
        <v>1</v>
      </c>
      <c r="J340" s="10" t="s">
        <v>1068</v>
      </c>
      <c r="K340" s="10" t="s">
        <v>341</v>
      </c>
      <c r="L340" s="8" t="s">
        <v>1212</v>
      </c>
      <c r="M340" s="11">
        <v>0.05</v>
      </c>
      <c r="N340" s="1">
        <v>3000</v>
      </c>
      <c r="O340" s="10">
        <v>46279.61109953704</v>
      </c>
      <c r="P340" s="1" t="s">
        <v>72</v>
      </c>
      <c r="Q340" s="1"/>
      <c r="R340" s="8" t="s">
        <v>49</v>
      </c>
      <c r="S34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8804.8245614035095</v>
      </c>
      <c r="T34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4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4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4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4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4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4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4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4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4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4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4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40" s="12">
        <f ca="1">[1]!Tabel1[[#This Row],[Vægtet Honorar]]*([1]!Tabel1[[#This Row],[Sidst redigeret]]&gt;TODAY()-40)*([1]!Tabel1[[#This Row],[Er i resplan?]]&lt;&gt;"Ja")*([1]!Tabel1[[#This Row],[Status]]="Pågår")</f>
        <v>0</v>
      </c>
      <c r="AG340" s="12">
        <f ca="1">[1]!Tabel1[[#This Row],[Vægtet Honorar]]*([1]!Tabel1[[#This Row],[Sidst redigeret]]&gt;TODAY()-40)*([1]!Tabel1[[#This Row],[Status]]="Pågår")</f>
        <v>0</v>
      </c>
      <c r="AH340" s="13"/>
      <c r="AI340" s="12"/>
      <c r="AJ340" s="12" t="s">
        <v>1213</v>
      </c>
      <c r="AK340" s="12"/>
      <c r="AL340" s="12"/>
      <c r="AM340" s="12"/>
      <c r="AN340" s="12"/>
      <c r="AO340" s="12"/>
      <c r="AP340" s="12"/>
    </row>
    <row r="341" spans="1:42">
      <c r="A341" t="s">
        <v>1214</v>
      </c>
      <c r="B341" s="8"/>
      <c r="C341" s="8" t="s">
        <v>1215</v>
      </c>
      <c r="D341" s="8" t="s">
        <v>119</v>
      </c>
      <c r="E341" s="8" t="s">
        <v>120</v>
      </c>
      <c r="F341" s="8" t="s">
        <v>1216</v>
      </c>
      <c r="G341" s="8" t="s">
        <v>1217</v>
      </c>
      <c r="H341" s="9">
        <v>2500000</v>
      </c>
      <c r="I341" s="9">
        <f>[1]!Tabel1[[#This Row],[Honorar]]*[1]!Tabel1[[#This Row],[Sandsynlighed]]</f>
        <v>198000</v>
      </c>
      <c r="J341" s="10" t="s">
        <v>1068</v>
      </c>
      <c r="K341" s="10" t="s">
        <v>452</v>
      </c>
      <c r="L341" s="8"/>
      <c r="M341" s="11">
        <v>0</v>
      </c>
      <c r="N341" s="1">
        <v>8500</v>
      </c>
      <c r="O341" s="10">
        <v>46279.61109953704</v>
      </c>
      <c r="P341" s="10"/>
      <c r="Q341" s="1" t="s">
        <v>72</v>
      </c>
      <c r="R341" s="8" t="s">
        <v>49</v>
      </c>
      <c r="S34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13207.236842105262</v>
      </c>
      <c r="T34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4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4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4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4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4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4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4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4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4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4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4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41" s="12">
        <f ca="1">[1]!Tabel1[[#This Row],[Vægtet Honorar]]*([1]!Tabel1[[#This Row],[Sidst redigeret]]&gt;TODAY()-40)*([1]!Tabel1[[#This Row],[Er i resplan?]]&lt;&gt;"Ja")*([1]!Tabel1[[#This Row],[Status]]="Pågår")</f>
        <v>0</v>
      </c>
      <c r="AG341" s="12">
        <f ca="1">[1]!Tabel1[[#This Row],[Vægtet Honorar]]*([1]!Tabel1[[#This Row],[Sidst redigeret]]&gt;TODAY()-40)*([1]!Tabel1[[#This Row],[Status]]="Pågår")</f>
        <v>0</v>
      </c>
      <c r="AH341" s="13"/>
      <c r="AI341" s="12"/>
      <c r="AJ341" s="12"/>
      <c r="AK341" s="12"/>
      <c r="AL341" s="12"/>
      <c r="AM341" s="12"/>
      <c r="AN341" s="12" t="s">
        <v>1218</v>
      </c>
      <c r="AO341" s="12"/>
      <c r="AP341" s="12"/>
    </row>
    <row r="342" spans="1:42">
      <c r="A342" t="s">
        <v>1219</v>
      </c>
      <c r="B342" s="8"/>
      <c r="C342" s="8" t="s">
        <v>1220</v>
      </c>
      <c r="D342" s="8" t="s">
        <v>725</v>
      </c>
      <c r="E342" s="8" t="s">
        <v>120</v>
      </c>
      <c r="F342" s="8" t="s">
        <v>1221</v>
      </c>
      <c r="G342" s="8" t="s">
        <v>1221</v>
      </c>
      <c r="H342" s="9">
        <v>5000000</v>
      </c>
      <c r="I342" s="9">
        <f>[1]!Tabel1[[#This Row],[Honorar]]*[1]!Tabel1[[#This Row],[Sandsynlighed]]</f>
        <v>100000</v>
      </c>
      <c r="J342" s="10" t="s">
        <v>452</v>
      </c>
      <c r="K342" s="10" t="s">
        <v>585</v>
      </c>
      <c r="L342" s="8" t="s">
        <v>1222</v>
      </c>
      <c r="M342" s="11">
        <v>0.1</v>
      </c>
      <c r="N342" s="1">
        <v>100000</v>
      </c>
      <c r="O342" s="10">
        <v>46279.61109953704</v>
      </c>
      <c r="P342" s="10"/>
      <c r="Q342" s="1" t="s">
        <v>46</v>
      </c>
      <c r="R342" s="8" t="s">
        <v>49</v>
      </c>
      <c r="S34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4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4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4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4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4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4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4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4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4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4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4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4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42" s="12">
        <f ca="1">[1]!Tabel1[[#This Row],[Vægtet Honorar]]*([1]!Tabel1[[#This Row],[Sidst redigeret]]&gt;TODAY()-40)*([1]!Tabel1[[#This Row],[Er i resplan?]]&lt;&gt;"Ja")*([1]!Tabel1[[#This Row],[Status]]="Pågår")</f>
        <v>0</v>
      </c>
      <c r="AG342" s="12">
        <f ca="1">[1]!Tabel1[[#This Row],[Vægtet Honorar]]*([1]!Tabel1[[#This Row],[Sidst redigeret]]&gt;TODAY()-40)*([1]!Tabel1[[#This Row],[Status]]="Pågår")</f>
        <v>0</v>
      </c>
      <c r="AH342" s="13"/>
      <c r="AI342" s="12"/>
      <c r="AJ342" s="12"/>
      <c r="AK342" s="12"/>
      <c r="AL342" s="12"/>
      <c r="AM342" s="12"/>
      <c r="AN342" s="12"/>
      <c r="AO342" s="12"/>
      <c r="AP342" s="12"/>
    </row>
    <row r="343" spans="1:42">
      <c r="A343" t="s">
        <v>1223</v>
      </c>
      <c r="B343" s="8"/>
      <c r="C343" s="8" t="s">
        <v>1224</v>
      </c>
      <c r="D343" s="8" t="s">
        <v>720</v>
      </c>
      <c r="E343" s="8" t="s">
        <v>71</v>
      </c>
      <c r="F343" s="8" t="s">
        <v>1225</v>
      </c>
      <c r="G343" s="8" t="s">
        <v>1179</v>
      </c>
      <c r="H343" s="9">
        <v>1400000</v>
      </c>
      <c r="I343" s="9">
        <f>[1]!Tabel1[[#This Row],[Honorar]]*[1]!Tabel1[[#This Row],[Sandsynlighed]]</f>
        <v>160000</v>
      </c>
      <c r="J343" s="10" t="s">
        <v>1174</v>
      </c>
      <c r="K343" s="10" t="s">
        <v>452</v>
      </c>
      <c r="L343" s="8" t="s">
        <v>1226</v>
      </c>
      <c r="M343" s="11">
        <v>1</v>
      </c>
      <c r="N343" s="1">
        <v>5500</v>
      </c>
      <c r="O343" s="10">
        <v>46279.61109953704</v>
      </c>
      <c r="P343" s="10"/>
      <c r="Q343" s="1" t="s">
        <v>46</v>
      </c>
      <c r="R343" s="8" t="s">
        <v>47</v>
      </c>
      <c r="S34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4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4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4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4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4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4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4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4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4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4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4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4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43" s="12">
        <f ca="1">[1]!Tabel1[[#This Row],[Vægtet Honorar]]*([1]!Tabel1[[#This Row],[Sidst redigeret]]&gt;TODAY()-40)*([1]!Tabel1[[#This Row],[Er i resplan?]]&lt;&gt;"Ja")*([1]!Tabel1[[#This Row],[Status]]="Pågår")</f>
        <v>0</v>
      </c>
      <c r="AG343" s="12">
        <f ca="1">[1]!Tabel1[[#This Row],[Vægtet Honorar]]*([1]!Tabel1[[#This Row],[Sidst redigeret]]&gt;TODAY()-40)*([1]!Tabel1[[#This Row],[Status]]="Pågår")</f>
        <v>0</v>
      </c>
      <c r="AH343" s="13"/>
      <c r="AI343" s="12"/>
      <c r="AJ343" s="12"/>
      <c r="AK343" s="12"/>
      <c r="AL343" s="12"/>
      <c r="AM343" s="12"/>
      <c r="AN343" s="12"/>
      <c r="AO343" s="12"/>
      <c r="AP343" s="12"/>
    </row>
    <row r="344" spans="1:42">
      <c r="A344" t="s">
        <v>1227</v>
      </c>
      <c r="B344" s="8"/>
      <c r="C344" s="8" t="s">
        <v>1228</v>
      </c>
      <c r="D344" s="8" t="s">
        <v>720</v>
      </c>
      <c r="E344" s="8" t="s">
        <v>71</v>
      </c>
      <c r="F344" s="8" t="s">
        <v>1228</v>
      </c>
      <c r="G344" s="8" t="s">
        <v>1170</v>
      </c>
      <c r="H344" s="9">
        <v>1750000</v>
      </c>
      <c r="I344" s="9">
        <f>[1]!Tabel1[[#This Row],[Honorar]]*[1]!Tabel1[[#This Row],[Sandsynlighed]]</f>
        <v>0</v>
      </c>
      <c r="J344" s="10" t="s">
        <v>1174</v>
      </c>
      <c r="K344" s="10" t="s">
        <v>452</v>
      </c>
      <c r="L344" s="8"/>
      <c r="M344" s="11">
        <v>0.01</v>
      </c>
      <c r="N344" s="1">
        <v>3500</v>
      </c>
      <c r="O344" s="10">
        <v>46279.61109953704</v>
      </c>
      <c r="P344" s="10"/>
      <c r="Q344" s="1" t="s">
        <v>46</v>
      </c>
      <c r="R344" s="8" t="s">
        <v>75</v>
      </c>
      <c r="S34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4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4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4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4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4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4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4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4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4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4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4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4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44" s="12">
        <f ca="1">[1]!Tabel1[[#This Row],[Vægtet Honorar]]*([1]!Tabel1[[#This Row],[Sidst redigeret]]&gt;TODAY()-40)*([1]!Tabel1[[#This Row],[Er i resplan?]]&lt;&gt;"Ja")*([1]!Tabel1[[#This Row],[Status]]="Pågår")</f>
        <v>0</v>
      </c>
      <c r="AG344" s="12">
        <f ca="1">[1]!Tabel1[[#This Row],[Vægtet Honorar]]*([1]!Tabel1[[#This Row],[Sidst redigeret]]&gt;TODAY()-40)*([1]!Tabel1[[#This Row],[Status]]="Pågår")</f>
        <v>0</v>
      </c>
      <c r="AH344" s="13"/>
      <c r="AI344" s="12"/>
      <c r="AJ344" s="12"/>
      <c r="AK344" s="12"/>
      <c r="AL344" s="12"/>
      <c r="AM344" s="12"/>
      <c r="AN344" s="12"/>
      <c r="AO344" s="12"/>
      <c r="AP344" s="12"/>
    </row>
    <row r="345" spans="1:42">
      <c r="A345" t="s">
        <v>1229</v>
      </c>
      <c r="B345" s="8">
        <v>231141</v>
      </c>
      <c r="C345" s="8" t="s">
        <v>1230</v>
      </c>
      <c r="D345" s="8" t="s">
        <v>119</v>
      </c>
      <c r="E345" s="8" t="s">
        <v>120</v>
      </c>
      <c r="F345" s="8" t="s">
        <v>1231</v>
      </c>
      <c r="G345" s="8" t="s">
        <v>1232</v>
      </c>
      <c r="H345" s="9">
        <v>35000</v>
      </c>
      <c r="I345" s="9">
        <f>[1]!Tabel1[[#This Row],[Honorar]]*[1]!Tabel1[[#This Row],[Sandsynlighed]]</f>
        <v>0.05</v>
      </c>
      <c r="J345" s="10">
        <v>45108</v>
      </c>
      <c r="K345" s="10" t="s">
        <v>452</v>
      </c>
      <c r="L345" s="8" t="s">
        <v>1147</v>
      </c>
      <c r="M345" s="11">
        <v>1</v>
      </c>
      <c r="N345" s="1"/>
      <c r="O345" s="10">
        <v>46279.61109953704</v>
      </c>
      <c r="P345" s="10"/>
      <c r="Q345" s="1" t="s">
        <v>46</v>
      </c>
      <c r="R345" s="8" t="s">
        <v>47</v>
      </c>
      <c r="S34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3.0295484727755645E-2</v>
      </c>
      <c r="T34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4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4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4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4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4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4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4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4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4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4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4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45" s="12">
        <f ca="1">[1]!Tabel1[[#This Row],[Vægtet Honorar]]*([1]!Tabel1[[#This Row],[Sidst redigeret]]&gt;TODAY()-40)*([1]!Tabel1[[#This Row],[Er i resplan?]]&lt;&gt;"Ja")*([1]!Tabel1[[#This Row],[Status]]="Pågår")</f>
        <v>0</v>
      </c>
      <c r="AG345" s="12">
        <f ca="1">[1]!Tabel1[[#This Row],[Vægtet Honorar]]*([1]!Tabel1[[#This Row],[Sidst redigeret]]&gt;TODAY()-40)*([1]!Tabel1[[#This Row],[Status]]="Pågår")</f>
        <v>0</v>
      </c>
      <c r="AH345" s="13"/>
      <c r="AI345" s="12"/>
      <c r="AJ345" s="12"/>
      <c r="AK345" s="12"/>
      <c r="AL345" s="12"/>
      <c r="AM345" s="12"/>
      <c r="AN345" s="12"/>
      <c r="AO345" s="12"/>
      <c r="AP345" s="12"/>
    </row>
    <row r="346" spans="1:42">
      <c r="A346" t="s">
        <v>1233</v>
      </c>
      <c r="B346" s="8"/>
      <c r="C346" s="8" t="s">
        <v>1234</v>
      </c>
      <c r="D346" s="8" t="s">
        <v>70</v>
      </c>
      <c r="E346" s="8" t="s">
        <v>102</v>
      </c>
      <c r="F346" s="8" t="s">
        <v>1235</v>
      </c>
      <c r="G346" s="8" t="s">
        <v>1235</v>
      </c>
      <c r="H346" s="9">
        <v>3750000</v>
      </c>
      <c r="I346" s="9">
        <f>[1]!Tabel1[[#This Row],[Honorar]]*[1]!Tabel1[[#This Row],[Sandsynlighed]]</f>
        <v>0</v>
      </c>
      <c r="J346" s="10" t="s">
        <v>1068</v>
      </c>
      <c r="K346" s="10" t="s">
        <v>329</v>
      </c>
      <c r="L346" s="8" t="s">
        <v>1236</v>
      </c>
      <c r="M346" s="11">
        <v>0.25</v>
      </c>
      <c r="N346" s="1">
        <v>1600</v>
      </c>
      <c r="O346" s="10">
        <v>46279.61109953704</v>
      </c>
      <c r="P346" s="10"/>
      <c r="Q346" s="1" t="s">
        <v>46</v>
      </c>
      <c r="R346" s="8" t="s">
        <v>75</v>
      </c>
      <c r="S34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4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4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4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4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4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4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4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4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4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4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4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4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46" s="12">
        <f ca="1">[1]!Tabel1[[#This Row],[Vægtet Honorar]]*([1]!Tabel1[[#This Row],[Sidst redigeret]]&gt;TODAY()-40)*([1]!Tabel1[[#This Row],[Er i resplan?]]&lt;&gt;"Ja")*([1]!Tabel1[[#This Row],[Status]]="Pågår")</f>
        <v>0</v>
      </c>
      <c r="AG346" s="12">
        <f ca="1">[1]!Tabel1[[#This Row],[Vægtet Honorar]]*([1]!Tabel1[[#This Row],[Sidst redigeret]]&gt;TODAY()-40)*([1]!Tabel1[[#This Row],[Status]]="Pågår")</f>
        <v>0</v>
      </c>
      <c r="AH346" s="13"/>
      <c r="AI346" s="12"/>
      <c r="AJ346" s="12"/>
      <c r="AK346" s="12"/>
      <c r="AL346" s="12"/>
      <c r="AM346" s="12"/>
      <c r="AN346" s="12" t="s">
        <v>1237</v>
      </c>
      <c r="AO346" s="12"/>
      <c r="AP346" s="12"/>
    </row>
    <row r="347" spans="1:42">
      <c r="A347" t="s">
        <v>1238</v>
      </c>
      <c r="B347" s="8"/>
      <c r="C347" s="8" t="s">
        <v>1239</v>
      </c>
      <c r="D347" s="8" t="s">
        <v>158</v>
      </c>
      <c r="E347" s="8" t="s">
        <v>167</v>
      </c>
      <c r="F347" s="8" t="s">
        <v>1240</v>
      </c>
      <c r="G347" s="8" t="s">
        <v>1240</v>
      </c>
      <c r="H347" s="9">
        <v>700000</v>
      </c>
      <c r="I347" s="9">
        <f>[1]!Tabel1[[#This Row],[Honorar]]*[1]!Tabel1[[#This Row],[Sandsynlighed]]</f>
        <v>500000</v>
      </c>
      <c r="J347" s="10" t="s">
        <v>1174</v>
      </c>
      <c r="K347" s="10" t="s">
        <v>612</v>
      </c>
      <c r="L347" s="8" t="s">
        <v>577</v>
      </c>
      <c r="M347" s="11">
        <v>0.33</v>
      </c>
      <c r="N347" s="1">
        <v>0</v>
      </c>
      <c r="O347" s="10">
        <v>46279.61109953704</v>
      </c>
      <c r="P347" s="10"/>
      <c r="Q347" s="1" t="s">
        <v>72</v>
      </c>
      <c r="R347" s="8" t="s">
        <v>75</v>
      </c>
      <c r="S34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4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4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4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4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4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4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4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4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4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4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4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4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47" s="12">
        <f ca="1">[1]!Tabel1[[#This Row],[Vægtet Honorar]]*([1]!Tabel1[[#This Row],[Sidst redigeret]]&gt;TODAY()-40)*([1]!Tabel1[[#This Row],[Er i resplan?]]&lt;&gt;"Ja")*([1]!Tabel1[[#This Row],[Status]]="Pågår")</f>
        <v>0</v>
      </c>
      <c r="AG347" s="12">
        <f ca="1">[1]!Tabel1[[#This Row],[Vægtet Honorar]]*([1]!Tabel1[[#This Row],[Sidst redigeret]]&gt;TODAY()-40)*([1]!Tabel1[[#This Row],[Status]]="Pågår")</f>
        <v>0</v>
      </c>
      <c r="AH347" s="13"/>
      <c r="AI347" s="12"/>
      <c r="AJ347" s="12"/>
      <c r="AK347" s="12"/>
      <c r="AL347" s="12"/>
      <c r="AM347" s="12"/>
      <c r="AN347" s="12"/>
      <c r="AO347" s="12"/>
      <c r="AP347" s="12"/>
    </row>
    <row r="348" spans="1:42">
      <c r="A348" t="s">
        <v>1241</v>
      </c>
      <c r="B348" s="8"/>
      <c r="C348" s="8" t="s">
        <v>1242</v>
      </c>
      <c r="D348" s="8" t="s">
        <v>158</v>
      </c>
      <c r="E348" s="8" t="s">
        <v>167</v>
      </c>
      <c r="F348" s="8" t="s">
        <v>1243</v>
      </c>
      <c r="G348" s="8" t="s">
        <v>1243</v>
      </c>
      <c r="H348" s="9">
        <v>100000</v>
      </c>
      <c r="I348" s="9">
        <f>[1]!Tabel1[[#This Row],[Honorar]]*[1]!Tabel1[[#This Row],[Sandsynlighed]]</f>
        <v>1400000</v>
      </c>
      <c r="J348" s="10" t="s">
        <v>1174</v>
      </c>
      <c r="K348" s="10" t="s">
        <v>1068</v>
      </c>
      <c r="L348" s="8" t="s">
        <v>1244</v>
      </c>
      <c r="M348" s="11">
        <v>0.5</v>
      </c>
      <c r="N348" s="1">
        <v>0</v>
      </c>
      <c r="O348" s="10">
        <v>46279.61109953704</v>
      </c>
      <c r="P348" s="10"/>
      <c r="Q348" s="1" t="s">
        <v>46</v>
      </c>
      <c r="R348" s="8" t="s">
        <v>47</v>
      </c>
      <c r="S34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4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4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4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4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4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4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4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4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4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4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4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4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48" s="12">
        <f ca="1">[1]!Tabel1[[#This Row],[Vægtet Honorar]]*([1]!Tabel1[[#This Row],[Sidst redigeret]]&gt;TODAY()-40)*([1]!Tabel1[[#This Row],[Er i resplan?]]&lt;&gt;"Ja")*([1]!Tabel1[[#This Row],[Status]]="Pågår")</f>
        <v>0</v>
      </c>
      <c r="AG348" s="12">
        <f ca="1">[1]!Tabel1[[#This Row],[Vægtet Honorar]]*([1]!Tabel1[[#This Row],[Sidst redigeret]]&gt;TODAY()-40)*([1]!Tabel1[[#This Row],[Status]]="Pågår")</f>
        <v>0</v>
      </c>
      <c r="AH348" s="13"/>
      <c r="AI348" s="12"/>
      <c r="AJ348" s="12"/>
      <c r="AK348" s="12"/>
      <c r="AL348" s="12"/>
      <c r="AM348" s="12"/>
      <c r="AN348" s="12"/>
      <c r="AO348" s="12"/>
      <c r="AP348" s="12"/>
    </row>
    <row r="349" spans="1:42">
      <c r="A349" t="s">
        <v>1245</v>
      </c>
      <c r="B349" s="8"/>
      <c r="C349" s="8" t="s">
        <v>1246</v>
      </c>
      <c r="D349" s="8" t="s">
        <v>158</v>
      </c>
      <c r="E349" s="8" t="s">
        <v>167</v>
      </c>
      <c r="F349" s="8" t="s">
        <v>1247</v>
      </c>
      <c r="G349" s="8" t="s">
        <v>1247</v>
      </c>
      <c r="H349" s="9">
        <v>100000</v>
      </c>
      <c r="I349" s="9">
        <f>[1]!Tabel1[[#This Row],[Honorar]]*[1]!Tabel1[[#This Row],[Sandsynlighed]]</f>
        <v>17500</v>
      </c>
      <c r="J349" s="10" t="s">
        <v>1174</v>
      </c>
      <c r="K349" s="10" t="s">
        <v>1068</v>
      </c>
      <c r="L349" s="8" t="s">
        <v>1244</v>
      </c>
      <c r="M349" s="11">
        <v>0</v>
      </c>
      <c r="N349" s="1">
        <v>0</v>
      </c>
      <c r="O349" s="10">
        <v>46279.61109953704</v>
      </c>
      <c r="P349" s="10"/>
      <c r="Q349" s="1" t="s">
        <v>46</v>
      </c>
      <c r="R349" s="8" t="s">
        <v>49</v>
      </c>
      <c r="S34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4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4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4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4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4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4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4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4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4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4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4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4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49" s="12">
        <f ca="1">[1]!Tabel1[[#This Row],[Vægtet Honorar]]*([1]!Tabel1[[#This Row],[Sidst redigeret]]&gt;TODAY()-40)*([1]!Tabel1[[#This Row],[Er i resplan?]]&lt;&gt;"Ja")*([1]!Tabel1[[#This Row],[Status]]="Pågår")</f>
        <v>0</v>
      </c>
      <c r="AG349" s="12">
        <f ca="1">[1]!Tabel1[[#This Row],[Vægtet Honorar]]*([1]!Tabel1[[#This Row],[Sidst redigeret]]&gt;TODAY()-40)*([1]!Tabel1[[#This Row],[Status]]="Pågår")</f>
        <v>0</v>
      </c>
      <c r="AH349" s="13"/>
      <c r="AI349" s="12"/>
      <c r="AJ349" s="12"/>
      <c r="AK349" s="12"/>
      <c r="AL349" s="12"/>
      <c r="AM349" s="12"/>
      <c r="AN349" s="12"/>
      <c r="AO349" s="12"/>
      <c r="AP349" s="12"/>
    </row>
    <row r="350" spans="1:42">
      <c r="A350" t="s">
        <v>1248</v>
      </c>
      <c r="B350" s="8"/>
      <c r="C350" s="8" t="s">
        <v>1249</v>
      </c>
      <c r="D350" s="8" t="s">
        <v>158</v>
      </c>
      <c r="E350" s="8" t="s">
        <v>167</v>
      </c>
      <c r="F350" s="8" t="s">
        <v>1247</v>
      </c>
      <c r="G350" s="8" t="s">
        <v>1247</v>
      </c>
      <c r="H350" s="9">
        <v>50000</v>
      </c>
      <c r="I350" s="9">
        <f>[1]!Tabel1[[#This Row],[Honorar]]*[1]!Tabel1[[#This Row],[Sandsynlighed]]</f>
        <v>35000</v>
      </c>
      <c r="J350" s="10" t="s">
        <v>1174</v>
      </c>
      <c r="K350" s="10" t="s">
        <v>1068</v>
      </c>
      <c r="L350" s="8" t="s">
        <v>1244</v>
      </c>
      <c r="M350" s="11">
        <v>0.5</v>
      </c>
      <c r="N350" s="1">
        <v>0</v>
      </c>
      <c r="O350" s="10">
        <v>46279.61109953704</v>
      </c>
      <c r="P350" s="10"/>
      <c r="Q350" s="1" t="s">
        <v>72</v>
      </c>
      <c r="R350" s="8" t="s">
        <v>47</v>
      </c>
      <c r="S35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5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5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5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5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5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5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5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5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5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5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5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5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50" s="12">
        <f ca="1">[1]!Tabel1[[#This Row],[Vægtet Honorar]]*([1]!Tabel1[[#This Row],[Sidst redigeret]]&gt;TODAY()-40)*([1]!Tabel1[[#This Row],[Er i resplan?]]&lt;&gt;"Ja")*([1]!Tabel1[[#This Row],[Status]]="Pågår")</f>
        <v>0</v>
      </c>
      <c r="AG350" s="12">
        <f ca="1">[1]!Tabel1[[#This Row],[Vægtet Honorar]]*([1]!Tabel1[[#This Row],[Sidst redigeret]]&gt;TODAY()-40)*([1]!Tabel1[[#This Row],[Status]]="Pågår")</f>
        <v>0</v>
      </c>
      <c r="AH350" s="13"/>
      <c r="AI350" s="12"/>
      <c r="AJ350" s="12"/>
      <c r="AK350" s="12"/>
      <c r="AL350" s="12"/>
      <c r="AM350" s="12"/>
      <c r="AN350" s="12"/>
      <c r="AO350" s="12"/>
      <c r="AP350" s="12"/>
    </row>
    <row r="351" spans="1:42">
      <c r="A351" t="s">
        <v>1250</v>
      </c>
      <c r="B351" s="8"/>
      <c r="C351" s="8" t="s">
        <v>1251</v>
      </c>
      <c r="D351" s="8" t="s">
        <v>264</v>
      </c>
      <c r="E351" s="8" t="s">
        <v>94</v>
      </c>
      <c r="F351" s="8" t="s">
        <v>851</v>
      </c>
      <c r="G351" s="8" t="s">
        <v>851</v>
      </c>
      <c r="H351" s="9">
        <v>500000</v>
      </c>
      <c r="I351" s="9">
        <f>[1]!Tabel1[[#This Row],[Honorar]]*[1]!Tabel1[[#This Row],[Sandsynlighed]]</f>
        <v>937500</v>
      </c>
      <c r="J351" s="10" t="s">
        <v>1068</v>
      </c>
      <c r="K351" s="10" t="s">
        <v>612</v>
      </c>
      <c r="L351" s="8" t="s">
        <v>1244</v>
      </c>
      <c r="M351" s="11">
        <v>1</v>
      </c>
      <c r="N351" s="1">
        <v>700</v>
      </c>
      <c r="O351" s="10">
        <v>46279.61109953704</v>
      </c>
      <c r="P351" s="1" t="s">
        <v>72</v>
      </c>
      <c r="Q351" s="1" t="s">
        <v>46</v>
      </c>
      <c r="R351" s="8" t="s">
        <v>47</v>
      </c>
      <c r="S35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5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5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5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5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5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5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5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5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5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5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5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5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51" s="12">
        <f ca="1">[1]!Tabel1[[#This Row],[Vægtet Honorar]]*([1]!Tabel1[[#This Row],[Sidst redigeret]]&gt;TODAY()-40)*([1]!Tabel1[[#This Row],[Er i resplan?]]&lt;&gt;"Ja")*([1]!Tabel1[[#This Row],[Status]]="Pågår")</f>
        <v>0</v>
      </c>
      <c r="AG351" s="12">
        <f ca="1">[1]!Tabel1[[#This Row],[Vægtet Honorar]]*([1]!Tabel1[[#This Row],[Sidst redigeret]]&gt;TODAY()-40)*([1]!Tabel1[[#This Row],[Status]]="Pågår")</f>
        <v>0</v>
      </c>
      <c r="AH351" s="13"/>
      <c r="AI351" s="12"/>
      <c r="AJ351" s="12"/>
      <c r="AK351" s="12"/>
      <c r="AL351" s="12"/>
      <c r="AM351" s="12"/>
      <c r="AN351" s="12"/>
      <c r="AO351" s="12"/>
      <c r="AP351" s="12"/>
    </row>
    <row r="352" spans="1:42">
      <c r="A352" t="s">
        <v>1252</v>
      </c>
      <c r="B352" s="8"/>
      <c r="C352" s="8" t="s">
        <v>1253</v>
      </c>
      <c r="D352" s="8" t="s">
        <v>57</v>
      </c>
      <c r="E352" s="8" t="s">
        <v>167</v>
      </c>
      <c r="F352" s="8" t="s">
        <v>1131</v>
      </c>
      <c r="G352" s="8" t="s">
        <v>1131</v>
      </c>
      <c r="H352" s="9">
        <v>50000</v>
      </c>
      <c r="I352" s="9">
        <f>[1]!Tabel1[[#This Row],[Honorar]]*[1]!Tabel1[[#This Row],[Sandsynlighed]]</f>
        <v>231000</v>
      </c>
      <c r="J352" s="10" t="s">
        <v>1068</v>
      </c>
      <c r="K352" s="10" t="s">
        <v>612</v>
      </c>
      <c r="L352" s="8" t="s">
        <v>1244</v>
      </c>
      <c r="M352" s="11">
        <v>0.5</v>
      </c>
      <c r="N352" s="1">
        <v>150</v>
      </c>
      <c r="O352" s="10">
        <v>46279.61109953704</v>
      </c>
      <c r="P352" s="10"/>
      <c r="Q352" s="1"/>
      <c r="R352" s="8" t="s">
        <v>49</v>
      </c>
      <c r="S35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5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5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5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5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5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5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5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5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5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5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5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5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52" s="12">
        <f ca="1">[1]!Tabel1[[#This Row],[Vægtet Honorar]]*([1]!Tabel1[[#This Row],[Sidst redigeret]]&gt;TODAY()-40)*([1]!Tabel1[[#This Row],[Er i resplan?]]&lt;&gt;"Ja")*([1]!Tabel1[[#This Row],[Status]]="Pågår")</f>
        <v>0</v>
      </c>
      <c r="AG352" s="12">
        <f ca="1">[1]!Tabel1[[#This Row],[Vægtet Honorar]]*([1]!Tabel1[[#This Row],[Sidst redigeret]]&gt;TODAY()-40)*([1]!Tabel1[[#This Row],[Status]]="Pågår")</f>
        <v>0</v>
      </c>
      <c r="AH352" s="13"/>
      <c r="AI352" s="12"/>
      <c r="AJ352" s="12"/>
      <c r="AK352" s="12"/>
      <c r="AL352" s="12"/>
      <c r="AM352" s="12"/>
      <c r="AN352" s="12"/>
      <c r="AO352" s="12"/>
      <c r="AP352" s="12"/>
    </row>
    <row r="353" spans="1:42">
      <c r="A353" t="s">
        <v>1254</v>
      </c>
      <c r="B353" s="8"/>
      <c r="C353" s="8" t="s">
        <v>1255</v>
      </c>
      <c r="D353" s="8" t="s">
        <v>158</v>
      </c>
      <c r="E353" s="8" t="s">
        <v>167</v>
      </c>
      <c r="F353" s="8" t="s">
        <v>1256</v>
      </c>
      <c r="G353" s="8" t="s">
        <v>1256</v>
      </c>
      <c r="H353" s="9">
        <v>150000</v>
      </c>
      <c r="I353" s="9">
        <f>[1]!Tabel1[[#This Row],[Honorar]]*[1]!Tabel1[[#This Row],[Sandsynlighed]]</f>
        <v>50000</v>
      </c>
      <c r="J353" s="10" t="s">
        <v>1257</v>
      </c>
      <c r="K353" s="10" t="s">
        <v>612</v>
      </c>
      <c r="L353" s="8" t="s">
        <v>1244</v>
      </c>
      <c r="M353" s="11">
        <v>1</v>
      </c>
      <c r="N353" s="1"/>
      <c r="O353" s="10">
        <v>46279.61109953704</v>
      </c>
      <c r="P353" s="10"/>
      <c r="Q353" s="1" t="s">
        <v>46</v>
      </c>
      <c r="R353" s="8" t="s">
        <v>47</v>
      </c>
      <c r="S35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5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5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5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5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5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5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5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5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5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5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5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5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53" s="12">
        <f ca="1">[1]!Tabel1[[#This Row],[Vægtet Honorar]]*([1]!Tabel1[[#This Row],[Sidst redigeret]]&gt;TODAY()-40)*([1]!Tabel1[[#This Row],[Er i resplan?]]&lt;&gt;"Ja")*([1]!Tabel1[[#This Row],[Status]]="Pågår")</f>
        <v>0</v>
      </c>
      <c r="AG353" s="12">
        <f ca="1">[1]!Tabel1[[#This Row],[Vægtet Honorar]]*([1]!Tabel1[[#This Row],[Sidst redigeret]]&gt;TODAY()-40)*([1]!Tabel1[[#This Row],[Status]]="Pågår")</f>
        <v>0</v>
      </c>
      <c r="AH353" s="13"/>
      <c r="AI353" s="12"/>
      <c r="AJ353" s="12"/>
      <c r="AK353" s="12"/>
      <c r="AL353" s="12"/>
      <c r="AM353" s="12"/>
      <c r="AN353" s="12"/>
      <c r="AO353" s="12"/>
      <c r="AP353" s="12"/>
    </row>
    <row r="354" spans="1:42">
      <c r="A354" t="s">
        <v>1258</v>
      </c>
      <c r="B354" s="8"/>
      <c r="C354" s="8" t="s">
        <v>1259</v>
      </c>
      <c r="D354" s="8" t="s">
        <v>57</v>
      </c>
      <c r="E354" s="8" t="s">
        <v>167</v>
      </c>
      <c r="F354" s="8" t="s">
        <v>1260</v>
      </c>
      <c r="G354" s="8" t="s">
        <v>1260</v>
      </c>
      <c r="H354" s="9">
        <v>150000</v>
      </c>
      <c r="I354" s="9">
        <f>[1]!Tabel1[[#This Row],[Honorar]]*[1]!Tabel1[[#This Row],[Sandsynlighed]]</f>
        <v>0</v>
      </c>
      <c r="J354" s="10" t="s">
        <v>1068</v>
      </c>
      <c r="K354" s="10" t="s">
        <v>622</v>
      </c>
      <c r="L354" s="8" t="s">
        <v>1244</v>
      </c>
      <c r="M354" s="11">
        <v>0.8</v>
      </c>
      <c r="N354" s="1"/>
      <c r="O354" s="10">
        <v>46279.61109953704</v>
      </c>
      <c r="P354" s="10"/>
      <c r="Q354" s="1"/>
      <c r="R354" s="8" t="s">
        <v>47</v>
      </c>
      <c r="S35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5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5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5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5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5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5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5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5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5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5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5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5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54" s="12">
        <f ca="1">[1]!Tabel1[[#This Row],[Vægtet Honorar]]*([1]!Tabel1[[#This Row],[Sidst redigeret]]&gt;TODAY()-40)*([1]!Tabel1[[#This Row],[Er i resplan?]]&lt;&gt;"Ja")*([1]!Tabel1[[#This Row],[Status]]="Pågår")</f>
        <v>0</v>
      </c>
      <c r="AG354" s="12">
        <f ca="1">[1]!Tabel1[[#This Row],[Vægtet Honorar]]*([1]!Tabel1[[#This Row],[Sidst redigeret]]&gt;TODAY()-40)*([1]!Tabel1[[#This Row],[Status]]="Pågår")</f>
        <v>0</v>
      </c>
      <c r="AH354" s="13"/>
      <c r="AI354" s="12"/>
      <c r="AJ354" s="12"/>
      <c r="AK354" s="12"/>
      <c r="AL354" s="12"/>
      <c r="AM354" s="12"/>
      <c r="AN354" s="12"/>
      <c r="AO354" s="12"/>
      <c r="AP354" s="12"/>
    </row>
    <row r="355" spans="1:42">
      <c r="A355" t="s">
        <v>1261</v>
      </c>
      <c r="B355" s="8"/>
      <c r="C355" s="8" t="s">
        <v>1262</v>
      </c>
      <c r="D355" s="8" t="s">
        <v>57</v>
      </c>
      <c r="E355" s="8" t="s">
        <v>94</v>
      </c>
      <c r="F355" s="8" t="s">
        <v>1263</v>
      </c>
      <c r="G355" s="8" t="s">
        <v>1263</v>
      </c>
      <c r="H355" s="9">
        <v>3800000</v>
      </c>
      <c r="I355" s="9">
        <f>[1]!Tabel1[[#This Row],[Honorar]]*[1]!Tabel1[[#This Row],[Sandsynlighed]]</f>
        <v>25000</v>
      </c>
      <c r="J355" s="10" t="s">
        <v>1068</v>
      </c>
      <c r="K355" s="10" t="s">
        <v>1061</v>
      </c>
      <c r="L355" s="8" t="s">
        <v>1264</v>
      </c>
      <c r="M355" s="11">
        <v>0.2</v>
      </c>
      <c r="N355" s="1">
        <v>20000</v>
      </c>
      <c r="O355" s="10">
        <v>46279.61109953704</v>
      </c>
      <c r="P355" s="1" t="s">
        <v>72</v>
      </c>
      <c r="Q355" s="1"/>
      <c r="R355" s="8" t="s">
        <v>47</v>
      </c>
      <c r="S35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4178.1135531135533</v>
      </c>
      <c r="T35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5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5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5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5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5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5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5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5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5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5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5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55" s="12">
        <f ca="1">[1]!Tabel1[[#This Row],[Vægtet Honorar]]*([1]!Tabel1[[#This Row],[Sidst redigeret]]&gt;TODAY()-40)*([1]!Tabel1[[#This Row],[Er i resplan?]]&lt;&gt;"Ja")*([1]!Tabel1[[#This Row],[Status]]="Pågår")</f>
        <v>0</v>
      </c>
      <c r="AG355" s="12">
        <f ca="1">[1]!Tabel1[[#This Row],[Vægtet Honorar]]*([1]!Tabel1[[#This Row],[Sidst redigeret]]&gt;TODAY()-40)*([1]!Tabel1[[#This Row],[Status]]="Pågår")</f>
        <v>0</v>
      </c>
      <c r="AH355" s="13"/>
      <c r="AI355" s="12"/>
      <c r="AJ355" s="12"/>
      <c r="AK355" s="12"/>
      <c r="AL355" s="12"/>
      <c r="AM355" s="12"/>
      <c r="AN355" s="12" t="s">
        <v>1265</v>
      </c>
      <c r="AO355" s="12"/>
      <c r="AP355" s="12"/>
    </row>
    <row r="356" spans="1:42">
      <c r="A356" t="s">
        <v>1266</v>
      </c>
      <c r="B356" s="8"/>
      <c r="C356" s="8" t="s">
        <v>1267</v>
      </c>
      <c r="D356" s="8" t="s">
        <v>44</v>
      </c>
      <c r="E356" s="8" t="s">
        <v>71</v>
      </c>
      <c r="F356" s="8" t="s">
        <v>1152</v>
      </c>
      <c r="G356" s="8" t="s">
        <v>1268</v>
      </c>
      <c r="H356" s="9">
        <v>1600000</v>
      </c>
      <c r="I356" s="9">
        <f>[1]!Tabel1[[#This Row],[Honorar]]*[1]!Tabel1[[#This Row],[Sandsynlighed]]</f>
        <v>500000</v>
      </c>
      <c r="J356" s="10" t="s">
        <v>1174</v>
      </c>
      <c r="K356" s="10" t="s">
        <v>328</v>
      </c>
      <c r="L356" s="8" t="s">
        <v>1269</v>
      </c>
      <c r="M356" s="11">
        <v>0.01</v>
      </c>
      <c r="N356" s="1" t="s">
        <v>516</v>
      </c>
      <c r="O356" s="10">
        <v>46279.61109953704</v>
      </c>
      <c r="P356" s="10"/>
      <c r="Q356" s="1" t="s">
        <v>46</v>
      </c>
      <c r="R356" s="8" t="s">
        <v>75</v>
      </c>
      <c r="S35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5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5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5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5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5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5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5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5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5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5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5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5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56" s="12">
        <f ca="1">[1]!Tabel1[[#This Row],[Vægtet Honorar]]*([1]!Tabel1[[#This Row],[Sidst redigeret]]&gt;TODAY()-40)*([1]!Tabel1[[#This Row],[Er i resplan?]]&lt;&gt;"Ja")*([1]!Tabel1[[#This Row],[Status]]="Pågår")</f>
        <v>0</v>
      </c>
      <c r="AG356" s="12">
        <f ca="1">[1]!Tabel1[[#This Row],[Vægtet Honorar]]*([1]!Tabel1[[#This Row],[Sidst redigeret]]&gt;TODAY()-40)*([1]!Tabel1[[#This Row],[Status]]="Pågår")</f>
        <v>0</v>
      </c>
      <c r="AH356" s="13"/>
      <c r="AI356" s="12"/>
      <c r="AJ356" s="12"/>
      <c r="AK356" s="12"/>
      <c r="AL356" s="12"/>
      <c r="AM356" s="12"/>
      <c r="AN356" s="12"/>
      <c r="AO356" s="12"/>
      <c r="AP356" s="12"/>
    </row>
    <row r="357" spans="1:42">
      <c r="A357" t="s">
        <v>1270</v>
      </c>
      <c r="B357" s="8"/>
      <c r="C357" s="8" t="s">
        <v>1271</v>
      </c>
      <c r="D357" s="8" t="s">
        <v>44</v>
      </c>
      <c r="E357" s="8" t="s">
        <v>71</v>
      </c>
      <c r="F357" s="8" t="s">
        <v>1152</v>
      </c>
      <c r="G357" s="8" t="s">
        <v>1268</v>
      </c>
      <c r="H357" s="9">
        <v>2500000</v>
      </c>
      <c r="I357" s="9">
        <f>[1]!Tabel1[[#This Row],[Honorar]]*[1]!Tabel1[[#This Row],[Sandsynlighed]]</f>
        <v>25000</v>
      </c>
      <c r="J357" s="10" t="s">
        <v>1174</v>
      </c>
      <c r="K357" s="10" t="s">
        <v>328</v>
      </c>
      <c r="L357" s="8" t="s">
        <v>1269</v>
      </c>
      <c r="M357" s="11">
        <v>0.01</v>
      </c>
      <c r="N357" s="1" t="s">
        <v>516</v>
      </c>
      <c r="O357" s="10">
        <v>46279.61109953704</v>
      </c>
      <c r="P357" s="10"/>
      <c r="Q357" s="1" t="s">
        <v>46</v>
      </c>
      <c r="R357" s="8" t="s">
        <v>75</v>
      </c>
      <c r="S35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1385.0941105039465</v>
      </c>
      <c r="T35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5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5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5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5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5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5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5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5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5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5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5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57" s="12">
        <f ca="1">[1]!Tabel1[[#This Row],[Vægtet Honorar]]*([1]!Tabel1[[#This Row],[Sidst redigeret]]&gt;TODAY()-40)*([1]!Tabel1[[#This Row],[Er i resplan?]]&lt;&gt;"Ja")*([1]!Tabel1[[#This Row],[Status]]="Pågår")</f>
        <v>0</v>
      </c>
      <c r="AG357" s="12">
        <f ca="1">[1]!Tabel1[[#This Row],[Vægtet Honorar]]*([1]!Tabel1[[#This Row],[Sidst redigeret]]&gt;TODAY()-40)*([1]!Tabel1[[#This Row],[Status]]="Pågår")</f>
        <v>0</v>
      </c>
      <c r="AH357" s="13"/>
      <c r="AI357" s="12"/>
      <c r="AJ357" s="12"/>
      <c r="AK357" s="12"/>
      <c r="AL357" s="12"/>
      <c r="AM357" s="12"/>
      <c r="AN357" s="12"/>
      <c r="AO357" s="12"/>
      <c r="AP357" s="12"/>
    </row>
    <row r="358" spans="1:42">
      <c r="A358" t="s">
        <v>1272</v>
      </c>
      <c r="B358" s="8"/>
      <c r="C358" s="8" t="s">
        <v>1273</v>
      </c>
      <c r="D358" s="8" t="s">
        <v>720</v>
      </c>
      <c r="E358" s="8" t="s">
        <v>71</v>
      </c>
      <c r="F358" s="8" t="s">
        <v>1274</v>
      </c>
      <c r="G358" s="8" t="s">
        <v>1275</v>
      </c>
      <c r="H358" s="9">
        <v>2500000</v>
      </c>
      <c r="I358" s="9">
        <f>[1]!Tabel1[[#This Row],[Honorar]]*[1]!Tabel1[[#This Row],[Sandsynlighed]]</f>
        <v>150000</v>
      </c>
      <c r="J358" s="10" t="s">
        <v>452</v>
      </c>
      <c r="K358" s="10" t="s">
        <v>1191</v>
      </c>
      <c r="L358" s="8" t="s">
        <v>1276</v>
      </c>
      <c r="M358" s="11">
        <v>0</v>
      </c>
      <c r="N358" s="1">
        <v>1500</v>
      </c>
      <c r="O358" s="10">
        <v>46279.61109953704</v>
      </c>
      <c r="P358" s="10"/>
      <c r="Q358" s="1" t="s">
        <v>46</v>
      </c>
      <c r="R358" s="8" t="s">
        <v>75</v>
      </c>
      <c r="S35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5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5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5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5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5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5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5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5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5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5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5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5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58" s="12">
        <f ca="1">[1]!Tabel1[[#This Row],[Vægtet Honorar]]*([1]!Tabel1[[#This Row],[Sidst redigeret]]&gt;TODAY()-40)*([1]!Tabel1[[#This Row],[Er i resplan?]]&lt;&gt;"Ja")*([1]!Tabel1[[#This Row],[Status]]="Pågår")</f>
        <v>0</v>
      </c>
      <c r="AG358" s="12">
        <f ca="1">[1]!Tabel1[[#This Row],[Vægtet Honorar]]*([1]!Tabel1[[#This Row],[Sidst redigeret]]&gt;TODAY()-40)*([1]!Tabel1[[#This Row],[Status]]="Pågår")</f>
        <v>0</v>
      </c>
      <c r="AH358" s="13"/>
      <c r="AI358" s="12"/>
      <c r="AJ358" s="12"/>
      <c r="AK358" s="12"/>
      <c r="AL358" s="12"/>
      <c r="AM358" s="12"/>
      <c r="AN358" s="12"/>
      <c r="AO358" s="12"/>
      <c r="AP358" s="12"/>
    </row>
    <row r="359" spans="1:42">
      <c r="A359" t="s">
        <v>1277</v>
      </c>
      <c r="B359" s="8"/>
      <c r="C359" s="8" t="s">
        <v>1278</v>
      </c>
      <c r="D359" s="8" t="s">
        <v>65</v>
      </c>
      <c r="E359" s="8" t="s">
        <v>167</v>
      </c>
      <c r="F359" s="8" t="s">
        <v>1279</v>
      </c>
      <c r="G359" s="8" t="s">
        <v>885</v>
      </c>
      <c r="H359" s="9">
        <v>200000</v>
      </c>
      <c r="I359" s="9">
        <f>[1]!Tabel1[[#This Row],[Honorar]]*[1]!Tabel1[[#This Row],[Sandsynlighed]]</f>
        <v>120000</v>
      </c>
      <c r="J359" s="10" t="s">
        <v>584</v>
      </c>
      <c r="K359" s="10" t="s">
        <v>452</v>
      </c>
      <c r="L359" s="8" t="s">
        <v>1269</v>
      </c>
      <c r="M359" s="11">
        <v>1</v>
      </c>
      <c r="N359" s="1"/>
      <c r="O359" s="10">
        <v>46279.61109953704</v>
      </c>
      <c r="P359" s="10"/>
      <c r="Q359" s="1" t="s">
        <v>46</v>
      </c>
      <c r="R359" s="8" t="s">
        <v>49</v>
      </c>
      <c r="S35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19945.355191256833</v>
      </c>
      <c r="T35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5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5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5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5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5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5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5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5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5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5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5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59" s="12">
        <f ca="1">[1]!Tabel1[[#This Row],[Vægtet Honorar]]*([1]!Tabel1[[#This Row],[Sidst redigeret]]&gt;TODAY()-40)*([1]!Tabel1[[#This Row],[Er i resplan?]]&lt;&gt;"Ja")*([1]!Tabel1[[#This Row],[Status]]="Pågår")</f>
        <v>0</v>
      </c>
      <c r="AG359" s="12">
        <f ca="1">[1]!Tabel1[[#This Row],[Vægtet Honorar]]*([1]!Tabel1[[#This Row],[Sidst redigeret]]&gt;TODAY()-40)*([1]!Tabel1[[#This Row],[Status]]="Pågår")</f>
        <v>0</v>
      </c>
      <c r="AH359" s="13"/>
      <c r="AI359" s="12"/>
      <c r="AJ359" s="12"/>
      <c r="AK359" s="12"/>
      <c r="AL359" s="12"/>
      <c r="AM359" s="12"/>
      <c r="AN359" s="12"/>
      <c r="AO359" s="12"/>
      <c r="AP359" s="12"/>
    </row>
    <row r="360" spans="1:42">
      <c r="A360" t="s">
        <v>1280</v>
      </c>
      <c r="B360" s="8"/>
      <c r="C360" s="8" t="s">
        <v>1281</v>
      </c>
      <c r="D360" s="8" t="s">
        <v>859</v>
      </c>
      <c r="E360" s="8" t="s">
        <v>71</v>
      </c>
      <c r="F360" s="8" t="s">
        <v>1282</v>
      </c>
      <c r="G360" s="8" t="s">
        <v>1282</v>
      </c>
      <c r="H360" s="9">
        <v>300000</v>
      </c>
      <c r="I360" s="9">
        <f>[1]!Tabel1[[#This Row],[Honorar]]*[1]!Tabel1[[#This Row],[Sandsynlighed]]</f>
        <v>760000</v>
      </c>
      <c r="J360" s="10" t="s">
        <v>1068</v>
      </c>
      <c r="K360" s="10" t="s">
        <v>328</v>
      </c>
      <c r="L360" s="8" t="s">
        <v>1283</v>
      </c>
      <c r="M360" s="11">
        <v>0</v>
      </c>
      <c r="N360" s="14"/>
      <c r="O360" s="10">
        <v>46279.61109953704</v>
      </c>
      <c r="P360" s="10"/>
      <c r="Q360" s="1" t="s">
        <v>72</v>
      </c>
      <c r="R360" s="8" t="s">
        <v>75</v>
      </c>
      <c r="S36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36176.317162232655</v>
      </c>
      <c r="T36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6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6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6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6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6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6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6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6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6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6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6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60" s="12">
        <f ca="1">[1]!Tabel1[[#This Row],[Vægtet Honorar]]*([1]!Tabel1[[#This Row],[Sidst redigeret]]&gt;TODAY()-40)*([1]!Tabel1[[#This Row],[Er i resplan?]]&lt;&gt;"Ja")*([1]!Tabel1[[#This Row],[Status]]="Pågår")</f>
        <v>0</v>
      </c>
      <c r="AG360" s="12">
        <f ca="1">[1]!Tabel1[[#This Row],[Vægtet Honorar]]*([1]!Tabel1[[#This Row],[Sidst redigeret]]&gt;TODAY()-40)*([1]!Tabel1[[#This Row],[Status]]="Pågår")</f>
        <v>0</v>
      </c>
      <c r="AH360" s="13"/>
      <c r="AI360" s="12"/>
      <c r="AJ360" s="12"/>
      <c r="AK360" s="12"/>
      <c r="AL360" s="12"/>
      <c r="AM360" s="12"/>
      <c r="AN360" s="12"/>
      <c r="AO360" s="12"/>
      <c r="AP360" s="12"/>
    </row>
    <row r="361" spans="1:42">
      <c r="A361" t="s">
        <v>1284</v>
      </c>
      <c r="B361" s="8"/>
      <c r="C361" s="8" t="s">
        <v>1285</v>
      </c>
      <c r="D361" s="8" t="s">
        <v>44</v>
      </c>
      <c r="E361" s="8" t="s">
        <v>71</v>
      </c>
      <c r="F361" s="8" t="s">
        <v>1286</v>
      </c>
      <c r="G361" s="8" t="s">
        <v>1286</v>
      </c>
      <c r="H361" s="9">
        <v>600000</v>
      </c>
      <c r="I361" s="9">
        <f>[1]!Tabel1[[#This Row],[Honorar]]*[1]!Tabel1[[#This Row],[Sandsynlighed]]</f>
        <v>16000</v>
      </c>
      <c r="J361" s="10" t="s">
        <v>1287</v>
      </c>
      <c r="K361" s="10" t="s">
        <v>585</v>
      </c>
      <c r="L361" s="8" t="s">
        <v>804</v>
      </c>
      <c r="M361" s="11">
        <v>0</v>
      </c>
      <c r="N361" s="1">
        <v>500</v>
      </c>
      <c r="O361" s="10">
        <v>46279.61109953704</v>
      </c>
      <c r="P361" s="10"/>
      <c r="Q361" s="1" t="s">
        <v>46</v>
      </c>
      <c r="R361" s="8" t="s">
        <v>49</v>
      </c>
      <c r="S36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6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6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6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6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6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6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6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6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6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6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6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6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61" s="12">
        <f ca="1">[1]!Tabel1[[#This Row],[Vægtet Honorar]]*([1]!Tabel1[[#This Row],[Sidst redigeret]]&gt;TODAY()-40)*([1]!Tabel1[[#This Row],[Er i resplan?]]&lt;&gt;"Ja")*([1]!Tabel1[[#This Row],[Status]]="Pågår")</f>
        <v>0</v>
      </c>
      <c r="AG361" s="12">
        <f ca="1">[1]!Tabel1[[#This Row],[Vægtet Honorar]]*([1]!Tabel1[[#This Row],[Sidst redigeret]]&gt;TODAY()-40)*([1]!Tabel1[[#This Row],[Status]]="Pågår")</f>
        <v>0</v>
      </c>
      <c r="AH361" s="13"/>
      <c r="AI361" s="12"/>
      <c r="AJ361" s="12"/>
      <c r="AK361" s="12"/>
      <c r="AL361" s="12"/>
      <c r="AM361" s="12"/>
      <c r="AN361" s="12"/>
      <c r="AO361" s="12"/>
      <c r="AP361" s="12"/>
    </row>
    <row r="362" spans="1:42">
      <c r="A362" t="s">
        <v>1288</v>
      </c>
      <c r="B362" s="8"/>
      <c r="C362" s="8" t="s">
        <v>1289</v>
      </c>
      <c r="D362" s="8" t="s">
        <v>44</v>
      </c>
      <c r="E362" s="8" t="s">
        <v>71</v>
      </c>
      <c r="F362" s="8" t="s">
        <v>671</v>
      </c>
      <c r="G362" s="8" t="s">
        <v>671</v>
      </c>
      <c r="H362" s="9">
        <v>100000</v>
      </c>
      <c r="I362" s="9">
        <f>[1]!Tabel1[[#This Row],[Honorar]]*[1]!Tabel1[[#This Row],[Sandsynlighed]]</f>
        <v>25000</v>
      </c>
      <c r="J362" s="10" t="s">
        <v>1068</v>
      </c>
      <c r="K362" s="10" t="s">
        <v>328</v>
      </c>
      <c r="L362" s="8" t="s">
        <v>1283</v>
      </c>
      <c r="M362" s="11">
        <v>1</v>
      </c>
      <c r="N362" s="1">
        <v>500</v>
      </c>
      <c r="O362" s="10">
        <v>46279.61109953704</v>
      </c>
      <c r="P362" s="10"/>
      <c r="Q362" s="1" t="s">
        <v>46</v>
      </c>
      <c r="R362" s="8" t="s">
        <v>47</v>
      </c>
      <c r="S36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6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6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6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6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6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6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6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6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6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6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6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6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62" s="12">
        <f ca="1">[1]!Tabel1[[#This Row],[Vægtet Honorar]]*([1]!Tabel1[[#This Row],[Sidst redigeret]]&gt;TODAY()-40)*([1]!Tabel1[[#This Row],[Er i resplan?]]&lt;&gt;"Ja")*([1]!Tabel1[[#This Row],[Status]]="Pågår")</f>
        <v>0</v>
      </c>
      <c r="AG362" s="12">
        <f ca="1">[1]!Tabel1[[#This Row],[Vægtet Honorar]]*([1]!Tabel1[[#This Row],[Sidst redigeret]]&gt;TODAY()-40)*([1]!Tabel1[[#This Row],[Status]]="Pågår")</f>
        <v>0</v>
      </c>
      <c r="AH362" s="13"/>
      <c r="AI362" s="12"/>
      <c r="AJ362" s="12"/>
      <c r="AK362" s="12"/>
      <c r="AL362" s="12"/>
      <c r="AM362" s="12"/>
      <c r="AN362" s="12"/>
      <c r="AO362" s="12"/>
      <c r="AP362" s="12"/>
    </row>
    <row r="363" spans="1:42">
      <c r="A363" t="s">
        <v>1290</v>
      </c>
      <c r="B363" s="8"/>
      <c r="C363" s="8" t="s">
        <v>1291</v>
      </c>
      <c r="D363" s="8" t="s">
        <v>720</v>
      </c>
      <c r="E363" s="8" t="s">
        <v>71</v>
      </c>
      <c r="F363" s="8" t="s">
        <v>1292</v>
      </c>
      <c r="G363" s="8" t="s">
        <v>973</v>
      </c>
      <c r="H363" s="9">
        <v>500000</v>
      </c>
      <c r="I363" s="9">
        <f>[1]!Tabel1[[#This Row],[Honorar]]*[1]!Tabel1[[#This Row],[Sandsynlighed]]</f>
        <v>0</v>
      </c>
      <c r="J363" s="10" t="s">
        <v>1068</v>
      </c>
      <c r="K363" s="10" t="s">
        <v>328</v>
      </c>
      <c r="L363" s="8" t="s">
        <v>1283</v>
      </c>
      <c r="M363" s="11">
        <v>0.1</v>
      </c>
      <c r="N363" s="14"/>
      <c r="O363" s="10">
        <v>46279.61109953704</v>
      </c>
      <c r="P363" s="10"/>
      <c r="Q363" s="1" t="s">
        <v>72</v>
      </c>
      <c r="R363" s="8" t="s">
        <v>49</v>
      </c>
      <c r="S36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6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6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6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6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6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6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6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6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6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6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6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6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63" s="12">
        <f ca="1">[1]!Tabel1[[#This Row],[Vægtet Honorar]]*([1]!Tabel1[[#This Row],[Sidst redigeret]]&gt;TODAY()-40)*([1]!Tabel1[[#This Row],[Er i resplan?]]&lt;&gt;"Ja")*([1]!Tabel1[[#This Row],[Status]]="Pågår")</f>
        <v>0</v>
      </c>
      <c r="AG363" s="12">
        <f ca="1">[1]!Tabel1[[#This Row],[Vægtet Honorar]]*([1]!Tabel1[[#This Row],[Sidst redigeret]]&gt;TODAY()-40)*([1]!Tabel1[[#This Row],[Status]]="Pågår")</f>
        <v>0</v>
      </c>
      <c r="AH363" s="13"/>
      <c r="AI363" s="12"/>
      <c r="AJ363" s="12"/>
      <c r="AK363" s="12"/>
      <c r="AL363" s="12"/>
      <c r="AM363" s="12"/>
      <c r="AN363" s="12"/>
      <c r="AO363" s="12"/>
      <c r="AP363" s="12"/>
    </row>
    <row r="364" spans="1:42">
      <c r="A364" t="s">
        <v>1293</v>
      </c>
      <c r="B364" s="8"/>
      <c r="C364" s="8" t="s">
        <v>1294</v>
      </c>
      <c r="D364" s="8" t="s">
        <v>720</v>
      </c>
      <c r="E364" s="8" t="s">
        <v>71</v>
      </c>
      <c r="F364" s="8" t="s">
        <v>721</v>
      </c>
      <c r="G364" s="8" t="s">
        <v>721</v>
      </c>
      <c r="H364" s="9">
        <v>1000000</v>
      </c>
      <c r="I364" s="9">
        <f>[1]!Tabel1[[#This Row],[Honorar]]*[1]!Tabel1[[#This Row],[Sandsynlighed]]</f>
        <v>200000</v>
      </c>
      <c r="J364" s="10" t="s">
        <v>452</v>
      </c>
      <c r="K364" s="10" t="s">
        <v>1191</v>
      </c>
      <c r="L364" s="8" t="s">
        <v>1295</v>
      </c>
      <c r="M364" s="11">
        <v>0.05</v>
      </c>
      <c r="N364" s="1">
        <v>400</v>
      </c>
      <c r="O364" s="10">
        <v>46279.61109953704</v>
      </c>
      <c r="P364" s="10"/>
      <c r="Q364" s="1" t="s">
        <v>72</v>
      </c>
      <c r="R364" s="8" t="s">
        <v>49</v>
      </c>
      <c r="S36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6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6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6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6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6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6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6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6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6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6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6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6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64" s="12">
        <f ca="1">[1]!Tabel1[[#This Row],[Vægtet Honorar]]*([1]!Tabel1[[#This Row],[Sidst redigeret]]&gt;TODAY()-40)*([1]!Tabel1[[#This Row],[Er i resplan?]]&lt;&gt;"Ja")*([1]!Tabel1[[#This Row],[Status]]="Pågår")</f>
        <v>0</v>
      </c>
      <c r="AG364" s="12">
        <f ca="1">[1]!Tabel1[[#This Row],[Vægtet Honorar]]*([1]!Tabel1[[#This Row],[Sidst redigeret]]&gt;TODAY()-40)*([1]!Tabel1[[#This Row],[Status]]="Pågår")</f>
        <v>0</v>
      </c>
      <c r="AH364" s="13"/>
      <c r="AI364" s="12"/>
      <c r="AJ364" s="12"/>
      <c r="AK364" s="12"/>
      <c r="AL364" s="12"/>
      <c r="AM364" s="12"/>
      <c r="AN364" s="12"/>
      <c r="AO364" s="12"/>
      <c r="AP364" s="12"/>
    </row>
    <row r="365" spans="1:42">
      <c r="A365" t="s">
        <v>1296</v>
      </c>
      <c r="B365" s="8"/>
      <c r="C365" s="8" t="s">
        <v>1297</v>
      </c>
      <c r="D365" s="8"/>
      <c r="E365" s="8"/>
      <c r="F365" s="8"/>
      <c r="G365" s="8"/>
      <c r="H365" s="9"/>
      <c r="I365" s="9">
        <f>[1]!Tabel1[[#This Row],[Honorar]]*[1]!Tabel1[[#This Row],[Sandsynlighed]]</f>
        <v>0</v>
      </c>
      <c r="J365" s="10"/>
      <c r="K365" s="10"/>
      <c r="L365" s="8"/>
      <c r="M365" s="11"/>
      <c r="N365" s="1"/>
      <c r="O365" s="10">
        <v>46279.61109953704</v>
      </c>
      <c r="P365" s="10"/>
      <c r="Q365" s="1"/>
      <c r="R365" s="8" t="s">
        <v>49</v>
      </c>
      <c r="S36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6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6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6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6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6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6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6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6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6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6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6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6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65" s="12">
        <f ca="1">[1]!Tabel1[[#This Row],[Vægtet Honorar]]*([1]!Tabel1[[#This Row],[Sidst redigeret]]&gt;TODAY()-40)*([1]!Tabel1[[#This Row],[Er i resplan?]]&lt;&gt;"Ja")*([1]!Tabel1[[#This Row],[Status]]="Pågår")</f>
        <v>0</v>
      </c>
      <c r="AG365" s="12">
        <f ca="1">[1]!Tabel1[[#This Row],[Vægtet Honorar]]*([1]!Tabel1[[#This Row],[Sidst redigeret]]&gt;TODAY()-40)*([1]!Tabel1[[#This Row],[Status]]="Pågår")</f>
        <v>0</v>
      </c>
      <c r="AH365" s="13"/>
      <c r="AI365" s="12"/>
      <c r="AJ365" s="12"/>
      <c r="AK365" s="12"/>
      <c r="AL365" s="12"/>
      <c r="AM365" s="12"/>
      <c r="AN365" s="12"/>
      <c r="AO365" s="12"/>
      <c r="AP365" s="12"/>
    </row>
    <row r="366" spans="1:42">
      <c r="A366" t="s">
        <v>1298</v>
      </c>
      <c r="B366" s="8"/>
      <c r="C366" s="8" t="s">
        <v>1299</v>
      </c>
      <c r="D366" s="8" t="s">
        <v>200</v>
      </c>
      <c r="E366" s="8" t="s">
        <v>120</v>
      </c>
      <c r="F366" s="8" t="s">
        <v>1299</v>
      </c>
      <c r="G366" s="8" t="s">
        <v>1299</v>
      </c>
      <c r="H366" s="9">
        <v>1500000</v>
      </c>
      <c r="I366" s="9">
        <f>[1]!Tabel1[[#This Row],[Honorar]]*[1]!Tabel1[[#This Row],[Sandsynlighed]]</f>
        <v>0</v>
      </c>
      <c r="J366" s="10" t="s">
        <v>452</v>
      </c>
      <c r="K366" s="10" t="s">
        <v>1191</v>
      </c>
      <c r="L366" s="8" t="s">
        <v>1283</v>
      </c>
      <c r="M366" s="11">
        <v>0.05</v>
      </c>
      <c r="N366" s="1">
        <v>3000</v>
      </c>
      <c r="O366" s="10">
        <v>46279.611111111109</v>
      </c>
      <c r="P366" s="10"/>
      <c r="Q366" s="1"/>
      <c r="R366" s="8" t="s">
        <v>343</v>
      </c>
      <c r="S36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6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6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6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6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6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6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6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6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6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6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6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6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66" s="12">
        <f ca="1">[1]!Tabel1[[#This Row],[Vægtet Honorar]]*([1]!Tabel1[[#This Row],[Sidst redigeret]]&gt;TODAY()-40)*([1]!Tabel1[[#This Row],[Er i resplan?]]&lt;&gt;"Ja")*([1]!Tabel1[[#This Row],[Status]]="Pågår")</f>
        <v>0</v>
      </c>
      <c r="AG366" s="12">
        <f ca="1">[1]!Tabel1[[#This Row],[Vægtet Honorar]]*([1]!Tabel1[[#This Row],[Sidst redigeret]]&gt;TODAY()-40)*([1]!Tabel1[[#This Row],[Status]]="Pågår")</f>
        <v>0</v>
      </c>
      <c r="AH366" s="13"/>
      <c r="AI366" s="12"/>
      <c r="AJ366" s="12" t="s">
        <v>1300</v>
      </c>
      <c r="AK366" s="12"/>
      <c r="AL366" s="12"/>
      <c r="AM366" s="12"/>
      <c r="AN366" s="12" t="s">
        <v>1301</v>
      </c>
      <c r="AO366" s="12"/>
      <c r="AP366" s="12"/>
    </row>
    <row r="367" spans="1:42">
      <c r="A367" t="s">
        <v>1302</v>
      </c>
      <c r="B367" s="8">
        <v>232410</v>
      </c>
      <c r="C367" s="8" t="s">
        <v>1303</v>
      </c>
      <c r="D367" s="8" t="s">
        <v>44</v>
      </c>
      <c r="E367" s="8" t="s">
        <v>71</v>
      </c>
      <c r="F367" s="8" t="s">
        <v>1304</v>
      </c>
      <c r="G367" s="8" t="s">
        <v>1305</v>
      </c>
      <c r="H367" s="9">
        <v>1250000</v>
      </c>
      <c r="I367" s="9">
        <f>[1]!Tabel1[[#This Row],[Honorar]]*[1]!Tabel1[[#This Row],[Sandsynlighed]]</f>
        <v>100000</v>
      </c>
      <c r="J367" s="10" t="s">
        <v>1068</v>
      </c>
      <c r="K367" s="10" t="s">
        <v>622</v>
      </c>
      <c r="L367" s="8" t="s">
        <v>1283</v>
      </c>
      <c r="M367" s="11">
        <v>1</v>
      </c>
      <c r="N367" s="15">
        <v>10000</v>
      </c>
      <c r="O367" s="10">
        <v>46279.611111111109</v>
      </c>
      <c r="P367" s="10"/>
      <c r="Q367" s="1" t="s">
        <v>46</v>
      </c>
      <c r="R367" s="8" t="s">
        <v>47</v>
      </c>
      <c r="S36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6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6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6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6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6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6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6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6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6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6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6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6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67" s="12">
        <f ca="1">[1]!Tabel1[[#This Row],[Vægtet Honorar]]*([1]!Tabel1[[#This Row],[Sidst redigeret]]&gt;TODAY()-40)*([1]!Tabel1[[#This Row],[Er i resplan?]]&lt;&gt;"Ja")*([1]!Tabel1[[#This Row],[Status]]="Pågår")</f>
        <v>0</v>
      </c>
      <c r="AG367" s="12">
        <f ca="1">[1]!Tabel1[[#This Row],[Vægtet Honorar]]*([1]!Tabel1[[#This Row],[Sidst redigeret]]&gt;TODAY()-40)*([1]!Tabel1[[#This Row],[Status]]="Pågår")</f>
        <v>0</v>
      </c>
      <c r="AH367" s="13"/>
      <c r="AI367" s="12"/>
      <c r="AJ367" s="12" t="s">
        <v>1305</v>
      </c>
      <c r="AK367" s="12"/>
      <c r="AL367" s="12"/>
      <c r="AM367" s="12"/>
      <c r="AN367" s="12"/>
      <c r="AO367" s="12"/>
      <c r="AP367" s="12"/>
    </row>
    <row r="368" spans="1:42">
      <c r="A368" t="s">
        <v>1306</v>
      </c>
      <c r="B368" s="8"/>
      <c r="C368" s="8" t="s">
        <v>1307</v>
      </c>
      <c r="D368" s="8" t="s">
        <v>720</v>
      </c>
      <c r="E368" s="8" t="s">
        <v>71</v>
      </c>
      <c r="F368" s="8" t="s">
        <v>1308</v>
      </c>
      <c r="G368" s="8" t="s">
        <v>1309</v>
      </c>
      <c r="H368" s="9">
        <v>6000000</v>
      </c>
      <c r="I368" s="9">
        <f>[1]!Tabel1[[#This Row],[Honorar]]*[1]!Tabel1[[#This Row],[Sandsynlighed]]</f>
        <v>50000</v>
      </c>
      <c r="J368" s="10" t="s">
        <v>328</v>
      </c>
      <c r="K368" s="10" t="s">
        <v>1310</v>
      </c>
      <c r="L368" s="8" t="s">
        <v>1311</v>
      </c>
      <c r="M368" s="11">
        <v>0.2</v>
      </c>
      <c r="N368" s="1">
        <v>7800</v>
      </c>
      <c r="O368" s="10">
        <v>46279.611111111109</v>
      </c>
      <c r="P368" s="10"/>
      <c r="Q368" s="1" t="s">
        <v>46</v>
      </c>
      <c r="R368" s="8" t="s">
        <v>75</v>
      </c>
      <c r="S36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4166.666666666667</v>
      </c>
      <c r="T36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6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6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6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6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6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6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6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6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6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6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6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68" s="12">
        <f ca="1">[1]!Tabel1[[#This Row],[Vægtet Honorar]]*([1]!Tabel1[[#This Row],[Sidst redigeret]]&gt;TODAY()-40)*([1]!Tabel1[[#This Row],[Er i resplan?]]&lt;&gt;"Ja")*([1]!Tabel1[[#This Row],[Status]]="Pågår")</f>
        <v>0</v>
      </c>
      <c r="AG368" s="12">
        <f ca="1">[1]!Tabel1[[#This Row],[Vægtet Honorar]]*([1]!Tabel1[[#This Row],[Sidst redigeret]]&gt;TODAY()-40)*([1]!Tabel1[[#This Row],[Status]]="Pågår")</f>
        <v>0</v>
      </c>
      <c r="AH368" s="13"/>
      <c r="AI368" s="12"/>
      <c r="AJ368" s="12"/>
      <c r="AK368" s="12"/>
      <c r="AL368" s="12"/>
      <c r="AM368" s="12"/>
      <c r="AN368" s="12"/>
      <c r="AO368" s="12"/>
      <c r="AP368" s="12"/>
    </row>
    <row r="369" spans="1:42">
      <c r="A369" t="s">
        <v>1312</v>
      </c>
      <c r="B369" s="8">
        <v>231319</v>
      </c>
      <c r="C369" s="8" t="s">
        <v>1313</v>
      </c>
      <c r="D369" s="8" t="s">
        <v>119</v>
      </c>
      <c r="E369" s="8" t="s">
        <v>120</v>
      </c>
      <c r="F369" s="8" t="s">
        <v>1314</v>
      </c>
      <c r="G369" s="8" t="s">
        <v>1315</v>
      </c>
      <c r="H369" s="9">
        <v>250000</v>
      </c>
      <c r="I369" s="9">
        <f>[1]!Tabel1[[#This Row],[Honorar]]*[1]!Tabel1[[#This Row],[Sandsynlighed]]</f>
        <v>50000</v>
      </c>
      <c r="J369" s="10" t="s">
        <v>584</v>
      </c>
      <c r="K369" s="10" t="s">
        <v>612</v>
      </c>
      <c r="L369" s="8" t="s">
        <v>1316</v>
      </c>
      <c r="M369" s="11">
        <v>1</v>
      </c>
      <c r="N369" s="1">
        <v>150</v>
      </c>
      <c r="O369" s="10">
        <v>46279.611111111109</v>
      </c>
      <c r="P369" s="10"/>
      <c r="Q369" s="1" t="s">
        <v>46</v>
      </c>
      <c r="R369" s="8" t="s">
        <v>47</v>
      </c>
      <c r="S36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2775.2433090024329</v>
      </c>
      <c r="T36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6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6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6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6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6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6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6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6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6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6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6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69" s="12">
        <f ca="1">[1]!Tabel1[[#This Row],[Vægtet Honorar]]*([1]!Tabel1[[#This Row],[Sidst redigeret]]&gt;TODAY()-40)*([1]!Tabel1[[#This Row],[Er i resplan?]]&lt;&gt;"Ja")*([1]!Tabel1[[#This Row],[Status]]="Pågår")</f>
        <v>0</v>
      </c>
      <c r="AG369" s="12">
        <f ca="1">[1]!Tabel1[[#This Row],[Vægtet Honorar]]*([1]!Tabel1[[#This Row],[Sidst redigeret]]&gt;TODAY()-40)*([1]!Tabel1[[#This Row],[Status]]="Pågår")</f>
        <v>0</v>
      </c>
      <c r="AH369" s="13"/>
      <c r="AI369" s="12"/>
      <c r="AJ369" s="12"/>
      <c r="AK369" s="12"/>
      <c r="AL369" s="12"/>
      <c r="AM369" s="12"/>
      <c r="AN369" s="12"/>
      <c r="AO369" s="12"/>
      <c r="AP369" s="12"/>
    </row>
    <row r="370" spans="1:42">
      <c r="A370" t="s">
        <v>1317</v>
      </c>
      <c r="B370" s="8"/>
      <c r="C370" s="8" t="s">
        <v>1318</v>
      </c>
      <c r="D370" s="8" t="s">
        <v>334</v>
      </c>
      <c r="E370" s="8" t="s">
        <v>71</v>
      </c>
      <c r="F370" s="8" t="s">
        <v>1319</v>
      </c>
      <c r="G370" s="8" t="s">
        <v>1319</v>
      </c>
      <c r="H370" s="9">
        <v>10000</v>
      </c>
      <c r="I370" s="9">
        <f>[1]!Tabel1[[#This Row],[Honorar]]*[1]!Tabel1[[#This Row],[Sandsynlighed]]</f>
        <v>0</v>
      </c>
      <c r="J370" s="10" t="s">
        <v>1174</v>
      </c>
      <c r="K370" s="10" t="s">
        <v>1174</v>
      </c>
      <c r="L370" s="8" t="s">
        <v>1320</v>
      </c>
      <c r="M370" s="11">
        <v>1</v>
      </c>
      <c r="N370" s="1">
        <v>4</v>
      </c>
      <c r="O370" s="10">
        <v>46279.611111111109</v>
      </c>
      <c r="P370" s="10"/>
      <c r="Q370" s="1" t="s">
        <v>46</v>
      </c>
      <c r="R370" s="8" t="s">
        <v>47</v>
      </c>
      <c r="S37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7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7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7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7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7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7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7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7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7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7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7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7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70" s="12">
        <f ca="1">[1]!Tabel1[[#This Row],[Vægtet Honorar]]*([1]!Tabel1[[#This Row],[Sidst redigeret]]&gt;TODAY()-40)*([1]!Tabel1[[#This Row],[Er i resplan?]]&lt;&gt;"Ja")*([1]!Tabel1[[#This Row],[Status]]="Pågår")</f>
        <v>0</v>
      </c>
      <c r="AG370" s="12">
        <f ca="1">[1]!Tabel1[[#This Row],[Vægtet Honorar]]*([1]!Tabel1[[#This Row],[Sidst redigeret]]&gt;TODAY()-40)*([1]!Tabel1[[#This Row],[Status]]="Pågår")</f>
        <v>0</v>
      </c>
      <c r="AH370" s="13"/>
      <c r="AI370" s="12"/>
      <c r="AJ370" s="12"/>
      <c r="AK370" s="12"/>
      <c r="AL370" s="12"/>
      <c r="AM370" s="12"/>
      <c r="AN370" s="12"/>
      <c r="AO370" s="12"/>
      <c r="AP370" s="12"/>
    </row>
    <row r="371" spans="1:42">
      <c r="A371" t="s">
        <v>1321</v>
      </c>
      <c r="B371" s="8"/>
      <c r="C371" s="8" t="s">
        <v>1322</v>
      </c>
      <c r="D371" s="8" t="s">
        <v>859</v>
      </c>
      <c r="E371" s="8" t="s">
        <v>71</v>
      </c>
      <c r="F371" s="8" t="s">
        <v>691</v>
      </c>
      <c r="G371" s="8" t="s">
        <v>691</v>
      </c>
      <c r="H371" s="9">
        <v>12000000</v>
      </c>
      <c r="I371" s="9">
        <f>[1]!Tabel1[[#This Row],[Honorar]]*[1]!Tabel1[[#This Row],[Sandsynlighed]]</f>
        <v>75000</v>
      </c>
      <c r="J371" s="10" t="s">
        <v>1068</v>
      </c>
      <c r="K371" s="10" t="s">
        <v>1323</v>
      </c>
      <c r="L371" s="8" t="s">
        <v>1324</v>
      </c>
      <c r="M371" s="11">
        <v>0</v>
      </c>
      <c r="N371" s="1"/>
      <c r="O371" s="10">
        <v>46279.611111111109</v>
      </c>
      <c r="P371" s="10"/>
      <c r="Q371" s="1" t="s">
        <v>72</v>
      </c>
      <c r="R371" s="8" t="s">
        <v>75</v>
      </c>
      <c r="S37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4162.86496350365</v>
      </c>
      <c r="T37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7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7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7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7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7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7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7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7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7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7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7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71" s="12">
        <f ca="1">[1]!Tabel1[[#This Row],[Vægtet Honorar]]*([1]!Tabel1[[#This Row],[Sidst redigeret]]&gt;TODAY()-40)*([1]!Tabel1[[#This Row],[Er i resplan?]]&lt;&gt;"Ja")*([1]!Tabel1[[#This Row],[Status]]="Pågår")</f>
        <v>75000</v>
      </c>
      <c r="AG371" s="12">
        <f ca="1">[1]!Tabel1[[#This Row],[Vægtet Honorar]]*([1]!Tabel1[[#This Row],[Sidst redigeret]]&gt;TODAY()-40)*([1]!Tabel1[[#This Row],[Status]]="Pågår")</f>
        <v>75000</v>
      </c>
      <c r="AH371" s="13"/>
      <c r="AI371" s="12"/>
      <c r="AJ371" s="12"/>
      <c r="AK371" s="12"/>
      <c r="AL371" s="12"/>
      <c r="AM371" s="12"/>
      <c r="AN371" s="12"/>
      <c r="AO371" s="12"/>
      <c r="AP371" s="12"/>
    </row>
    <row r="372" spans="1:42">
      <c r="A372" t="s">
        <v>1325</v>
      </c>
      <c r="B372" s="8"/>
      <c r="C372" s="8" t="s">
        <v>1326</v>
      </c>
      <c r="D372" s="8" t="s">
        <v>158</v>
      </c>
      <c r="E372" s="8" t="s">
        <v>167</v>
      </c>
      <c r="F372" s="8" t="s">
        <v>671</v>
      </c>
      <c r="G372" s="8" t="s">
        <v>671</v>
      </c>
      <c r="H372" s="9">
        <v>300000</v>
      </c>
      <c r="I372" s="9">
        <f>[1]!Tabel1[[#This Row],[Honorar]]*[1]!Tabel1[[#This Row],[Sandsynlighed]]</f>
        <v>1250000</v>
      </c>
      <c r="J372" s="10" t="s">
        <v>452</v>
      </c>
      <c r="K372" s="10" t="s">
        <v>329</v>
      </c>
      <c r="L372" s="8"/>
      <c r="M372" s="11">
        <v>0.7</v>
      </c>
      <c r="N372" s="1"/>
      <c r="O372" s="10">
        <v>46279.611111111109</v>
      </c>
      <c r="P372" s="10"/>
      <c r="Q372" s="1" t="s">
        <v>46</v>
      </c>
      <c r="R372" s="8" t="s">
        <v>47</v>
      </c>
      <c r="S37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7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7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7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7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7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7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7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7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7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7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7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7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72" s="12">
        <f ca="1">[1]!Tabel1[[#This Row],[Vægtet Honorar]]*([1]!Tabel1[[#This Row],[Sidst redigeret]]&gt;TODAY()-40)*([1]!Tabel1[[#This Row],[Er i resplan?]]&lt;&gt;"Ja")*([1]!Tabel1[[#This Row],[Status]]="Pågår")</f>
        <v>0</v>
      </c>
      <c r="AG372" s="12">
        <f ca="1">[1]!Tabel1[[#This Row],[Vægtet Honorar]]*([1]!Tabel1[[#This Row],[Sidst redigeret]]&gt;TODAY()-40)*([1]!Tabel1[[#This Row],[Status]]="Pågår")</f>
        <v>0</v>
      </c>
      <c r="AH372" s="13"/>
      <c r="AI372" s="12"/>
      <c r="AJ372" s="12"/>
      <c r="AK372" s="12"/>
      <c r="AL372" s="12"/>
      <c r="AM372" s="12"/>
      <c r="AN372" s="12"/>
      <c r="AO372" s="12"/>
      <c r="AP372" s="12"/>
    </row>
    <row r="373" spans="1:42">
      <c r="A373" t="s">
        <v>1327</v>
      </c>
      <c r="B373" s="8"/>
      <c r="C373" s="8" t="s">
        <v>1328</v>
      </c>
      <c r="D373" s="8" t="s">
        <v>1032</v>
      </c>
      <c r="E373" s="8" t="s">
        <v>94</v>
      </c>
      <c r="F373" s="8" t="s">
        <v>1329</v>
      </c>
      <c r="G373" s="8" t="s">
        <v>1330</v>
      </c>
      <c r="H373" s="9">
        <v>250000</v>
      </c>
      <c r="I373" s="9">
        <f>[1]!Tabel1[[#This Row],[Honorar]]*[1]!Tabel1[[#This Row],[Sandsynlighed]]</f>
        <v>1200000</v>
      </c>
      <c r="J373" s="10" t="s">
        <v>1068</v>
      </c>
      <c r="K373" s="10" t="s">
        <v>584</v>
      </c>
      <c r="L373" s="8"/>
      <c r="M373" s="11">
        <v>0.01</v>
      </c>
      <c r="N373" s="1"/>
      <c r="O373" s="10">
        <v>46279.611111111109</v>
      </c>
      <c r="P373" s="1" t="s">
        <v>72</v>
      </c>
      <c r="Q373" s="1"/>
      <c r="R373" s="8" t="s">
        <v>49</v>
      </c>
      <c r="S37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7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7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7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7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7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7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7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7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7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7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7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7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73" s="12">
        <f ca="1">[1]!Tabel1[[#This Row],[Vægtet Honorar]]*([1]!Tabel1[[#This Row],[Sidst redigeret]]&gt;TODAY()-40)*([1]!Tabel1[[#This Row],[Er i resplan?]]&lt;&gt;"Ja")*([1]!Tabel1[[#This Row],[Status]]="Pågår")</f>
        <v>0</v>
      </c>
      <c r="AG373" s="12">
        <f ca="1">[1]!Tabel1[[#This Row],[Vægtet Honorar]]*([1]!Tabel1[[#This Row],[Sidst redigeret]]&gt;TODAY()-40)*([1]!Tabel1[[#This Row],[Status]]="Pågår")</f>
        <v>0</v>
      </c>
      <c r="AH373" s="13"/>
      <c r="AI373" s="12"/>
      <c r="AJ373" s="12"/>
      <c r="AK373" s="12"/>
      <c r="AL373" s="12"/>
      <c r="AM373" s="12"/>
      <c r="AN373" s="12"/>
      <c r="AO373" s="12"/>
      <c r="AP373" s="12"/>
    </row>
    <row r="374" spans="1:42">
      <c r="A374" t="s">
        <v>1331</v>
      </c>
      <c r="B374" s="8"/>
      <c r="C374" s="8" t="s">
        <v>1332</v>
      </c>
      <c r="D374" s="8" t="s">
        <v>720</v>
      </c>
      <c r="E374" s="8" t="s">
        <v>71</v>
      </c>
      <c r="F374" s="8" t="s">
        <v>1333</v>
      </c>
      <c r="G374" s="8" t="s">
        <v>1334</v>
      </c>
      <c r="H374" s="9">
        <v>100000</v>
      </c>
      <c r="I374" s="9">
        <f>[1]!Tabel1[[#This Row],[Honorar]]*[1]!Tabel1[[#This Row],[Sandsynlighed]]</f>
        <v>250000</v>
      </c>
      <c r="J374" s="10" t="s">
        <v>1068</v>
      </c>
      <c r="K374" s="10" t="s">
        <v>584</v>
      </c>
      <c r="L374" s="8" t="s">
        <v>1335</v>
      </c>
      <c r="M374" s="11">
        <v>0</v>
      </c>
      <c r="N374" s="1"/>
      <c r="O374" s="10">
        <v>46279.611111111109</v>
      </c>
      <c r="P374" s="10"/>
      <c r="Q374" s="1" t="s">
        <v>72</v>
      </c>
      <c r="R374" s="8" t="s">
        <v>75</v>
      </c>
      <c r="S37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7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7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7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7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7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7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7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7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7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7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7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7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74" s="12">
        <f ca="1">[1]!Tabel1[[#This Row],[Vægtet Honorar]]*([1]!Tabel1[[#This Row],[Sidst redigeret]]&gt;TODAY()-40)*([1]!Tabel1[[#This Row],[Er i resplan?]]&lt;&gt;"Ja")*([1]!Tabel1[[#This Row],[Status]]="Pågår")</f>
        <v>0</v>
      </c>
      <c r="AG374" s="12">
        <f ca="1">[1]!Tabel1[[#This Row],[Vægtet Honorar]]*([1]!Tabel1[[#This Row],[Sidst redigeret]]&gt;TODAY()-40)*([1]!Tabel1[[#This Row],[Status]]="Pågår")</f>
        <v>0</v>
      </c>
      <c r="AH374" s="13"/>
      <c r="AI374" s="12"/>
      <c r="AJ374" s="12"/>
      <c r="AK374" s="12"/>
      <c r="AL374" s="12"/>
      <c r="AM374" s="12"/>
      <c r="AN374" s="12"/>
      <c r="AO374" s="12"/>
      <c r="AP374" s="12"/>
    </row>
    <row r="375" spans="1:42">
      <c r="A375" t="s">
        <v>1336</v>
      </c>
      <c r="B375" s="8"/>
      <c r="C375" s="8" t="s">
        <v>1337</v>
      </c>
      <c r="D375" s="8" t="s">
        <v>44</v>
      </c>
      <c r="E375" s="8" t="s">
        <v>71</v>
      </c>
      <c r="F375" s="8" t="s">
        <v>1337</v>
      </c>
      <c r="G375" s="8" t="s">
        <v>1338</v>
      </c>
      <c r="H375" s="9">
        <v>400000</v>
      </c>
      <c r="I375" s="9">
        <f>[1]!Tabel1[[#This Row],[Honorar]]*[1]!Tabel1[[#This Row],[Sandsynlighed]]</f>
        <v>10000</v>
      </c>
      <c r="J375" s="10" t="s">
        <v>1068</v>
      </c>
      <c r="K375" s="10" t="s">
        <v>584</v>
      </c>
      <c r="L375" s="8" t="s">
        <v>1339</v>
      </c>
      <c r="M375" s="11">
        <v>0</v>
      </c>
      <c r="N375" s="1">
        <v>400</v>
      </c>
      <c r="O375" s="10">
        <v>46279.611111111109</v>
      </c>
      <c r="P375" s="10"/>
      <c r="Q375" s="1" t="s">
        <v>72</v>
      </c>
      <c r="R375" s="8" t="s">
        <v>75</v>
      </c>
      <c r="S37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7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7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7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7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7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7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7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7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7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7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7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7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75" s="12">
        <f ca="1">[1]!Tabel1[[#This Row],[Vægtet Honorar]]*([1]!Tabel1[[#This Row],[Sidst redigeret]]&gt;TODAY()-40)*([1]!Tabel1[[#This Row],[Er i resplan?]]&lt;&gt;"Ja")*([1]!Tabel1[[#This Row],[Status]]="Pågår")</f>
        <v>0</v>
      </c>
      <c r="AG375" s="12">
        <f ca="1">[1]!Tabel1[[#This Row],[Vægtet Honorar]]*([1]!Tabel1[[#This Row],[Sidst redigeret]]&gt;TODAY()-40)*([1]!Tabel1[[#This Row],[Status]]="Pågår")</f>
        <v>0</v>
      </c>
      <c r="AH375" s="13"/>
      <c r="AI375" s="12"/>
      <c r="AJ375" s="12"/>
      <c r="AK375" s="12"/>
      <c r="AL375" s="12"/>
      <c r="AM375" s="12"/>
      <c r="AN375" s="12"/>
      <c r="AO375" s="12"/>
      <c r="AP375" s="12"/>
    </row>
    <row r="376" spans="1:42">
      <c r="A376" t="s">
        <v>1340</v>
      </c>
      <c r="B376" s="8"/>
      <c r="C376" s="8" t="s">
        <v>1341</v>
      </c>
      <c r="D376" s="8" t="s">
        <v>720</v>
      </c>
      <c r="E376" s="8" t="s">
        <v>71</v>
      </c>
      <c r="F376" s="8" t="s">
        <v>1342</v>
      </c>
      <c r="G376" s="8" t="s">
        <v>1343</v>
      </c>
      <c r="H376" s="9">
        <v>250000</v>
      </c>
      <c r="I376" s="9">
        <f>[1]!Tabel1[[#This Row],[Honorar]]*[1]!Tabel1[[#This Row],[Sandsynlighed]]</f>
        <v>0</v>
      </c>
      <c r="J376" s="10" t="s">
        <v>1068</v>
      </c>
      <c r="K376" s="10" t="s">
        <v>584</v>
      </c>
      <c r="L376" s="8"/>
      <c r="M376" s="11">
        <v>1</v>
      </c>
      <c r="N376" s="1">
        <v>300</v>
      </c>
      <c r="O376" s="10">
        <v>46279.611111111109</v>
      </c>
      <c r="P376" s="10"/>
      <c r="Q376" s="1" t="s">
        <v>46</v>
      </c>
      <c r="R376" s="8" t="s">
        <v>47</v>
      </c>
      <c r="S37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7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7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7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7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7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7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7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7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7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7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7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7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76" s="12">
        <f ca="1">[1]!Tabel1[[#This Row],[Vægtet Honorar]]*([1]!Tabel1[[#This Row],[Sidst redigeret]]&gt;TODAY()-40)*([1]!Tabel1[[#This Row],[Er i resplan?]]&lt;&gt;"Ja")*([1]!Tabel1[[#This Row],[Status]]="Pågår")</f>
        <v>0</v>
      </c>
      <c r="AG376" s="12">
        <f ca="1">[1]!Tabel1[[#This Row],[Vægtet Honorar]]*([1]!Tabel1[[#This Row],[Sidst redigeret]]&gt;TODAY()-40)*([1]!Tabel1[[#This Row],[Status]]="Pågår")</f>
        <v>0</v>
      </c>
      <c r="AH376" s="13"/>
      <c r="AI376" s="12"/>
      <c r="AJ376" s="12"/>
      <c r="AK376" s="12"/>
      <c r="AL376" s="12"/>
      <c r="AM376" s="12"/>
      <c r="AN376" s="12"/>
      <c r="AO376" s="12"/>
      <c r="AP376" s="12"/>
    </row>
    <row r="377" spans="1:42">
      <c r="A377" t="s">
        <v>1344</v>
      </c>
      <c r="B377" s="8"/>
      <c r="C377" s="8" t="s">
        <v>1345</v>
      </c>
      <c r="D377" s="8" t="s">
        <v>1346</v>
      </c>
      <c r="E377" s="8" t="s">
        <v>167</v>
      </c>
      <c r="F377" s="8" t="s">
        <v>885</v>
      </c>
      <c r="G377" s="8" t="s">
        <v>885</v>
      </c>
      <c r="H377" s="9">
        <v>75000</v>
      </c>
      <c r="I377" s="9">
        <f>[1]!Tabel1[[#This Row],[Honorar]]*[1]!Tabel1[[#This Row],[Sandsynlighed]]</f>
        <v>210000</v>
      </c>
      <c r="J377" s="10" t="s">
        <v>1068</v>
      </c>
      <c r="K377" s="10" t="s">
        <v>622</v>
      </c>
      <c r="L377" s="8"/>
      <c r="M377" s="11">
        <v>1</v>
      </c>
      <c r="N377" s="1"/>
      <c r="O377" s="10">
        <v>46279.611111111109</v>
      </c>
      <c r="P377" s="10"/>
      <c r="Q377" s="1" t="s">
        <v>46</v>
      </c>
      <c r="R377" s="8" t="s">
        <v>47</v>
      </c>
      <c r="S37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7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7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7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7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7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7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7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7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7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7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7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7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77" s="12">
        <f ca="1">[1]!Tabel1[[#This Row],[Vægtet Honorar]]*([1]!Tabel1[[#This Row],[Sidst redigeret]]&gt;TODAY()-40)*([1]!Tabel1[[#This Row],[Er i resplan?]]&lt;&gt;"Ja")*([1]!Tabel1[[#This Row],[Status]]="Pågår")</f>
        <v>0</v>
      </c>
      <c r="AG377" s="12">
        <f ca="1">[1]!Tabel1[[#This Row],[Vægtet Honorar]]*([1]!Tabel1[[#This Row],[Sidst redigeret]]&gt;TODAY()-40)*([1]!Tabel1[[#This Row],[Status]]="Pågår")</f>
        <v>0</v>
      </c>
      <c r="AH377" s="13"/>
      <c r="AI377" s="12"/>
      <c r="AJ377" s="12"/>
      <c r="AK377" s="12"/>
      <c r="AL377" s="12"/>
      <c r="AM377" s="12"/>
      <c r="AN377" s="12"/>
      <c r="AO377" s="12"/>
      <c r="AP377" s="12"/>
    </row>
    <row r="378" spans="1:42">
      <c r="A378" t="s">
        <v>1347</v>
      </c>
      <c r="B378" s="8"/>
      <c r="C378" s="8" t="s">
        <v>1348</v>
      </c>
      <c r="D378" s="8" t="s">
        <v>264</v>
      </c>
      <c r="E378" s="8" t="s">
        <v>94</v>
      </c>
      <c r="F378" s="8" t="s">
        <v>460</v>
      </c>
      <c r="G378" s="8" t="s">
        <v>460</v>
      </c>
      <c r="H378" s="9">
        <v>700000</v>
      </c>
      <c r="I378" s="9">
        <f>[1]!Tabel1[[#This Row],[Honorar]]*[1]!Tabel1[[#This Row],[Sandsynlighed]]</f>
        <v>2500</v>
      </c>
      <c r="J378" s="10" t="s">
        <v>1068</v>
      </c>
      <c r="K378" s="10" t="s">
        <v>612</v>
      </c>
      <c r="L378" s="8"/>
      <c r="M378" s="11">
        <v>1</v>
      </c>
      <c r="N378" s="14">
        <v>45171.514930555553</v>
      </c>
      <c r="O378" s="10">
        <v>46279.611111111109</v>
      </c>
      <c r="P378" s="1" t="s">
        <v>72</v>
      </c>
      <c r="Q378" s="1" t="s">
        <v>46</v>
      </c>
      <c r="R378" s="8" t="s">
        <v>47</v>
      </c>
      <c r="S37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277.52433090024334</v>
      </c>
      <c r="T37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7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7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7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7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7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7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7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7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7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7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7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78" s="12">
        <f ca="1">[1]!Tabel1[[#This Row],[Vægtet Honorar]]*([1]!Tabel1[[#This Row],[Sidst redigeret]]&gt;TODAY()-40)*([1]!Tabel1[[#This Row],[Er i resplan?]]&lt;&gt;"Ja")*([1]!Tabel1[[#This Row],[Status]]="Pågår")</f>
        <v>0</v>
      </c>
      <c r="AG378" s="12">
        <f ca="1">[1]!Tabel1[[#This Row],[Vægtet Honorar]]*([1]!Tabel1[[#This Row],[Sidst redigeret]]&gt;TODAY()-40)*([1]!Tabel1[[#This Row],[Status]]="Pågår")</f>
        <v>0</v>
      </c>
      <c r="AH378" s="13"/>
      <c r="AI378" s="12"/>
      <c r="AJ378" s="12"/>
      <c r="AK378" s="12"/>
      <c r="AL378" s="12"/>
      <c r="AM378" s="12"/>
      <c r="AN378" s="12"/>
      <c r="AO378" s="12"/>
      <c r="AP378" s="12"/>
    </row>
    <row r="379" spans="1:42">
      <c r="A379" t="s">
        <v>1349</v>
      </c>
      <c r="B379" s="8"/>
      <c r="C379" s="8" t="s">
        <v>1350</v>
      </c>
      <c r="D379" s="8" t="s">
        <v>158</v>
      </c>
      <c r="E379" s="8" t="s">
        <v>167</v>
      </c>
      <c r="F379" s="8" t="s">
        <v>1351</v>
      </c>
      <c r="G379" s="8" t="s">
        <v>1352</v>
      </c>
      <c r="H379" s="9">
        <v>300000</v>
      </c>
      <c r="I379" s="9">
        <f>[1]!Tabel1[[#This Row],[Honorar]]*[1]!Tabel1[[#This Row],[Sandsynlighed]]</f>
        <v>0</v>
      </c>
      <c r="J379" s="10" t="s">
        <v>1068</v>
      </c>
      <c r="K379" s="10" t="s">
        <v>612</v>
      </c>
      <c r="L379" s="8"/>
      <c r="M379" s="11">
        <v>0.2</v>
      </c>
      <c r="N379" s="1"/>
      <c r="O379" s="10">
        <v>46279.611111111109</v>
      </c>
      <c r="P379" s="10"/>
      <c r="Q379" s="1" t="s">
        <v>72</v>
      </c>
      <c r="R379" s="8" t="s">
        <v>75</v>
      </c>
      <c r="S37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7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7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7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7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7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7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7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7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7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7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7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7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79" s="12">
        <f ca="1">[1]!Tabel1[[#This Row],[Vægtet Honorar]]*([1]!Tabel1[[#This Row],[Sidst redigeret]]&gt;TODAY()-40)*([1]!Tabel1[[#This Row],[Er i resplan?]]&lt;&gt;"Ja")*([1]!Tabel1[[#This Row],[Status]]="Pågår")</f>
        <v>0</v>
      </c>
      <c r="AG379" s="12">
        <f ca="1">[1]!Tabel1[[#This Row],[Vægtet Honorar]]*([1]!Tabel1[[#This Row],[Sidst redigeret]]&gt;TODAY()-40)*([1]!Tabel1[[#This Row],[Status]]="Pågår")</f>
        <v>0</v>
      </c>
      <c r="AH379" s="13"/>
      <c r="AI379" s="12"/>
      <c r="AJ379" s="12" t="s">
        <v>1353</v>
      </c>
      <c r="AK379" s="12"/>
      <c r="AL379" s="12" t="s">
        <v>1354</v>
      </c>
      <c r="AM379" s="12"/>
      <c r="AN379" s="12"/>
      <c r="AO379" s="12"/>
      <c r="AP379" s="12"/>
    </row>
    <row r="380" spans="1:42">
      <c r="A380" t="s">
        <v>1355</v>
      </c>
      <c r="B380" s="8"/>
      <c r="C380" s="8" t="s">
        <v>1356</v>
      </c>
      <c r="D380" s="8" t="s">
        <v>158</v>
      </c>
      <c r="E380" s="8" t="s">
        <v>167</v>
      </c>
      <c r="F380" s="8" t="s">
        <v>1357</v>
      </c>
      <c r="G380" s="8" t="s">
        <v>402</v>
      </c>
      <c r="H380" s="9">
        <v>1</v>
      </c>
      <c r="I380" s="9">
        <f>[1]!Tabel1[[#This Row],[Honorar]]*[1]!Tabel1[[#This Row],[Sandsynlighed]]</f>
        <v>0</v>
      </c>
      <c r="J380" s="10" t="s">
        <v>612</v>
      </c>
      <c r="K380" s="10" t="s">
        <v>1191</v>
      </c>
      <c r="L380" s="8"/>
      <c r="M380" s="11">
        <v>0.2</v>
      </c>
      <c r="N380" s="1"/>
      <c r="O380" s="10">
        <v>46279.611111111109</v>
      </c>
      <c r="P380" s="10"/>
      <c r="Q380" s="1" t="s">
        <v>72</v>
      </c>
      <c r="R380" s="8" t="s">
        <v>75</v>
      </c>
      <c r="S38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8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8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8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8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8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8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8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8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8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8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8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8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80" s="12">
        <f ca="1">[1]!Tabel1[[#This Row],[Vægtet Honorar]]*([1]!Tabel1[[#This Row],[Sidst redigeret]]&gt;TODAY()-40)*([1]!Tabel1[[#This Row],[Er i resplan?]]&lt;&gt;"Ja")*([1]!Tabel1[[#This Row],[Status]]="Pågår")</f>
        <v>0</v>
      </c>
      <c r="AG380" s="12">
        <f ca="1">[1]!Tabel1[[#This Row],[Vægtet Honorar]]*([1]!Tabel1[[#This Row],[Sidst redigeret]]&gt;TODAY()-40)*([1]!Tabel1[[#This Row],[Status]]="Pågår")</f>
        <v>0</v>
      </c>
      <c r="AH380" s="13"/>
      <c r="AI380" s="12"/>
      <c r="AJ380" s="12" t="s">
        <v>402</v>
      </c>
      <c r="AK380" s="12"/>
      <c r="AL380" s="12" t="s">
        <v>1358</v>
      </c>
      <c r="AM380" s="12" t="s">
        <v>1359</v>
      </c>
      <c r="AN380" s="12" t="s">
        <v>1360</v>
      </c>
      <c r="AO380" s="12"/>
      <c r="AP380" s="12"/>
    </row>
    <row r="381" spans="1:42">
      <c r="A381" t="s">
        <v>1361</v>
      </c>
      <c r="B381" s="8"/>
      <c r="C381" s="8" t="s">
        <v>1362</v>
      </c>
      <c r="D381" s="8" t="s">
        <v>158</v>
      </c>
      <c r="E381" s="8" t="s">
        <v>167</v>
      </c>
      <c r="F381" s="8" t="s">
        <v>1024</v>
      </c>
      <c r="G381" s="8" t="s">
        <v>1363</v>
      </c>
      <c r="H381" s="9">
        <v>300000</v>
      </c>
      <c r="I381" s="9">
        <f>[1]!Tabel1[[#This Row],[Honorar]]*[1]!Tabel1[[#This Row],[Sandsynlighed]]</f>
        <v>250000</v>
      </c>
      <c r="J381" s="10" t="s">
        <v>1068</v>
      </c>
      <c r="K381" s="10" t="s">
        <v>612</v>
      </c>
      <c r="L381" s="8"/>
      <c r="M381" s="11">
        <v>0.1</v>
      </c>
      <c r="N381" s="1"/>
      <c r="O381" s="10">
        <v>46279.611111111109</v>
      </c>
      <c r="P381" s="10"/>
      <c r="Q381" s="1" t="s">
        <v>72</v>
      </c>
      <c r="R381" s="8" t="s">
        <v>75</v>
      </c>
      <c r="S38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8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8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8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8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8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8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8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8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8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8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8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8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81" s="12">
        <f ca="1">[1]!Tabel1[[#This Row],[Vægtet Honorar]]*([1]!Tabel1[[#This Row],[Sidst redigeret]]&gt;TODAY()-40)*([1]!Tabel1[[#This Row],[Er i resplan?]]&lt;&gt;"Ja")*([1]!Tabel1[[#This Row],[Status]]="Pågår")</f>
        <v>0</v>
      </c>
      <c r="AG381" s="12">
        <f ca="1">[1]!Tabel1[[#This Row],[Vægtet Honorar]]*([1]!Tabel1[[#This Row],[Sidst redigeret]]&gt;TODAY()-40)*([1]!Tabel1[[#This Row],[Status]]="Pågår")</f>
        <v>0</v>
      </c>
      <c r="AH381" s="13"/>
      <c r="AI381" s="12"/>
      <c r="AJ381" s="12" t="s">
        <v>1363</v>
      </c>
      <c r="AK381" s="12"/>
      <c r="AL381" s="12" t="s">
        <v>1364</v>
      </c>
      <c r="AM381" s="12"/>
      <c r="AN381" s="12"/>
      <c r="AO381" s="12"/>
      <c r="AP381" s="12"/>
    </row>
    <row r="382" spans="1:42">
      <c r="A382" t="s">
        <v>1365</v>
      </c>
      <c r="B382" s="8"/>
      <c r="C382" s="8" t="s">
        <v>1366</v>
      </c>
      <c r="D382" s="8" t="s">
        <v>158</v>
      </c>
      <c r="E382" s="8" t="s">
        <v>167</v>
      </c>
      <c r="F382" s="8" t="s">
        <v>1367</v>
      </c>
      <c r="G382" s="8" t="s">
        <v>402</v>
      </c>
      <c r="H382" s="9">
        <v>1</v>
      </c>
      <c r="I382" s="9">
        <f>[1]!Tabel1[[#This Row],[Honorar]]*[1]!Tabel1[[#This Row],[Sandsynlighed]]</f>
        <v>75000</v>
      </c>
      <c r="J382" s="10" t="s">
        <v>329</v>
      </c>
      <c r="K382" s="10" t="s">
        <v>342</v>
      </c>
      <c r="L382" s="8"/>
      <c r="M382" s="11">
        <v>0.2</v>
      </c>
      <c r="N382" s="1"/>
      <c r="O382" s="10">
        <v>46279.611111111109</v>
      </c>
      <c r="P382" s="10"/>
      <c r="Q382" s="1" t="s">
        <v>72</v>
      </c>
      <c r="R382" s="8" t="s">
        <v>343</v>
      </c>
      <c r="S38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8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8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8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8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8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8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8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8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8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8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8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8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82" s="12">
        <f ca="1">[1]!Tabel1[[#This Row],[Vægtet Honorar]]*([1]!Tabel1[[#This Row],[Sidst redigeret]]&gt;TODAY()-40)*([1]!Tabel1[[#This Row],[Er i resplan?]]&lt;&gt;"Ja")*([1]!Tabel1[[#This Row],[Status]]="Pågår")</f>
        <v>0</v>
      </c>
      <c r="AG382" s="12">
        <f ca="1">[1]!Tabel1[[#This Row],[Vægtet Honorar]]*([1]!Tabel1[[#This Row],[Sidst redigeret]]&gt;TODAY()-40)*([1]!Tabel1[[#This Row],[Status]]="Pågår")</f>
        <v>0</v>
      </c>
      <c r="AH382" s="13"/>
      <c r="AI382" s="12"/>
      <c r="AJ382" s="12" t="s">
        <v>402</v>
      </c>
      <c r="AK382" s="12"/>
      <c r="AL382" s="12" t="s">
        <v>1368</v>
      </c>
      <c r="AM382" s="12" t="s">
        <v>1369</v>
      </c>
      <c r="AN382" s="12" t="s">
        <v>1360</v>
      </c>
      <c r="AO382" s="12"/>
      <c r="AP382" s="12"/>
    </row>
    <row r="383" spans="1:42">
      <c r="A383" t="s">
        <v>1370</v>
      </c>
      <c r="B383" s="8"/>
      <c r="C383" s="8" t="s">
        <v>1371</v>
      </c>
      <c r="D383" s="8" t="s">
        <v>158</v>
      </c>
      <c r="E383" s="8" t="s">
        <v>167</v>
      </c>
      <c r="F383" s="8" t="s">
        <v>940</v>
      </c>
      <c r="G383" s="8" t="s">
        <v>402</v>
      </c>
      <c r="H383" s="9">
        <v>1</v>
      </c>
      <c r="I383" s="9">
        <f>[1]!Tabel1[[#This Row],[Honorar]]*[1]!Tabel1[[#This Row],[Sandsynlighed]]</f>
        <v>700000</v>
      </c>
      <c r="J383" s="10" t="s">
        <v>1191</v>
      </c>
      <c r="K383" s="10" t="s">
        <v>342</v>
      </c>
      <c r="L383" s="8"/>
      <c r="M383" s="11">
        <v>0.2</v>
      </c>
      <c r="N383" s="1"/>
      <c r="O383" s="10">
        <v>46279.611111111109</v>
      </c>
      <c r="P383" s="10"/>
      <c r="Q383" s="1" t="s">
        <v>72</v>
      </c>
      <c r="R383" s="8" t="s">
        <v>343</v>
      </c>
      <c r="S38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8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8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8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8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8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8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8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8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8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8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8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8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83" s="12">
        <f ca="1">[1]!Tabel1[[#This Row],[Vægtet Honorar]]*([1]!Tabel1[[#This Row],[Sidst redigeret]]&gt;TODAY()-40)*([1]!Tabel1[[#This Row],[Er i resplan?]]&lt;&gt;"Ja")*([1]!Tabel1[[#This Row],[Status]]="Pågår")</f>
        <v>0</v>
      </c>
      <c r="AG383" s="12">
        <f ca="1">[1]!Tabel1[[#This Row],[Vægtet Honorar]]*([1]!Tabel1[[#This Row],[Sidst redigeret]]&gt;TODAY()-40)*([1]!Tabel1[[#This Row],[Status]]="Pågår")</f>
        <v>0</v>
      </c>
      <c r="AH383" s="13"/>
      <c r="AI383" s="12"/>
      <c r="AJ383" s="12" t="s">
        <v>402</v>
      </c>
      <c r="AK383" s="12"/>
      <c r="AL383" s="12" t="s">
        <v>1372</v>
      </c>
      <c r="AM383" s="12" t="s">
        <v>1359</v>
      </c>
      <c r="AN383" s="12" t="s">
        <v>1360</v>
      </c>
      <c r="AO383" s="12"/>
      <c r="AP383" s="12"/>
    </row>
    <row r="384" spans="1:42">
      <c r="A384" t="s">
        <v>1373</v>
      </c>
      <c r="B384" s="8"/>
      <c r="C384" s="8" t="s">
        <v>1374</v>
      </c>
      <c r="D384" s="8" t="s">
        <v>158</v>
      </c>
      <c r="E384" s="8" t="s">
        <v>167</v>
      </c>
      <c r="F384" s="8" t="s">
        <v>671</v>
      </c>
      <c r="G384" s="8" t="s">
        <v>671</v>
      </c>
      <c r="H384" s="9">
        <v>700000</v>
      </c>
      <c r="I384" s="9">
        <f>[1]!Tabel1[[#This Row],[Honorar]]*[1]!Tabel1[[#This Row],[Sandsynlighed]]</f>
        <v>60000</v>
      </c>
      <c r="J384" s="10" t="s">
        <v>622</v>
      </c>
      <c r="K384" s="10" t="s">
        <v>612</v>
      </c>
      <c r="L384" s="8" t="s">
        <v>1375</v>
      </c>
      <c r="M384" s="11">
        <v>0.1</v>
      </c>
      <c r="N384" s="1"/>
      <c r="O384" s="10">
        <v>46279.611111111109</v>
      </c>
      <c r="P384" s="10"/>
      <c r="Q384" s="1" t="s">
        <v>72</v>
      </c>
      <c r="R384" s="8" t="s">
        <v>49</v>
      </c>
      <c r="S38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8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8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8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8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8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8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8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8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8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8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8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8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84" s="12">
        <f ca="1">[1]!Tabel1[[#This Row],[Vægtet Honorar]]*([1]!Tabel1[[#This Row],[Sidst redigeret]]&gt;TODAY()-40)*([1]!Tabel1[[#This Row],[Er i resplan?]]&lt;&gt;"Ja")*([1]!Tabel1[[#This Row],[Status]]="Pågår")</f>
        <v>0</v>
      </c>
      <c r="AG384" s="12">
        <f ca="1">[1]!Tabel1[[#This Row],[Vægtet Honorar]]*([1]!Tabel1[[#This Row],[Sidst redigeret]]&gt;TODAY()-40)*([1]!Tabel1[[#This Row],[Status]]="Pågår")</f>
        <v>0</v>
      </c>
      <c r="AH384" s="13"/>
      <c r="AI384" s="12"/>
      <c r="AJ384" s="12"/>
      <c r="AK384" s="12" t="s">
        <v>1376</v>
      </c>
      <c r="AL384" s="12" t="s">
        <v>1377</v>
      </c>
      <c r="AM384" s="12"/>
      <c r="AN384" s="12" t="s">
        <v>1378</v>
      </c>
      <c r="AO384" s="12"/>
      <c r="AP384" s="12"/>
    </row>
    <row r="385" spans="1:42">
      <c r="A385" t="s">
        <v>1379</v>
      </c>
      <c r="B385" s="8"/>
      <c r="C385" s="8" t="s">
        <v>1380</v>
      </c>
      <c r="D385" s="8" t="s">
        <v>720</v>
      </c>
      <c r="E385" s="8" t="s">
        <v>71</v>
      </c>
      <c r="F385" s="8" t="s">
        <v>1381</v>
      </c>
      <c r="G385" s="8" t="s">
        <v>1382</v>
      </c>
      <c r="H385" s="9">
        <v>1500000</v>
      </c>
      <c r="I385" s="9">
        <f>[1]!Tabel1[[#This Row],[Honorar]]*[1]!Tabel1[[#This Row],[Sandsynlighed]]</f>
        <v>0.2</v>
      </c>
      <c r="J385" s="10" t="s">
        <v>622</v>
      </c>
      <c r="K385" s="10" t="s">
        <v>612</v>
      </c>
      <c r="L385" s="8" t="s">
        <v>1383</v>
      </c>
      <c r="M385" s="11">
        <v>0</v>
      </c>
      <c r="N385" s="1">
        <v>3400</v>
      </c>
      <c r="O385" s="10">
        <v>46279.611111111109</v>
      </c>
      <c r="P385" s="10"/>
      <c r="Q385" s="1" t="s">
        <v>72</v>
      </c>
      <c r="R385" s="8" t="s">
        <v>75</v>
      </c>
      <c r="S38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8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8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8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8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8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8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8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8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8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8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8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8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85" s="12">
        <f ca="1">[1]!Tabel1[[#This Row],[Vægtet Honorar]]*([1]!Tabel1[[#This Row],[Sidst redigeret]]&gt;TODAY()-40)*([1]!Tabel1[[#This Row],[Er i resplan?]]&lt;&gt;"Ja")*([1]!Tabel1[[#This Row],[Status]]="Pågår")</f>
        <v>0</v>
      </c>
      <c r="AG385" s="12">
        <f ca="1">[1]!Tabel1[[#This Row],[Vægtet Honorar]]*([1]!Tabel1[[#This Row],[Sidst redigeret]]&gt;TODAY()-40)*([1]!Tabel1[[#This Row],[Status]]="Pågår")</f>
        <v>0</v>
      </c>
      <c r="AH385" s="13"/>
      <c r="AI385" s="12" t="s">
        <v>1384</v>
      </c>
      <c r="AJ385" s="12" t="s">
        <v>1213</v>
      </c>
      <c r="AK385" s="12"/>
      <c r="AL385" s="12" t="s">
        <v>1385</v>
      </c>
      <c r="AM385" s="12" t="s">
        <v>1068</v>
      </c>
      <c r="AN385" s="12"/>
      <c r="AO385" s="12"/>
      <c r="AP385" s="12"/>
    </row>
    <row r="386" spans="1:42">
      <c r="A386" t="s">
        <v>1386</v>
      </c>
      <c r="B386" s="8"/>
      <c r="C386" s="8" t="s">
        <v>1387</v>
      </c>
      <c r="D386" s="8" t="s">
        <v>206</v>
      </c>
      <c r="E386" s="8" t="s">
        <v>94</v>
      </c>
      <c r="F386" s="8" t="s">
        <v>460</v>
      </c>
      <c r="G386" s="8" t="s">
        <v>1352</v>
      </c>
      <c r="H386" s="9">
        <v>2000000</v>
      </c>
      <c r="I386" s="9">
        <f>[1]!Tabel1[[#This Row],[Honorar]]*[1]!Tabel1[[#This Row],[Sandsynlighed]]</f>
        <v>30000</v>
      </c>
      <c r="J386" s="10" t="s">
        <v>328</v>
      </c>
      <c r="K386" s="10" t="s">
        <v>1191</v>
      </c>
      <c r="L386" s="8" t="s">
        <v>1388</v>
      </c>
      <c r="M386" s="11">
        <v>0.6</v>
      </c>
      <c r="N386" s="1"/>
      <c r="O386" s="10">
        <v>46279.611111111109</v>
      </c>
      <c r="P386" s="1" t="s">
        <v>72</v>
      </c>
      <c r="Q386" s="1" t="s">
        <v>46</v>
      </c>
      <c r="R386" s="8" t="s">
        <v>47</v>
      </c>
      <c r="S38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8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8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8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8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8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8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8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8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8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8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8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8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86" s="12">
        <f ca="1">[1]!Tabel1[[#This Row],[Vægtet Honorar]]*([1]!Tabel1[[#This Row],[Sidst redigeret]]&gt;TODAY()-40)*([1]!Tabel1[[#This Row],[Er i resplan?]]&lt;&gt;"Ja")*([1]!Tabel1[[#This Row],[Status]]="Pågår")</f>
        <v>0</v>
      </c>
      <c r="AG386" s="12">
        <f ca="1">[1]!Tabel1[[#This Row],[Vægtet Honorar]]*([1]!Tabel1[[#This Row],[Sidst redigeret]]&gt;TODAY()-40)*([1]!Tabel1[[#This Row],[Status]]="Pågår")</f>
        <v>0</v>
      </c>
      <c r="AH386" s="13"/>
      <c r="AI386" s="12"/>
      <c r="AJ386" s="12"/>
      <c r="AK386" s="12"/>
      <c r="AL386" s="12"/>
      <c r="AM386" s="12"/>
      <c r="AN386" s="12"/>
      <c r="AO386" s="12"/>
      <c r="AP386" s="12"/>
    </row>
    <row r="387" spans="1:42">
      <c r="A387" t="s">
        <v>1389</v>
      </c>
      <c r="B387" s="8"/>
      <c r="C387" s="8" t="s">
        <v>1390</v>
      </c>
      <c r="D387" s="8" t="s">
        <v>70</v>
      </c>
      <c r="E387" s="8" t="s">
        <v>102</v>
      </c>
      <c r="F387" s="8" t="s">
        <v>1391</v>
      </c>
      <c r="G387" s="8" t="s">
        <v>1391</v>
      </c>
      <c r="H387" s="9">
        <v>4200000</v>
      </c>
      <c r="I387" s="9">
        <f>[1]!Tabel1[[#This Row],[Honorar]]*[1]!Tabel1[[#This Row],[Sandsynlighed]]</f>
        <v>0.2</v>
      </c>
      <c r="J387" s="10" t="s">
        <v>1068</v>
      </c>
      <c r="K387" s="10" t="s">
        <v>1061</v>
      </c>
      <c r="L387" s="8"/>
      <c r="M387" s="11">
        <v>1</v>
      </c>
      <c r="N387" s="1"/>
      <c r="O387" s="10">
        <v>46279.611111111109</v>
      </c>
      <c r="P387" s="10"/>
      <c r="Q387" s="1" t="s">
        <v>46</v>
      </c>
      <c r="R387" s="8" t="s">
        <v>47</v>
      </c>
      <c r="S38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9.5200834637454365E-3</v>
      </c>
      <c r="T38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9.5200834637454365E-3</v>
      </c>
      <c r="U38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9.5200834637454365E-3</v>
      </c>
      <c r="V38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9.5200834637454365E-3</v>
      </c>
      <c r="W38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8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8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8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8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8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8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8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8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87" s="12">
        <f ca="1">[1]!Tabel1[[#This Row],[Vægtet Honorar]]*([1]!Tabel1[[#This Row],[Sidst redigeret]]&gt;TODAY()-40)*([1]!Tabel1[[#This Row],[Er i resplan?]]&lt;&gt;"Ja")*([1]!Tabel1[[#This Row],[Status]]="Pågår")</f>
        <v>0.2</v>
      </c>
      <c r="AG387" s="12">
        <f ca="1">[1]!Tabel1[[#This Row],[Vægtet Honorar]]*([1]!Tabel1[[#This Row],[Sidst redigeret]]&gt;TODAY()-40)*([1]!Tabel1[[#This Row],[Status]]="Pågår")</f>
        <v>0.2</v>
      </c>
      <c r="AH387" s="13"/>
      <c r="AI387" s="12"/>
      <c r="AJ387" s="12"/>
      <c r="AK387" s="12"/>
      <c r="AL387" s="12"/>
      <c r="AM387" s="12"/>
      <c r="AN387" s="12"/>
      <c r="AO387" s="12"/>
      <c r="AP387" s="12"/>
    </row>
    <row r="388" spans="1:42">
      <c r="A388" t="s">
        <v>1392</v>
      </c>
      <c r="B388" s="8"/>
      <c r="C388" s="8" t="s">
        <v>1393</v>
      </c>
      <c r="D388" s="8" t="s">
        <v>158</v>
      </c>
      <c r="E388" s="8" t="s">
        <v>167</v>
      </c>
      <c r="F388" s="8" t="s">
        <v>1394</v>
      </c>
      <c r="G388" s="8" t="s">
        <v>1395</v>
      </c>
      <c r="H388" s="9">
        <v>200000</v>
      </c>
      <c r="I388" s="9">
        <f>[1]!Tabel1[[#This Row],[Honorar]]*[1]!Tabel1[[#This Row],[Sandsynlighed]]</f>
        <v>0.2</v>
      </c>
      <c r="J388" s="10" t="s">
        <v>1068</v>
      </c>
      <c r="K388" s="10" t="s">
        <v>328</v>
      </c>
      <c r="L388" s="8"/>
      <c r="M388" s="11">
        <v>0.8</v>
      </c>
      <c r="N388" s="1"/>
      <c r="O388" s="10">
        <v>46279.611111111109</v>
      </c>
      <c r="P388" s="10"/>
      <c r="Q388" s="1" t="s">
        <v>46</v>
      </c>
      <c r="R388" s="8" t="s">
        <v>47</v>
      </c>
      <c r="S38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1.33406432748538E-2</v>
      </c>
      <c r="T38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1.33406432748538E-2</v>
      </c>
      <c r="U38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1.33406432748538E-2</v>
      </c>
      <c r="V38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1.33406432748538E-2</v>
      </c>
      <c r="W38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8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8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8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8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8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8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8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8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88" s="12">
        <f ca="1">[1]!Tabel1[[#This Row],[Vægtet Honorar]]*([1]!Tabel1[[#This Row],[Sidst redigeret]]&gt;TODAY()-40)*([1]!Tabel1[[#This Row],[Er i resplan?]]&lt;&gt;"Ja")*([1]!Tabel1[[#This Row],[Status]]="Pågår")</f>
        <v>0.2</v>
      </c>
      <c r="AG388" s="12">
        <f ca="1">[1]!Tabel1[[#This Row],[Vægtet Honorar]]*([1]!Tabel1[[#This Row],[Sidst redigeret]]&gt;TODAY()-40)*([1]!Tabel1[[#This Row],[Status]]="Pågår")</f>
        <v>0.2</v>
      </c>
      <c r="AH388" s="13"/>
      <c r="AI388" s="12"/>
      <c r="AJ388" s="12"/>
      <c r="AK388" s="12"/>
      <c r="AL388" s="12"/>
      <c r="AM388" s="12"/>
      <c r="AN388" s="12"/>
      <c r="AO388" s="12"/>
      <c r="AP388" s="12"/>
    </row>
    <row r="389" spans="1:42">
      <c r="A389" t="s">
        <v>1396</v>
      </c>
      <c r="B389" s="8"/>
      <c r="C389" s="8" t="s">
        <v>1397</v>
      </c>
      <c r="D389" s="8" t="s">
        <v>44</v>
      </c>
      <c r="E389" s="8" t="s">
        <v>71</v>
      </c>
      <c r="F389" s="8" t="s">
        <v>1398</v>
      </c>
      <c r="G389" s="8" t="s">
        <v>1399</v>
      </c>
      <c r="H389" s="9">
        <v>250000</v>
      </c>
      <c r="I389" s="9">
        <f>[1]!Tabel1[[#This Row],[Honorar]]*[1]!Tabel1[[#This Row],[Sandsynlighed]]</f>
        <v>70000</v>
      </c>
      <c r="J389" s="10" t="s">
        <v>452</v>
      </c>
      <c r="K389" s="10" t="s">
        <v>329</v>
      </c>
      <c r="L389" s="8" t="s">
        <v>1400</v>
      </c>
      <c r="M389" s="11">
        <v>0</v>
      </c>
      <c r="N389" s="1"/>
      <c r="O389" s="10">
        <v>46279.611111111109</v>
      </c>
      <c r="P389" s="10"/>
      <c r="Q389" s="1" t="s">
        <v>46</v>
      </c>
      <c r="R389" s="8" t="s">
        <v>75</v>
      </c>
      <c r="S38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4659.008023340627</v>
      </c>
      <c r="T38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8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8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8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8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8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8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8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8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8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8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8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89" s="12">
        <f ca="1">[1]!Tabel1[[#This Row],[Vægtet Honorar]]*([1]!Tabel1[[#This Row],[Sidst redigeret]]&gt;TODAY()-40)*([1]!Tabel1[[#This Row],[Er i resplan?]]&lt;&gt;"Ja")*([1]!Tabel1[[#This Row],[Status]]="Pågår")</f>
        <v>0</v>
      </c>
      <c r="AG389" s="12">
        <f ca="1">[1]!Tabel1[[#This Row],[Vægtet Honorar]]*([1]!Tabel1[[#This Row],[Sidst redigeret]]&gt;TODAY()-40)*([1]!Tabel1[[#This Row],[Status]]="Pågår")</f>
        <v>0</v>
      </c>
      <c r="AH389" s="13"/>
      <c r="AI389" s="12"/>
      <c r="AJ389" s="12"/>
      <c r="AK389" s="12"/>
      <c r="AL389" s="12"/>
      <c r="AM389" s="12"/>
      <c r="AN389" s="12"/>
      <c r="AO389" s="12"/>
      <c r="AP389" s="12"/>
    </row>
    <row r="390" spans="1:42">
      <c r="A390" t="s">
        <v>1396</v>
      </c>
      <c r="B390" s="8"/>
      <c r="C390" s="8" t="s">
        <v>1393</v>
      </c>
      <c r="D390" s="8" t="s">
        <v>158</v>
      </c>
      <c r="E390" s="8" t="s">
        <v>167</v>
      </c>
      <c r="F390" s="8" t="s">
        <v>1401</v>
      </c>
      <c r="G390" s="8" t="s">
        <v>1401</v>
      </c>
      <c r="H390" s="9">
        <v>150000</v>
      </c>
      <c r="I390" s="9">
        <f>[1]!Tabel1[[#This Row],[Honorar]]*[1]!Tabel1[[#This Row],[Sandsynlighed]]</f>
        <v>0</v>
      </c>
      <c r="J390" s="10" t="s">
        <v>1068</v>
      </c>
      <c r="K390" s="10" t="s">
        <v>328</v>
      </c>
      <c r="L390" s="8"/>
      <c r="M390" s="11">
        <v>0.8</v>
      </c>
      <c r="N390" s="1"/>
      <c r="O390" s="10">
        <v>46279.611111111109</v>
      </c>
      <c r="P390" s="10"/>
      <c r="Q390" s="1" t="s">
        <v>72</v>
      </c>
      <c r="R390" s="8" t="s">
        <v>47</v>
      </c>
      <c r="S39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9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9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9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9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9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9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9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9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9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9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9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9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90" s="12">
        <f ca="1">[1]!Tabel1[[#This Row],[Vægtet Honorar]]*([1]!Tabel1[[#This Row],[Sidst redigeret]]&gt;TODAY()-40)*([1]!Tabel1[[#This Row],[Er i resplan?]]&lt;&gt;"Ja")*([1]!Tabel1[[#This Row],[Status]]="Pågår")</f>
        <v>0</v>
      </c>
      <c r="AG390" s="12">
        <f ca="1">[1]!Tabel1[[#This Row],[Vægtet Honorar]]*([1]!Tabel1[[#This Row],[Sidst redigeret]]&gt;TODAY()-40)*([1]!Tabel1[[#This Row],[Status]]="Pågår")</f>
        <v>0</v>
      </c>
      <c r="AH390" s="13"/>
      <c r="AI390" s="12"/>
      <c r="AJ390" s="12"/>
      <c r="AK390" s="12"/>
      <c r="AL390" s="12"/>
      <c r="AM390" s="12"/>
      <c r="AN390" s="12"/>
      <c r="AO390" s="12"/>
      <c r="AP390" s="12"/>
    </row>
    <row r="391" spans="1:42">
      <c r="A391" t="s">
        <v>1402</v>
      </c>
      <c r="B391" s="8"/>
      <c r="C391" s="8" t="s">
        <v>1403</v>
      </c>
      <c r="D391" s="8" t="s">
        <v>875</v>
      </c>
      <c r="E391" s="8" t="s">
        <v>94</v>
      </c>
      <c r="F391" s="8" t="s">
        <v>1404</v>
      </c>
      <c r="G391" s="8" t="s">
        <v>1404</v>
      </c>
      <c r="H391" s="9">
        <v>600000</v>
      </c>
      <c r="I391" s="9">
        <f>[1]!Tabel1[[#This Row],[Honorar]]*[1]!Tabel1[[#This Row],[Sandsynlighed]]</f>
        <v>1200000</v>
      </c>
      <c r="J391" s="10" t="s">
        <v>1068</v>
      </c>
      <c r="K391" s="10" t="s">
        <v>1061</v>
      </c>
      <c r="L391" s="8" t="s">
        <v>1405</v>
      </c>
      <c r="M391" s="11">
        <v>0.8</v>
      </c>
      <c r="N391" s="1">
        <v>13208</v>
      </c>
      <c r="O391" s="10">
        <v>46279.611111111109</v>
      </c>
      <c r="P391" s="1" t="s">
        <v>72</v>
      </c>
      <c r="Q391" s="1" t="s">
        <v>46</v>
      </c>
      <c r="R391" s="8" t="s">
        <v>75</v>
      </c>
      <c r="S39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9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9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9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9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9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9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9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9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9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9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9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9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91" s="12">
        <f ca="1">[1]!Tabel1[[#This Row],[Vægtet Honorar]]*([1]!Tabel1[[#This Row],[Sidst redigeret]]&gt;TODAY()-40)*([1]!Tabel1[[#This Row],[Er i resplan?]]&lt;&gt;"Ja")*([1]!Tabel1[[#This Row],[Status]]="Pågår")</f>
        <v>0</v>
      </c>
      <c r="AG391" s="12">
        <f ca="1">[1]!Tabel1[[#This Row],[Vægtet Honorar]]*([1]!Tabel1[[#This Row],[Sidst redigeret]]&gt;TODAY()-40)*([1]!Tabel1[[#This Row],[Status]]="Pågår")</f>
        <v>0</v>
      </c>
      <c r="AH391" s="13"/>
      <c r="AI391" s="12"/>
      <c r="AJ391" s="12"/>
      <c r="AK391" s="12"/>
      <c r="AL391" s="12"/>
      <c r="AM391" s="12"/>
      <c r="AN391" s="12"/>
      <c r="AO391" s="12"/>
      <c r="AP391" s="12"/>
    </row>
    <row r="392" spans="1:42">
      <c r="A392" t="s">
        <v>1406</v>
      </c>
      <c r="B392" s="8"/>
      <c r="C392" s="8" t="s">
        <v>1407</v>
      </c>
      <c r="D392" s="8" t="s">
        <v>707</v>
      </c>
      <c r="E392" s="8" t="s">
        <v>94</v>
      </c>
      <c r="F392" s="8" t="s">
        <v>1404</v>
      </c>
      <c r="G392" s="8" t="s">
        <v>1404</v>
      </c>
      <c r="H392" s="9">
        <v>2000000</v>
      </c>
      <c r="I392" s="9">
        <f>[1]!Tabel1[[#This Row],[Honorar]]*[1]!Tabel1[[#This Row],[Sandsynlighed]]</f>
        <v>4200000</v>
      </c>
      <c r="J392" s="10" t="s">
        <v>1068</v>
      </c>
      <c r="K392" s="10" t="s">
        <v>622</v>
      </c>
      <c r="L392" s="8" t="s">
        <v>1408</v>
      </c>
      <c r="M392" s="11">
        <v>0.1</v>
      </c>
      <c r="N392" s="1">
        <v>5000</v>
      </c>
      <c r="O392" s="10">
        <v>46279.611111111109</v>
      </c>
      <c r="P392" s="1" t="s">
        <v>72</v>
      </c>
      <c r="Q392" s="1"/>
      <c r="R392" s="8" t="s">
        <v>75</v>
      </c>
      <c r="S39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9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9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9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9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9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9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9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9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9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9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9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9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92" s="12">
        <f ca="1">[1]!Tabel1[[#This Row],[Vægtet Honorar]]*([1]!Tabel1[[#This Row],[Sidst redigeret]]&gt;TODAY()-40)*([1]!Tabel1[[#This Row],[Er i resplan?]]&lt;&gt;"Ja")*([1]!Tabel1[[#This Row],[Status]]="Pågår")</f>
        <v>0</v>
      </c>
      <c r="AG392" s="12">
        <f ca="1">[1]!Tabel1[[#This Row],[Vægtet Honorar]]*([1]!Tabel1[[#This Row],[Sidst redigeret]]&gt;TODAY()-40)*([1]!Tabel1[[#This Row],[Status]]="Pågår")</f>
        <v>0</v>
      </c>
      <c r="AH392" s="13"/>
      <c r="AI392" s="12"/>
      <c r="AJ392" s="12"/>
      <c r="AK392" s="12"/>
      <c r="AL392" s="12"/>
      <c r="AM392" s="12"/>
      <c r="AN392" s="12"/>
      <c r="AO392" s="12"/>
      <c r="AP392" s="12"/>
    </row>
    <row r="393" spans="1:42">
      <c r="A393" t="s">
        <v>1409</v>
      </c>
      <c r="B393" s="8"/>
      <c r="C393" s="8" t="s">
        <v>1410</v>
      </c>
      <c r="D393" s="8" t="s">
        <v>57</v>
      </c>
      <c r="E393" s="8" t="s">
        <v>167</v>
      </c>
      <c r="F393" s="8" t="s">
        <v>1411</v>
      </c>
      <c r="G393" s="8" t="s">
        <v>1411</v>
      </c>
      <c r="H393" s="9">
        <v>1</v>
      </c>
      <c r="I393" s="9">
        <f>[1]!Tabel1[[#This Row],[Honorar]]*[1]!Tabel1[[#This Row],[Sandsynlighed]]</f>
        <v>160000</v>
      </c>
      <c r="J393" s="10" t="s">
        <v>1174</v>
      </c>
      <c r="K393" s="10" t="s">
        <v>622</v>
      </c>
      <c r="L393" s="8"/>
      <c r="M393" s="11">
        <v>1</v>
      </c>
      <c r="N393" s="1">
        <v>1</v>
      </c>
      <c r="O393" s="10">
        <v>46279.611111111109</v>
      </c>
      <c r="P393" s="10"/>
      <c r="Q393" s="1"/>
      <c r="R393" s="8" t="s">
        <v>47</v>
      </c>
      <c r="S39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9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9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9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9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9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9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9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9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9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9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9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9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93" s="12">
        <f ca="1">[1]!Tabel1[[#This Row],[Vægtet Honorar]]*([1]!Tabel1[[#This Row],[Sidst redigeret]]&gt;TODAY()-40)*([1]!Tabel1[[#This Row],[Er i resplan?]]&lt;&gt;"Ja")*([1]!Tabel1[[#This Row],[Status]]="Pågår")</f>
        <v>0</v>
      </c>
      <c r="AG393" s="12">
        <f ca="1">[1]!Tabel1[[#This Row],[Vægtet Honorar]]*([1]!Tabel1[[#This Row],[Sidst redigeret]]&gt;TODAY()-40)*([1]!Tabel1[[#This Row],[Status]]="Pågår")</f>
        <v>0</v>
      </c>
      <c r="AH393" s="13"/>
      <c r="AI393" s="12"/>
      <c r="AJ393" s="12"/>
      <c r="AK393" s="12"/>
      <c r="AL393" s="12"/>
      <c r="AM393" s="12"/>
      <c r="AN393" s="12"/>
      <c r="AO393" s="12"/>
      <c r="AP393" s="12"/>
    </row>
    <row r="394" spans="1:42">
      <c r="A394" t="s">
        <v>1412</v>
      </c>
      <c r="B394" s="8"/>
      <c r="C394" s="8" t="s">
        <v>1413</v>
      </c>
      <c r="D394" s="8" t="s">
        <v>70</v>
      </c>
      <c r="E394" s="8" t="s">
        <v>102</v>
      </c>
      <c r="F394" s="8" t="s">
        <v>1119</v>
      </c>
      <c r="G394" s="8" t="s">
        <v>1119</v>
      </c>
      <c r="H394" s="9">
        <v>20000000</v>
      </c>
      <c r="I394" s="9">
        <f>[1]!Tabel1[[#This Row],[Honorar]]*[1]!Tabel1[[#This Row],[Sandsynlighed]]</f>
        <v>0</v>
      </c>
      <c r="J394" s="10" t="s">
        <v>328</v>
      </c>
      <c r="K394" s="10" t="s">
        <v>342</v>
      </c>
      <c r="L394" s="8" t="s">
        <v>1414</v>
      </c>
      <c r="M394" s="11">
        <v>0</v>
      </c>
      <c r="N394" s="1">
        <v>120000</v>
      </c>
      <c r="O394" s="10">
        <v>46279.611111111109</v>
      </c>
      <c r="P394" s="10"/>
      <c r="Q394" s="1" t="s">
        <v>72</v>
      </c>
      <c r="R394" s="8" t="s">
        <v>49</v>
      </c>
      <c r="S39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9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9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9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9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9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9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9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9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9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9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9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9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94" s="12">
        <f ca="1">[1]!Tabel1[[#This Row],[Vægtet Honorar]]*([1]!Tabel1[[#This Row],[Sidst redigeret]]&gt;TODAY()-40)*([1]!Tabel1[[#This Row],[Er i resplan?]]&lt;&gt;"Ja")*([1]!Tabel1[[#This Row],[Status]]="Pågår")</f>
        <v>0</v>
      </c>
      <c r="AG394" s="12">
        <f ca="1">[1]!Tabel1[[#This Row],[Vægtet Honorar]]*([1]!Tabel1[[#This Row],[Sidst redigeret]]&gt;TODAY()-40)*([1]!Tabel1[[#This Row],[Status]]="Pågår")</f>
        <v>0</v>
      </c>
      <c r="AH394" s="13"/>
      <c r="AI394" s="12"/>
      <c r="AJ394" s="12"/>
      <c r="AK394" s="12"/>
      <c r="AL394" s="12"/>
      <c r="AM394" s="12"/>
      <c r="AN394" s="12"/>
      <c r="AO394" s="12"/>
      <c r="AP394" s="12"/>
    </row>
    <row r="395" spans="1:42">
      <c r="A395" t="s">
        <v>1415</v>
      </c>
      <c r="B395" s="8"/>
      <c r="C395" s="8" t="s">
        <v>1416</v>
      </c>
      <c r="D395" s="8" t="s">
        <v>65</v>
      </c>
      <c r="E395" s="8" t="s">
        <v>167</v>
      </c>
      <c r="F395" s="8" t="s">
        <v>1417</v>
      </c>
      <c r="G395" s="8" t="s">
        <v>1417</v>
      </c>
      <c r="H395" s="9">
        <v>150000</v>
      </c>
      <c r="I395" s="9">
        <f>[1]!Tabel1[[#This Row],[Honorar]]*[1]!Tabel1[[#This Row],[Sandsynlighed]]</f>
        <v>120000</v>
      </c>
      <c r="J395" s="10" t="s">
        <v>1061</v>
      </c>
      <c r="K395" s="10" t="s">
        <v>1191</v>
      </c>
      <c r="L395" s="8"/>
      <c r="M395" s="11">
        <v>0.9</v>
      </c>
      <c r="N395" s="1"/>
      <c r="O395" s="10">
        <v>46279.611111111109</v>
      </c>
      <c r="P395" s="10"/>
      <c r="Q395" s="1" t="s">
        <v>46</v>
      </c>
      <c r="R395" s="8" t="s">
        <v>343</v>
      </c>
      <c r="S39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9999.9999999999982</v>
      </c>
      <c r="T39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9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9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9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9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9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9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9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9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9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9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9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95" s="12">
        <f ca="1">[1]!Tabel1[[#This Row],[Vægtet Honorar]]*([1]!Tabel1[[#This Row],[Sidst redigeret]]&gt;TODAY()-40)*([1]!Tabel1[[#This Row],[Er i resplan?]]&lt;&gt;"Ja")*([1]!Tabel1[[#This Row],[Status]]="Pågår")</f>
        <v>0</v>
      </c>
      <c r="AG395" s="12">
        <f ca="1">[1]!Tabel1[[#This Row],[Vægtet Honorar]]*([1]!Tabel1[[#This Row],[Sidst redigeret]]&gt;TODAY()-40)*([1]!Tabel1[[#This Row],[Status]]="Pågår")</f>
        <v>0</v>
      </c>
      <c r="AH395" s="13"/>
      <c r="AI395" s="12"/>
      <c r="AJ395" s="12"/>
      <c r="AK395" s="12"/>
      <c r="AL395" s="12"/>
      <c r="AM395" s="12"/>
      <c r="AN395" s="12"/>
      <c r="AO395" s="12"/>
      <c r="AP395" s="12"/>
    </row>
    <row r="396" spans="1:42">
      <c r="A396" t="s">
        <v>1418</v>
      </c>
      <c r="B396" s="8"/>
      <c r="C396" s="8" t="s">
        <v>1419</v>
      </c>
      <c r="D396" s="8" t="s">
        <v>65</v>
      </c>
      <c r="E396" s="8" t="s">
        <v>167</v>
      </c>
      <c r="F396" s="8" t="s">
        <v>1417</v>
      </c>
      <c r="G396" s="8" t="s">
        <v>1417</v>
      </c>
      <c r="H396" s="9">
        <v>150000</v>
      </c>
      <c r="I396" s="9">
        <f>[1]!Tabel1[[#This Row],[Honorar]]*[1]!Tabel1[[#This Row],[Sandsynlighed]]</f>
        <v>480000</v>
      </c>
      <c r="J396" s="10" t="s">
        <v>328</v>
      </c>
      <c r="K396" s="10" t="s">
        <v>612</v>
      </c>
      <c r="L396" s="8"/>
      <c r="M396" s="11">
        <v>0.9</v>
      </c>
      <c r="N396" s="1"/>
      <c r="O396" s="10">
        <v>46279.611111111109</v>
      </c>
      <c r="P396" s="10"/>
      <c r="Q396" s="1" t="s">
        <v>46</v>
      </c>
      <c r="R396" s="8" t="s">
        <v>343</v>
      </c>
      <c r="S39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9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9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9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9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9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9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9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9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9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9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9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9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96" s="12">
        <f ca="1">[1]!Tabel1[[#This Row],[Vægtet Honorar]]*([1]!Tabel1[[#This Row],[Sidst redigeret]]&gt;TODAY()-40)*([1]!Tabel1[[#This Row],[Er i resplan?]]&lt;&gt;"Ja")*([1]!Tabel1[[#This Row],[Status]]="Pågår")</f>
        <v>0</v>
      </c>
      <c r="AG396" s="12">
        <f ca="1">[1]!Tabel1[[#This Row],[Vægtet Honorar]]*([1]!Tabel1[[#This Row],[Sidst redigeret]]&gt;TODAY()-40)*([1]!Tabel1[[#This Row],[Status]]="Pågår")</f>
        <v>0</v>
      </c>
      <c r="AH396" s="13"/>
      <c r="AI396" s="12"/>
      <c r="AJ396" s="12"/>
      <c r="AK396" s="12"/>
      <c r="AL396" s="12"/>
      <c r="AM396" s="12"/>
      <c r="AN396" s="12"/>
      <c r="AO396" s="12"/>
      <c r="AP396" s="12"/>
    </row>
    <row r="397" spans="1:42">
      <c r="A397" t="s">
        <v>1420</v>
      </c>
      <c r="B397" s="8"/>
      <c r="C397" s="8" t="s">
        <v>1421</v>
      </c>
      <c r="D397" s="8" t="s">
        <v>200</v>
      </c>
      <c r="E397" s="8" t="s">
        <v>120</v>
      </c>
      <c r="F397" s="8" t="s">
        <v>1422</v>
      </c>
      <c r="G397" s="8" t="s">
        <v>1423</v>
      </c>
      <c r="H397" s="9">
        <v>150000</v>
      </c>
      <c r="I397" s="9">
        <f>[1]!Tabel1[[#This Row],[Honorar]]*[1]!Tabel1[[#This Row],[Sandsynlighed]]</f>
        <v>200000</v>
      </c>
      <c r="J397" s="10" t="s">
        <v>622</v>
      </c>
      <c r="K397" s="10" t="s">
        <v>328</v>
      </c>
      <c r="L397" s="8" t="s">
        <v>1424</v>
      </c>
      <c r="M397" s="11">
        <v>0.1</v>
      </c>
      <c r="N397" s="14"/>
      <c r="O397" s="10">
        <v>46279.611111111109</v>
      </c>
      <c r="P397" s="10"/>
      <c r="Q397" s="1" t="s">
        <v>46</v>
      </c>
      <c r="R397" s="8" t="s">
        <v>49</v>
      </c>
      <c r="S39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9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9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9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9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9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9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9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9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9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9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9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9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97" s="12">
        <f ca="1">[1]!Tabel1[[#This Row],[Vægtet Honorar]]*([1]!Tabel1[[#This Row],[Sidst redigeret]]&gt;TODAY()-40)*([1]!Tabel1[[#This Row],[Er i resplan?]]&lt;&gt;"Ja")*([1]!Tabel1[[#This Row],[Status]]="Pågår")</f>
        <v>0</v>
      </c>
      <c r="AG397" s="12">
        <f ca="1">[1]!Tabel1[[#This Row],[Vægtet Honorar]]*([1]!Tabel1[[#This Row],[Sidst redigeret]]&gt;TODAY()-40)*([1]!Tabel1[[#This Row],[Status]]="Pågår")</f>
        <v>0</v>
      </c>
      <c r="AH397" s="13"/>
      <c r="AI397" s="12"/>
      <c r="AJ397" s="12"/>
      <c r="AK397" s="12"/>
      <c r="AL397" s="12"/>
      <c r="AM397" s="12"/>
      <c r="AN397" s="12"/>
      <c r="AO397" s="12"/>
      <c r="AP397" s="12"/>
    </row>
    <row r="398" spans="1:42">
      <c r="A398" t="s">
        <v>1425</v>
      </c>
      <c r="B398" s="8"/>
      <c r="C398" s="8" t="s">
        <v>1426</v>
      </c>
      <c r="D398" s="8" t="s">
        <v>200</v>
      </c>
      <c r="E398" s="8" t="s">
        <v>120</v>
      </c>
      <c r="F398" s="8" t="s">
        <v>1427</v>
      </c>
      <c r="G398" s="8" t="s">
        <v>1427</v>
      </c>
      <c r="H398" s="9">
        <v>8000000</v>
      </c>
      <c r="I398" s="9">
        <f>[1]!Tabel1[[#This Row],[Honorar]]*[1]!Tabel1[[#This Row],[Sandsynlighed]]</f>
        <v>1</v>
      </c>
      <c r="J398" s="10" t="s">
        <v>452</v>
      </c>
      <c r="K398" s="10" t="s">
        <v>1287</v>
      </c>
      <c r="L398" s="8"/>
      <c r="M398" s="11">
        <v>0.85</v>
      </c>
      <c r="N398" s="1">
        <v>18000</v>
      </c>
      <c r="O398" s="10">
        <v>46279.611111111109</v>
      </c>
      <c r="P398" s="10"/>
      <c r="Q398" s="1" t="s">
        <v>46</v>
      </c>
      <c r="R398" s="8" t="s">
        <v>47</v>
      </c>
      <c r="S39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0.11100973236009731</v>
      </c>
      <c r="T39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9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9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9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9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9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9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9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9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9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9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9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98" s="12">
        <f ca="1">[1]!Tabel1[[#This Row],[Vægtet Honorar]]*([1]!Tabel1[[#This Row],[Sidst redigeret]]&gt;TODAY()-40)*([1]!Tabel1[[#This Row],[Er i resplan?]]&lt;&gt;"Ja")*([1]!Tabel1[[#This Row],[Status]]="Pågår")</f>
        <v>0</v>
      </c>
      <c r="AG398" s="12">
        <f ca="1">[1]!Tabel1[[#This Row],[Vægtet Honorar]]*([1]!Tabel1[[#This Row],[Sidst redigeret]]&gt;TODAY()-40)*([1]!Tabel1[[#This Row],[Status]]="Pågår")</f>
        <v>0</v>
      </c>
      <c r="AH398" s="13">
        <v>46269.488946759258</v>
      </c>
      <c r="AI398" s="12"/>
      <c r="AJ398" s="12"/>
      <c r="AK398" s="12"/>
      <c r="AL398" s="12"/>
      <c r="AM398" s="12"/>
      <c r="AN398" s="12"/>
      <c r="AO398" s="12"/>
      <c r="AP398" s="12"/>
    </row>
    <row r="399" spans="1:42">
      <c r="A399" t="s">
        <v>1428</v>
      </c>
      <c r="B399" s="8"/>
      <c r="C399" s="8" t="s">
        <v>1429</v>
      </c>
      <c r="D399" s="8" t="s">
        <v>725</v>
      </c>
      <c r="E399" s="8" t="s">
        <v>120</v>
      </c>
      <c r="F399" s="8" t="s">
        <v>1427</v>
      </c>
      <c r="G399" s="8" t="s">
        <v>1427</v>
      </c>
      <c r="H399" s="9">
        <v>700000</v>
      </c>
      <c r="I399" s="9">
        <f>[1]!Tabel1[[#This Row],[Honorar]]*[1]!Tabel1[[#This Row],[Sandsynlighed]]</f>
        <v>0</v>
      </c>
      <c r="J399" s="10" t="s">
        <v>612</v>
      </c>
      <c r="K399" s="10" t="s">
        <v>1430</v>
      </c>
      <c r="L399" s="8" t="s">
        <v>1431</v>
      </c>
      <c r="M399" s="11">
        <v>0.5</v>
      </c>
      <c r="N399" s="1">
        <v>18000</v>
      </c>
      <c r="O399" s="10">
        <v>46279.611111111109</v>
      </c>
      <c r="P399" s="10"/>
      <c r="Q399" s="1" t="s">
        <v>46</v>
      </c>
      <c r="R399" s="8" t="s">
        <v>47</v>
      </c>
      <c r="S39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39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39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39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39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39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39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39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39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39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39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39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39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399" s="12">
        <f ca="1">[1]!Tabel1[[#This Row],[Vægtet Honorar]]*([1]!Tabel1[[#This Row],[Sidst redigeret]]&gt;TODAY()-40)*([1]!Tabel1[[#This Row],[Er i resplan?]]&lt;&gt;"Ja")*([1]!Tabel1[[#This Row],[Status]]="Pågår")</f>
        <v>0</v>
      </c>
      <c r="AG399" s="12">
        <f ca="1">[1]!Tabel1[[#This Row],[Vægtet Honorar]]*([1]!Tabel1[[#This Row],[Sidst redigeret]]&gt;TODAY()-40)*([1]!Tabel1[[#This Row],[Status]]="Pågår")</f>
        <v>0</v>
      </c>
      <c r="AH399" s="13"/>
      <c r="AI399" s="12"/>
      <c r="AJ399" s="12"/>
      <c r="AK399" s="12"/>
      <c r="AL399" s="12"/>
      <c r="AM399" s="12"/>
      <c r="AN399" s="12"/>
      <c r="AO399" s="12"/>
      <c r="AP399" s="12"/>
    </row>
    <row r="400" spans="1:42" ht="60">
      <c r="A400" t="s">
        <v>1432</v>
      </c>
      <c r="B400" s="8"/>
      <c r="C400" s="8" t="s">
        <v>1433</v>
      </c>
      <c r="D400" s="8" t="s">
        <v>720</v>
      </c>
      <c r="E400" s="8" t="s">
        <v>71</v>
      </c>
      <c r="F400" s="8" t="s">
        <v>1434</v>
      </c>
      <c r="G400" s="8" t="s">
        <v>1435</v>
      </c>
      <c r="H400" s="9">
        <v>2000000</v>
      </c>
      <c r="I400" s="9">
        <f>[1]!Tabel1[[#This Row],[Honorar]]*[1]!Tabel1[[#This Row],[Sandsynlighed]]</f>
        <v>135000</v>
      </c>
      <c r="J400" s="10" t="s">
        <v>1068</v>
      </c>
      <c r="K400" s="10" t="s">
        <v>1287</v>
      </c>
      <c r="L400" s="17" t="s">
        <v>1436</v>
      </c>
      <c r="M400" s="11">
        <v>0</v>
      </c>
      <c r="N400" s="14"/>
      <c r="O400" s="10">
        <v>46279.611111111109</v>
      </c>
      <c r="P400" s="10"/>
      <c r="Q400" s="1" t="s">
        <v>72</v>
      </c>
      <c r="R400" s="8" t="s">
        <v>75</v>
      </c>
      <c r="S40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0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0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0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0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0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0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0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0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0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0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0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0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00" s="12">
        <f ca="1">[1]!Tabel1[[#This Row],[Vægtet Honorar]]*([1]!Tabel1[[#This Row],[Sidst redigeret]]&gt;TODAY()-40)*([1]!Tabel1[[#This Row],[Er i resplan?]]&lt;&gt;"Ja")*([1]!Tabel1[[#This Row],[Status]]="Pågår")</f>
        <v>0</v>
      </c>
      <c r="AG400" s="12">
        <f ca="1">[1]!Tabel1[[#This Row],[Vægtet Honorar]]*([1]!Tabel1[[#This Row],[Sidst redigeret]]&gt;TODAY()-40)*([1]!Tabel1[[#This Row],[Status]]="Pågår")</f>
        <v>135000</v>
      </c>
      <c r="AH400" s="13"/>
      <c r="AI400" s="12" t="s">
        <v>1437</v>
      </c>
      <c r="AJ400" s="12" t="s">
        <v>1438</v>
      </c>
      <c r="AK400" s="12"/>
      <c r="AL400" s="12"/>
      <c r="AM400" s="12"/>
      <c r="AN400" s="12"/>
      <c r="AO400" s="12">
        <v>45170</v>
      </c>
      <c r="AP400" s="12"/>
    </row>
    <row r="401" spans="1:42" ht="60">
      <c r="A401" t="s">
        <v>1439</v>
      </c>
      <c r="B401" s="8"/>
      <c r="C401" s="8" t="s">
        <v>1440</v>
      </c>
      <c r="D401" s="8" t="s">
        <v>720</v>
      </c>
      <c r="E401" s="8" t="s">
        <v>71</v>
      </c>
      <c r="F401" s="8" t="s">
        <v>1012</v>
      </c>
      <c r="G401" s="8" t="s">
        <v>1039</v>
      </c>
      <c r="H401" s="9">
        <v>1200000</v>
      </c>
      <c r="I401" s="9">
        <f>[1]!Tabel1[[#This Row],[Honorar]]*[1]!Tabel1[[#This Row],[Sandsynlighed]]</f>
        <v>135000</v>
      </c>
      <c r="J401" s="10" t="s">
        <v>1068</v>
      </c>
      <c r="K401" s="10" t="s">
        <v>452</v>
      </c>
      <c r="L401" s="17" t="s">
        <v>1441</v>
      </c>
      <c r="M401" s="11">
        <v>0</v>
      </c>
      <c r="N401" s="1">
        <v>1100</v>
      </c>
      <c r="O401" s="10">
        <v>46279.611111111109</v>
      </c>
      <c r="P401" s="10"/>
      <c r="Q401" s="1" t="s">
        <v>46</v>
      </c>
      <c r="R401" s="8" t="s">
        <v>75</v>
      </c>
      <c r="S40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0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0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0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0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0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0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0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0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0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0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0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0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01" s="12">
        <f ca="1">[1]!Tabel1[[#This Row],[Vægtet Honorar]]*([1]!Tabel1[[#This Row],[Sidst redigeret]]&gt;TODAY()-40)*([1]!Tabel1[[#This Row],[Er i resplan?]]&lt;&gt;"Ja")*([1]!Tabel1[[#This Row],[Status]]="Pågår")</f>
        <v>0</v>
      </c>
      <c r="AG401" s="12">
        <f ca="1">[1]!Tabel1[[#This Row],[Vægtet Honorar]]*([1]!Tabel1[[#This Row],[Sidst redigeret]]&gt;TODAY()-40)*([1]!Tabel1[[#This Row],[Status]]="Pågår")</f>
        <v>135000</v>
      </c>
      <c r="AH401" s="13"/>
      <c r="AI401" s="12"/>
      <c r="AJ401" s="12"/>
      <c r="AK401" s="12"/>
      <c r="AL401" s="12"/>
      <c r="AM401" s="12"/>
      <c r="AN401" s="12"/>
      <c r="AO401" s="12"/>
      <c r="AP401" s="12"/>
    </row>
    <row r="402" spans="1:42" ht="60">
      <c r="A402" t="s">
        <v>1442</v>
      </c>
      <c r="B402" s="8"/>
      <c r="C402" s="8" t="s">
        <v>1443</v>
      </c>
      <c r="D402" s="8" t="s">
        <v>57</v>
      </c>
      <c r="E402" s="8" t="s">
        <v>94</v>
      </c>
      <c r="F402" s="8" t="s">
        <v>1444</v>
      </c>
      <c r="G402" s="8" t="s">
        <v>1444</v>
      </c>
      <c r="H402" s="9">
        <v>750000</v>
      </c>
      <c r="I402" s="9">
        <f>[1]!Tabel1[[#This Row],[Honorar]]*[1]!Tabel1[[#This Row],[Sandsynlighed]]</f>
        <v>15000</v>
      </c>
      <c r="J402" s="10" t="s">
        <v>1068</v>
      </c>
      <c r="K402" s="10" t="s">
        <v>452</v>
      </c>
      <c r="L402" s="17" t="s">
        <v>1445</v>
      </c>
      <c r="M402" s="11">
        <v>0.25</v>
      </c>
      <c r="N402" s="1">
        <v>3000</v>
      </c>
      <c r="O402" s="10">
        <v>46279.611111111109</v>
      </c>
      <c r="P402" s="1" t="s">
        <v>72</v>
      </c>
      <c r="Q402" s="1"/>
      <c r="R402" s="8" t="s">
        <v>49</v>
      </c>
      <c r="S40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0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0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0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0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0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0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0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0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0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0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0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0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02" s="12">
        <f ca="1">[1]!Tabel1[[#This Row],[Vægtet Honorar]]*([1]!Tabel1[[#This Row],[Sidst redigeret]]&gt;TODAY()-40)*([1]!Tabel1[[#This Row],[Er i resplan?]]&lt;&gt;"Ja")*([1]!Tabel1[[#This Row],[Status]]="Pågår")</f>
        <v>0</v>
      </c>
      <c r="AG402" s="12">
        <f ca="1">[1]!Tabel1[[#This Row],[Vægtet Honorar]]*([1]!Tabel1[[#This Row],[Sidst redigeret]]&gt;TODAY()-40)*([1]!Tabel1[[#This Row],[Status]]="Pågår")</f>
        <v>0</v>
      </c>
      <c r="AH402" s="13"/>
      <c r="AI402" s="12"/>
      <c r="AJ402" s="12"/>
      <c r="AK402" s="12"/>
      <c r="AL402" s="12"/>
      <c r="AM402" s="12"/>
      <c r="AN402" s="12"/>
      <c r="AO402" s="12"/>
      <c r="AP402" s="12"/>
    </row>
    <row r="403" spans="1:42" ht="90">
      <c r="A403" t="s">
        <v>1446</v>
      </c>
      <c r="B403" s="8"/>
      <c r="C403" s="8" t="s">
        <v>1447</v>
      </c>
      <c r="D403" s="8" t="s">
        <v>1448</v>
      </c>
      <c r="E403" s="8" t="s">
        <v>102</v>
      </c>
      <c r="F403" s="8" t="s">
        <v>1449</v>
      </c>
      <c r="G403" s="8" t="s">
        <v>1450</v>
      </c>
      <c r="H403" s="9">
        <v>25000</v>
      </c>
      <c r="I403" s="9">
        <f>[1]!Tabel1[[#This Row],[Honorar]]*[1]!Tabel1[[#This Row],[Sandsynlighed]]</f>
        <v>6800000</v>
      </c>
      <c r="J403" s="10" t="s">
        <v>1068</v>
      </c>
      <c r="K403" s="10" t="s">
        <v>622</v>
      </c>
      <c r="L403" s="17" t="s">
        <v>1451</v>
      </c>
      <c r="M403" s="11">
        <v>1</v>
      </c>
      <c r="N403" s="1">
        <v>45169.573437500003</v>
      </c>
      <c r="O403" s="10">
        <v>46279.611111111109</v>
      </c>
      <c r="P403" s="10"/>
      <c r="Q403" s="1" t="s">
        <v>46</v>
      </c>
      <c r="R403" s="8" t="s">
        <v>47</v>
      </c>
      <c r="S40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0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0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0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0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0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0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0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0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0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0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0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0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03" s="12">
        <f ca="1">[1]!Tabel1[[#This Row],[Vægtet Honorar]]*([1]!Tabel1[[#This Row],[Sidst redigeret]]&gt;TODAY()-40)*([1]!Tabel1[[#This Row],[Er i resplan?]]&lt;&gt;"Ja")*([1]!Tabel1[[#This Row],[Status]]="Pågår")</f>
        <v>0</v>
      </c>
      <c r="AG403" s="12">
        <f ca="1">[1]!Tabel1[[#This Row],[Vægtet Honorar]]*([1]!Tabel1[[#This Row],[Sidst redigeret]]&gt;TODAY()-40)*([1]!Tabel1[[#This Row],[Status]]="Pågår")</f>
        <v>0</v>
      </c>
      <c r="AH403" s="13"/>
      <c r="AI403" s="12"/>
      <c r="AJ403" s="12"/>
      <c r="AK403" s="12"/>
      <c r="AL403" s="12"/>
      <c r="AM403" s="12"/>
      <c r="AN403" s="12"/>
      <c r="AO403" s="12"/>
      <c r="AP403" s="12"/>
    </row>
    <row r="404" spans="1:42" ht="75">
      <c r="A404" t="s">
        <v>1452</v>
      </c>
      <c r="B404" s="8"/>
      <c r="C404" s="8" t="s">
        <v>1453</v>
      </c>
      <c r="D404" s="8" t="s">
        <v>57</v>
      </c>
      <c r="E404" s="8" t="s">
        <v>167</v>
      </c>
      <c r="F404" s="8" t="s">
        <v>1453</v>
      </c>
      <c r="G404" s="8" t="s">
        <v>1453</v>
      </c>
      <c r="H404" s="9">
        <v>2000000</v>
      </c>
      <c r="I404" s="9">
        <f>[1]!Tabel1[[#This Row],[Honorar]]*[1]!Tabel1[[#This Row],[Sandsynlighed]]</f>
        <v>350000</v>
      </c>
      <c r="J404" s="10" t="s">
        <v>1068</v>
      </c>
      <c r="K404" s="10" t="s">
        <v>452</v>
      </c>
      <c r="L404" s="17" t="s">
        <v>1454</v>
      </c>
      <c r="M404" s="11">
        <v>0.15</v>
      </c>
      <c r="N404" s="1"/>
      <c r="O404" s="10">
        <v>46279.611111111109</v>
      </c>
      <c r="P404" s="10"/>
      <c r="Q404" s="1"/>
      <c r="R404" s="8" t="s">
        <v>75</v>
      </c>
      <c r="S40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0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0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0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0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0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0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0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0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0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0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0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0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04" s="12">
        <f ca="1">[1]!Tabel1[[#This Row],[Vægtet Honorar]]*([1]!Tabel1[[#This Row],[Sidst redigeret]]&gt;TODAY()-40)*([1]!Tabel1[[#This Row],[Er i resplan?]]&lt;&gt;"Ja")*([1]!Tabel1[[#This Row],[Status]]="Pågår")</f>
        <v>0</v>
      </c>
      <c r="AG404" s="12">
        <f ca="1">[1]!Tabel1[[#This Row],[Vægtet Honorar]]*([1]!Tabel1[[#This Row],[Sidst redigeret]]&gt;TODAY()-40)*([1]!Tabel1[[#This Row],[Status]]="Pågår")</f>
        <v>0</v>
      </c>
      <c r="AH404" s="13"/>
      <c r="AI404" s="12"/>
      <c r="AJ404" s="12"/>
      <c r="AK404" s="12"/>
      <c r="AL404" s="12"/>
      <c r="AM404" s="12"/>
      <c r="AN404" s="12"/>
      <c r="AO404" s="12"/>
      <c r="AP404" s="12"/>
    </row>
    <row r="405" spans="1:42">
      <c r="A405" t="s">
        <v>1455</v>
      </c>
      <c r="B405" s="8"/>
      <c r="C405" s="8" t="s">
        <v>1456</v>
      </c>
      <c r="D405" s="8" t="s">
        <v>57</v>
      </c>
      <c r="E405" s="8" t="s">
        <v>167</v>
      </c>
      <c r="F405" s="8" t="s">
        <v>1457</v>
      </c>
      <c r="G405" s="8" t="s">
        <v>1458</v>
      </c>
      <c r="H405" s="9">
        <v>50000</v>
      </c>
      <c r="I405" s="9">
        <f>[1]!Tabel1[[#This Row],[Honorar]]*[1]!Tabel1[[#This Row],[Sandsynlighed]]</f>
        <v>0</v>
      </c>
      <c r="J405" s="10" t="s">
        <v>1068</v>
      </c>
      <c r="K405" s="10" t="s">
        <v>452</v>
      </c>
      <c r="L405" s="17" t="s">
        <v>1459</v>
      </c>
      <c r="M405" s="11">
        <v>0.5</v>
      </c>
      <c r="N405" s="1">
        <v>12000</v>
      </c>
      <c r="O405" s="10">
        <v>46279.611111111109</v>
      </c>
      <c r="P405" s="10"/>
      <c r="Q405" s="1"/>
      <c r="R405" s="8" t="s">
        <v>75</v>
      </c>
      <c r="S40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0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0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0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0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0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0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0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0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0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0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0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0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05" s="12">
        <f ca="1">[1]!Tabel1[[#This Row],[Vægtet Honorar]]*([1]!Tabel1[[#This Row],[Sidst redigeret]]&gt;TODAY()-40)*([1]!Tabel1[[#This Row],[Er i resplan?]]&lt;&gt;"Ja")*([1]!Tabel1[[#This Row],[Status]]="Pågår")</f>
        <v>0</v>
      </c>
      <c r="AG405" s="12">
        <f ca="1">[1]!Tabel1[[#This Row],[Vægtet Honorar]]*([1]!Tabel1[[#This Row],[Sidst redigeret]]&gt;TODAY()-40)*([1]!Tabel1[[#This Row],[Status]]="Pågår")</f>
        <v>0</v>
      </c>
      <c r="AH405" s="13"/>
      <c r="AI405" s="12"/>
      <c r="AJ405" s="12"/>
      <c r="AK405" s="12"/>
      <c r="AL405" s="12"/>
      <c r="AM405" s="12"/>
      <c r="AN405" s="12"/>
      <c r="AO405" s="12"/>
      <c r="AP405" s="12"/>
    </row>
    <row r="406" spans="1:42" ht="60">
      <c r="A406" t="s">
        <v>1460</v>
      </c>
      <c r="B406" s="8"/>
      <c r="C406" s="8" t="s">
        <v>1461</v>
      </c>
      <c r="D406" s="8" t="s">
        <v>57</v>
      </c>
      <c r="E406" s="8" t="s">
        <v>167</v>
      </c>
      <c r="F406" s="8" t="s">
        <v>1461</v>
      </c>
      <c r="G406" s="8" t="s">
        <v>1461</v>
      </c>
      <c r="H406" s="9">
        <v>1000000</v>
      </c>
      <c r="I406" s="9">
        <f>[1]!Tabel1[[#This Row],[Honorar]]*[1]!Tabel1[[#This Row],[Sandsynlighed]]</f>
        <v>0</v>
      </c>
      <c r="J406" s="10" t="s">
        <v>452</v>
      </c>
      <c r="K406" s="10" t="s">
        <v>452</v>
      </c>
      <c r="L406" s="17" t="s">
        <v>1462</v>
      </c>
      <c r="M406" s="11">
        <v>0.15</v>
      </c>
      <c r="N406" s="1">
        <v>2500</v>
      </c>
      <c r="O406" s="10">
        <v>46279.611111111109</v>
      </c>
      <c r="P406" s="10"/>
      <c r="Q406" s="1"/>
      <c r="R406" s="8" t="s">
        <v>75</v>
      </c>
      <c r="S40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0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0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0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0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0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0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0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0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0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0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0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0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06" s="12">
        <f ca="1">[1]!Tabel1[[#This Row],[Vægtet Honorar]]*([1]!Tabel1[[#This Row],[Sidst redigeret]]&gt;TODAY()-40)*([1]!Tabel1[[#This Row],[Er i resplan?]]&lt;&gt;"Ja")*([1]!Tabel1[[#This Row],[Status]]="Pågår")</f>
        <v>0</v>
      </c>
      <c r="AG406" s="12">
        <f ca="1">[1]!Tabel1[[#This Row],[Vægtet Honorar]]*([1]!Tabel1[[#This Row],[Sidst redigeret]]&gt;TODAY()-40)*([1]!Tabel1[[#This Row],[Status]]="Pågår")</f>
        <v>0</v>
      </c>
      <c r="AH406" s="13"/>
      <c r="AI406" s="12"/>
      <c r="AJ406" s="12" t="s">
        <v>1463</v>
      </c>
      <c r="AK406" s="12"/>
      <c r="AL406" s="12"/>
      <c r="AM406" s="12"/>
      <c r="AN406" s="12"/>
      <c r="AO406" s="12"/>
      <c r="AP406" s="12"/>
    </row>
    <row r="407" spans="1:42">
      <c r="A407" t="s">
        <v>1464</v>
      </c>
      <c r="B407" s="8"/>
      <c r="C407" s="8" t="s">
        <v>1465</v>
      </c>
      <c r="D407" s="8" t="s">
        <v>57</v>
      </c>
      <c r="E407" s="8" t="s">
        <v>167</v>
      </c>
      <c r="F407" s="8" t="s">
        <v>1465</v>
      </c>
      <c r="G407" s="8" t="s">
        <v>1465</v>
      </c>
      <c r="H407" s="9">
        <v>100000</v>
      </c>
      <c r="I407" s="9">
        <f>[1]!Tabel1[[#This Row],[Honorar]]*[1]!Tabel1[[#This Row],[Sandsynlighed]]</f>
        <v>187500</v>
      </c>
      <c r="J407" s="10" t="s">
        <v>452</v>
      </c>
      <c r="K407" s="10" t="s">
        <v>585</v>
      </c>
      <c r="L407" s="17"/>
      <c r="M407" s="11">
        <v>0.15</v>
      </c>
      <c r="N407" s="1" t="s">
        <v>516</v>
      </c>
      <c r="O407" s="10">
        <v>46279.611111111109</v>
      </c>
      <c r="P407" s="10"/>
      <c r="Q407" s="1"/>
      <c r="R407" s="8" t="s">
        <v>49</v>
      </c>
      <c r="S40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12479.485776805252</v>
      </c>
      <c r="T40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0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0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0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0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0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0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0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0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0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0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0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07" s="12">
        <f ca="1">[1]!Tabel1[[#This Row],[Vægtet Honorar]]*([1]!Tabel1[[#This Row],[Sidst redigeret]]&gt;TODAY()-40)*([1]!Tabel1[[#This Row],[Er i resplan?]]&lt;&gt;"Ja")*([1]!Tabel1[[#This Row],[Status]]="Pågår")</f>
        <v>0</v>
      </c>
      <c r="AG407" s="12">
        <f ca="1">[1]!Tabel1[[#This Row],[Vægtet Honorar]]*([1]!Tabel1[[#This Row],[Sidst redigeret]]&gt;TODAY()-40)*([1]!Tabel1[[#This Row],[Status]]="Pågår")</f>
        <v>0</v>
      </c>
      <c r="AH407" s="13"/>
      <c r="AI407" s="12"/>
      <c r="AJ407" s="12"/>
      <c r="AK407" s="12"/>
      <c r="AL407" s="12"/>
      <c r="AM407" s="12"/>
      <c r="AN407" s="12"/>
      <c r="AO407" s="12"/>
      <c r="AP407" s="12"/>
    </row>
    <row r="408" spans="1:42">
      <c r="A408" t="s">
        <v>1466</v>
      </c>
      <c r="B408" s="8"/>
      <c r="C408" s="8" t="s">
        <v>1467</v>
      </c>
      <c r="D408" s="8" t="s">
        <v>1468</v>
      </c>
      <c r="E408" s="8" t="s">
        <v>167</v>
      </c>
      <c r="F408" s="8" t="s">
        <v>1469</v>
      </c>
      <c r="G408" s="8" t="s">
        <v>1469</v>
      </c>
      <c r="H408" s="9">
        <v>400000</v>
      </c>
      <c r="I408" s="9">
        <f>[1]!Tabel1[[#This Row],[Honorar]]*[1]!Tabel1[[#This Row],[Sandsynlighed]]</f>
        <v>25000</v>
      </c>
      <c r="J408" s="10" t="s">
        <v>1068</v>
      </c>
      <c r="K408" s="10" t="s">
        <v>452</v>
      </c>
      <c r="L408" s="17"/>
      <c r="M408" s="11">
        <v>1</v>
      </c>
      <c r="N408" s="1" t="s">
        <v>516</v>
      </c>
      <c r="O408" s="10">
        <v>46279.611111111109</v>
      </c>
      <c r="P408" s="10" t="s">
        <v>46</v>
      </c>
      <c r="Q408" s="1" t="s">
        <v>46</v>
      </c>
      <c r="R408" s="8" t="s">
        <v>47</v>
      </c>
      <c r="S40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0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0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0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0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0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0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0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0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0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0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0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0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08" s="12">
        <f ca="1">[1]!Tabel1[[#This Row],[Vægtet Honorar]]*([1]!Tabel1[[#This Row],[Sidst redigeret]]&gt;TODAY()-40)*([1]!Tabel1[[#This Row],[Er i resplan?]]&lt;&gt;"Ja")*([1]!Tabel1[[#This Row],[Status]]="Pågår")</f>
        <v>0</v>
      </c>
      <c r="AG408" s="12">
        <f ca="1">[1]!Tabel1[[#This Row],[Vægtet Honorar]]*([1]!Tabel1[[#This Row],[Sidst redigeret]]&gt;TODAY()-40)*([1]!Tabel1[[#This Row],[Status]]="Pågår")</f>
        <v>0</v>
      </c>
      <c r="AH408" s="13"/>
      <c r="AI408" s="12"/>
      <c r="AJ408" s="12"/>
      <c r="AK408" s="12"/>
      <c r="AL408" s="12"/>
      <c r="AM408" s="12"/>
      <c r="AN408" s="12"/>
      <c r="AO408" s="12"/>
      <c r="AP408" s="12"/>
    </row>
    <row r="409" spans="1:42" ht="135">
      <c r="A409" t="s">
        <v>1470</v>
      </c>
      <c r="B409" s="8"/>
      <c r="C409" s="8" t="s">
        <v>1471</v>
      </c>
      <c r="D409" s="8" t="s">
        <v>269</v>
      </c>
      <c r="E409" s="8" t="s">
        <v>167</v>
      </c>
      <c r="F409" s="8" t="s">
        <v>1472</v>
      </c>
      <c r="G409" s="8" t="s">
        <v>1473</v>
      </c>
      <c r="H409" s="9">
        <v>600000</v>
      </c>
      <c r="I409" s="9">
        <f>[1]!Tabel1[[#This Row],[Honorar]]*[1]!Tabel1[[#This Row],[Sandsynlighed]]</f>
        <v>300000</v>
      </c>
      <c r="J409" s="10" t="s">
        <v>584</v>
      </c>
      <c r="K409" s="10" t="s">
        <v>898</v>
      </c>
      <c r="L409" s="17" t="s">
        <v>1474</v>
      </c>
      <c r="M409" s="11">
        <v>0</v>
      </c>
      <c r="N409" s="1"/>
      <c r="O409" s="10">
        <v>46279.611111111109</v>
      </c>
      <c r="P409" s="10"/>
      <c r="Q409" s="1"/>
      <c r="R409" s="8" t="s">
        <v>75</v>
      </c>
      <c r="S40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0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0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0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0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0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0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0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0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0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0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0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0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09" s="12">
        <f ca="1">[1]!Tabel1[[#This Row],[Vægtet Honorar]]*([1]!Tabel1[[#This Row],[Sidst redigeret]]&gt;TODAY()-40)*([1]!Tabel1[[#This Row],[Er i resplan?]]&lt;&gt;"Ja")*([1]!Tabel1[[#This Row],[Status]]="Pågår")</f>
        <v>0</v>
      </c>
      <c r="AG409" s="12">
        <f ca="1">[1]!Tabel1[[#This Row],[Vægtet Honorar]]*([1]!Tabel1[[#This Row],[Sidst redigeret]]&gt;TODAY()-40)*([1]!Tabel1[[#This Row],[Status]]="Pågår")</f>
        <v>0</v>
      </c>
      <c r="AH409" s="13"/>
      <c r="AI409" s="12"/>
      <c r="AJ409" s="12"/>
      <c r="AK409" s="12"/>
      <c r="AL409" s="12"/>
      <c r="AM409" s="12"/>
      <c r="AN409" s="12"/>
      <c r="AO409" s="12"/>
      <c r="AP409" s="12"/>
    </row>
    <row r="410" spans="1:42">
      <c r="A410" t="s">
        <v>1475</v>
      </c>
      <c r="B410" s="8"/>
      <c r="C410" s="8" t="s">
        <v>1476</v>
      </c>
      <c r="D410" s="8" t="s">
        <v>1468</v>
      </c>
      <c r="E410" s="8" t="s">
        <v>167</v>
      </c>
      <c r="F410" s="8" t="s">
        <v>1477</v>
      </c>
      <c r="G410" s="8" t="s">
        <v>1477</v>
      </c>
      <c r="H410" s="9">
        <v>75000</v>
      </c>
      <c r="I410" s="9">
        <f>[1]!Tabel1[[#This Row],[Honorar]]*[1]!Tabel1[[#This Row],[Sandsynlighed]]</f>
        <v>25000</v>
      </c>
      <c r="J410" s="10" t="s">
        <v>1068</v>
      </c>
      <c r="K410" s="10" t="s">
        <v>622</v>
      </c>
      <c r="L410" s="17" t="s">
        <v>1478</v>
      </c>
      <c r="M410" s="11">
        <v>1</v>
      </c>
      <c r="N410" s="1"/>
      <c r="O410" s="10">
        <v>46279.611111111109</v>
      </c>
      <c r="P410" s="10"/>
      <c r="Q410" s="1" t="s">
        <v>46</v>
      </c>
      <c r="R410" s="8" t="s">
        <v>47</v>
      </c>
      <c r="S41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1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1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1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1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1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1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1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1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1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1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1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1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10" s="12">
        <f ca="1">[1]!Tabel1[[#This Row],[Vægtet Honorar]]*([1]!Tabel1[[#This Row],[Sidst redigeret]]&gt;TODAY()-40)*([1]!Tabel1[[#This Row],[Er i resplan?]]&lt;&gt;"Ja")*([1]!Tabel1[[#This Row],[Status]]="Pågår")</f>
        <v>0</v>
      </c>
      <c r="AG410" s="12">
        <f ca="1">[1]!Tabel1[[#This Row],[Vægtet Honorar]]*([1]!Tabel1[[#This Row],[Sidst redigeret]]&gt;TODAY()-40)*([1]!Tabel1[[#This Row],[Status]]="Pågår")</f>
        <v>0</v>
      </c>
      <c r="AH410" s="13"/>
      <c r="AI410" s="12"/>
      <c r="AJ410" s="12"/>
      <c r="AK410" s="12"/>
      <c r="AL410" s="12"/>
      <c r="AM410" s="12"/>
      <c r="AN410" s="12"/>
      <c r="AO410" s="12"/>
      <c r="AP410" s="12"/>
    </row>
    <row r="411" spans="1:42" ht="60">
      <c r="A411" t="s">
        <v>1479</v>
      </c>
      <c r="B411" s="8"/>
      <c r="C411" s="8" t="s">
        <v>1480</v>
      </c>
      <c r="D411" s="8" t="s">
        <v>720</v>
      </c>
      <c r="E411" s="8" t="s">
        <v>120</v>
      </c>
      <c r="F411" s="8" t="s">
        <v>1481</v>
      </c>
      <c r="G411" s="8" t="s">
        <v>1482</v>
      </c>
      <c r="H411" s="9">
        <v>1000000</v>
      </c>
      <c r="I411" s="9">
        <f>[1]!Tabel1[[#This Row],[Honorar]]*[1]!Tabel1[[#This Row],[Sandsynlighed]]</f>
        <v>150000</v>
      </c>
      <c r="J411" s="10" t="s">
        <v>328</v>
      </c>
      <c r="K411" s="10" t="s">
        <v>1310</v>
      </c>
      <c r="L411" s="17" t="s">
        <v>1483</v>
      </c>
      <c r="M411" s="11">
        <v>0.05</v>
      </c>
      <c r="N411" s="1">
        <v>1200</v>
      </c>
      <c r="O411" s="10">
        <v>46279.611111111109</v>
      </c>
      <c r="P411" s="10"/>
      <c r="Q411" s="1" t="s">
        <v>72</v>
      </c>
      <c r="R411" s="8" t="s">
        <v>75</v>
      </c>
      <c r="S41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1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1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1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1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1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1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1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1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1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1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1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1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11" s="12">
        <f ca="1">[1]!Tabel1[[#This Row],[Vægtet Honorar]]*([1]!Tabel1[[#This Row],[Sidst redigeret]]&gt;TODAY()-40)*([1]!Tabel1[[#This Row],[Er i resplan?]]&lt;&gt;"Ja")*([1]!Tabel1[[#This Row],[Status]]="Pågår")</f>
        <v>0</v>
      </c>
      <c r="AG411" s="12">
        <f ca="1">[1]!Tabel1[[#This Row],[Vægtet Honorar]]*([1]!Tabel1[[#This Row],[Sidst redigeret]]&gt;TODAY()-40)*([1]!Tabel1[[#This Row],[Status]]="Pågår")</f>
        <v>0</v>
      </c>
      <c r="AH411" s="13"/>
      <c r="AI411" s="12"/>
      <c r="AJ411" s="12"/>
      <c r="AK411" s="12"/>
      <c r="AL411" s="12"/>
      <c r="AM411" s="12"/>
      <c r="AN411" s="12"/>
      <c r="AO411" s="12"/>
      <c r="AP411" s="12"/>
    </row>
    <row r="412" spans="1:42">
      <c r="A412" t="s">
        <v>1484</v>
      </c>
      <c r="B412" s="8"/>
      <c r="C412" s="8" t="s">
        <v>1485</v>
      </c>
      <c r="D412" s="8" t="s">
        <v>134</v>
      </c>
      <c r="E412" s="8" t="s">
        <v>94</v>
      </c>
      <c r="F412" s="8" t="s">
        <v>1486</v>
      </c>
      <c r="G412" s="8" t="s">
        <v>1486</v>
      </c>
      <c r="H412" s="9">
        <v>100000</v>
      </c>
      <c r="I412" s="9">
        <f>[1]!Tabel1[[#This Row],[Honorar]]*[1]!Tabel1[[#This Row],[Sandsynlighed]]</f>
        <v>15000</v>
      </c>
      <c r="J412" s="10" t="s">
        <v>1068</v>
      </c>
      <c r="K412" s="10" t="s">
        <v>622</v>
      </c>
      <c r="L412" s="17"/>
      <c r="M412" s="11">
        <v>1</v>
      </c>
      <c r="N412" s="1" t="s">
        <v>1487</v>
      </c>
      <c r="O412" s="10">
        <v>46279.611111111109</v>
      </c>
      <c r="P412" s="1" t="s">
        <v>72</v>
      </c>
      <c r="Q412" s="1" t="s">
        <v>46</v>
      </c>
      <c r="R412" s="8" t="s">
        <v>47</v>
      </c>
      <c r="S41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555.72472594397072</v>
      </c>
      <c r="T41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1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1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1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1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1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1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1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1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1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1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1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12" s="12">
        <f ca="1">[1]!Tabel1[[#This Row],[Vægtet Honorar]]*([1]!Tabel1[[#This Row],[Sidst redigeret]]&gt;TODAY()-40)*([1]!Tabel1[[#This Row],[Er i resplan?]]&lt;&gt;"Ja")*([1]!Tabel1[[#This Row],[Status]]="Pågår")</f>
        <v>0</v>
      </c>
      <c r="AG412" s="12">
        <f ca="1">[1]!Tabel1[[#This Row],[Vægtet Honorar]]*([1]!Tabel1[[#This Row],[Sidst redigeret]]&gt;TODAY()-40)*([1]!Tabel1[[#This Row],[Status]]="Pågår")</f>
        <v>0</v>
      </c>
      <c r="AH412" s="13"/>
      <c r="AI412" s="12"/>
      <c r="AJ412" s="12"/>
      <c r="AK412" s="12"/>
      <c r="AL412" s="12"/>
      <c r="AM412" s="12"/>
      <c r="AN412" s="12"/>
      <c r="AO412" s="12"/>
      <c r="AP412" s="12"/>
    </row>
    <row r="413" spans="1:42" ht="30">
      <c r="A413" t="s">
        <v>1488</v>
      </c>
      <c r="B413" s="8"/>
      <c r="C413" s="8" t="s">
        <v>1489</v>
      </c>
      <c r="D413" s="8" t="s">
        <v>569</v>
      </c>
      <c r="E413" s="8" t="s">
        <v>167</v>
      </c>
      <c r="F413" s="8" t="s">
        <v>1198</v>
      </c>
      <c r="G413" s="8" t="s">
        <v>1198</v>
      </c>
      <c r="H413" s="9">
        <v>5000000</v>
      </c>
      <c r="I413" s="9">
        <f>[1]!Tabel1[[#This Row],[Honorar]]*[1]!Tabel1[[#This Row],[Sandsynlighed]]</f>
        <v>400000</v>
      </c>
      <c r="J413" s="10" t="s">
        <v>1068</v>
      </c>
      <c r="K413" s="10" t="s">
        <v>1287</v>
      </c>
      <c r="L413" s="17" t="s">
        <v>1490</v>
      </c>
      <c r="M413" s="11">
        <v>0</v>
      </c>
      <c r="N413" s="1">
        <v>0</v>
      </c>
      <c r="O413" s="10">
        <v>46279.611111111109</v>
      </c>
      <c r="P413" s="10"/>
      <c r="Q413" s="1"/>
      <c r="R413" s="8" t="s">
        <v>49</v>
      </c>
      <c r="S41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1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1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1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1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1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1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1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1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1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1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1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1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13" s="12">
        <f ca="1">[1]!Tabel1[[#This Row],[Vægtet Honorar]]*([1]!Tabel1[[#This Row],[Sidst redigeret]]&gt;TODAY()-40)*([1]!Tabel1[[#This Row],[Er i resplan?]]&lt;&gt;"Ja")*([1]!Tabel1[[#This Row],[Status]]="Pågår")</f>
        <v>0</v>
      </c>
      <c r="AG413" s="12">
        <f ca="1">[1]!Tabel1[[#This Row],[Vægtet Honorar]]*([1]!Tabel1[[#This Row],[Sidst redigeret]]&gt;TODAY()-40)*([1]!Tabel1[[#This Row],[Status]]="Pågår")</f>
        <v>0</v>
      </c>
      <c r="AH413" s="13"/>
      <c r="AI413" s="12" t="s">
        <v>1491</v>
      </c>
      <c r="AJ413" s="12" t="s">
        <v>1492</v>
      </c>
      <c r="AK413" s="12" t="s">
        <v>1493</v>
      </c>
      <c r="AL413" s="12"/>
      <c r="AM413" s="12"/>
      <c r="AN413" s="12" t="s">
        <v>1494</v>
      </c>
      <c r="AO413" s="12"/>
      <c r="AP413" s="12"/>
    </row>
    <row r="414" spans="1:42">
      <c r="A414" t="s">
        <v>1495</v>
      </c>
      <c r="B414" s="8"/>
      <c r="C414" s="8" t="s">
        <v>1496</v>
      </c>
      <c r="D414" s="8" t="s">
        <v>57</v>
      </c>
      <c r="E414" s="8" t="s">
        <v>167</v>
      </c>
      <c r="F414" s="8" t="s">
        <v>1497</v>
      </c>
      <c r="G414" s="8" t="s">
        <v>1497</v>
      </c>
      <c r="H414" s="9">
        <v>500000</v>
      </c>
      <c r="I414" s="9">
        <f>[1]!Tabel1[[#This Row],[Honorar]]*[1]!Tabel1[[#This Row],[Sandsynlighed]]</f>
        <v>0</v>
      </c>
      <c r="J414" s="10" t="s">
        <v>1068</v>
      </c>
      <c r="K414" s="10" t="s">
        <v>1287</v>
      </c>
      <c r="L414" s="17"/>
      <c r="M414" s="11">
        <v>0.2</v>
      </c>
      <c r="N414" s="1"/>
      <c r="O414" s="10">
        <v>46279.611111111109</v>
      </c>
      <c r="P414" s="10"/>
      <c r="Q414" s="1" t="s">
        <v>72</v>
      </c>
      <c r="R414" s="8" t="s">
        <v>75</v>
      </c>
      <c r="S41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1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1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1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1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1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1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1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1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1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1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1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1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14" s="12">
        <f ca="1">[1]!Tabel1[[#This Row],[Vægtet Honorar]]*([1]!Tabel1[[#This Row],[Sidst redigeret]]&gt;TODAY()-40)*([1]!Tabel1[[#This Row],[Er i resplan?]]&lt;&gt;"Ja")*([1]!Tabel1[[#This Row],[Status]]="Pågår")</f>
        <v>0</v>
      </c>
      <c r="AG414" s="12">
        <f ca="1">[1]!Tabel1[[#This Row],[Vægtet Honorar]]*([1]!Tabel1[[#This Row],[Sidst redigeret]]&gt;TODAY()-40)*([1]!Tabel1[[#This Row],[Status]]="Pågår")</f>
        <v>0</v>
      </c>
      <c r="AH414" s="13"/>
      <c r="AI414" s="12"/>
      <c r="AJ414" s="12"/>
      <c r="AK414" s="12"/>
      <c r="AL414" s="12"/>
      <c r="AM414" s="12"/>
      <c r="AN414" s="12"/>
      <c r="AO414" s="12"/>
      <c r="AP414" s="12"/>
    </row>
    <row r="415" spans="1:42" ht="105">
      <c r="A415" t="s">
        <v>1498</v>
      </c>
      <c r="B415" s="8"/>
      <c r="C415" s="8" t="s">
        <v>1499</v>
      </c>
      <c r="D415" s="8" t="s">
        <v>158</v>
      </c>
      <c r="E415" s="8" t="s">
        <v>167</v>
      </c>
      <c r="F415" s="8" t="s">
        <v>671</v>
      </c>
      <c r="G415" s="8" t="s">
        <v>671</v>
      </c>
      <c r="H415" s="9">
        <v>1500000</v>
      </c>
      <c r="I415" s="9">
        <f>[1]!Tabel1[[#This Row],[Honorar]]*[1]!Tabel1[[#This Row],[Sandsynlighed]]</f>
        <v>75000</v>
      </c>
      <c r="J415" s="10" t="s">
        <v>584</v>
      </c>
      <c r="K415" s="10" t="s">
        <v>329</v>
      </c>
      <c r="L415" s="17" t="s">
        <v>1500</v>
      </c>
      <c r="M415" s="11">
        <v>0.2</v>
      </c>
      <c r="N415" s="1"/>
      <c r="O415" s="10">
        <v>46279.611111111109</v>
      </c>
      <c r="P415" s="10"/>
      <c r="Q415" s="1"/>
      <c r="R415" s="8" t="s">
        <v>49</v>
      </c>
      <c r="S41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1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1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1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1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1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1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1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1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1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1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1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1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15" s="12">
        <f ca="1">[1]!Tabel1[[#This Row],[Vægtet Honorar]]*([1]!Tabel1[[#This Row],[Sidst redigeret]]&gt;TODAY()-40)*([1]!Tabel1[[#This Row],[Er i resplan?]]&lt;&gt;"Ja")*([1]!Tabel1[[#This Row],[Status]]="Pågår")</f>
        <v>0</v>
      </c>
      <c r="AG415" s="12">
        <f ca="1">[1]!Tabel1[[#This Row],[Vægtet Honorar]]*([1]!Tabel1[[#This Row],[Sidst redigeret]]&gt;TODAY()-40)*([1]!Tabel1[[#This Row],[Status]]="Pågår")</f>
        <v>0</v>
      </c>
      <c r="AH415" s="13"/>
      <c r="AI415" s="12"/>
      <c r="AJ415" s="12"/>
      <c r="AK415" s="12"/>
      <c r="AL415" s="12"/>
      <c r="AM415" s="12"/>
      <c r="AN415" s="12"/>
      <c r="AO415" s="12"/>
      <c r="AP415" s="12"/>
    </row>
    <row r="416" spans="1:42" ht="45">
      <c r="A416" t="s">
        <v>1501</v>
      </c>
      <c r="B416" s="8"/>
      <c r="C416" s="8" t="s">
        <v>1502</v>
      </c>
      <c r="D416" s="8" t="s">
        <v>57</v>
      </c>
      <c r="E416" s="8" t="s">
        <v>102</v>
      </c>
      <c r="F416" s="8" t="s">
        <v>1503</v>
      </c>
      <c r="G416" s="8" t="s">
        <v>1503</v>
      </c>
      <c r="H416" s="9">
        <v>50000</v>
      </c>
      <c r="I416" s="9">
        <f>[1]!Tabel1[[#This Row],[Honorar]]*[1]!Tabel1[[#This Row],[Sandsynlighed]]</f>
        <v>50000</v>
      </c>
      <c r="J416" s="10" t="s">
        <v>584</v>
      </c>
      <c r="K416" s="10" t="s">
        <v>329</v>
      </c>
      <c r="L416" s="17" t="s">
        <v>1504</v>
      </c>
      <c r="M416" s="11">
        <v>1</v>
      </c>
      <c r="N416" s="1"/>
      <c r="O416" s="10">
        <v>46279.611111111109</v>
      </c>
      <c r="P416" s="10"/>
      <c r="Q416" s="1" t="s">
        <v>46</v>
      </c>
      <c r="R416" s="8" t="s">
        <v>47</v>
      </c>
      <c r="S41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1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1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1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1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1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1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1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1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1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1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1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1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16" s="12">
        <f ca="1">[1]!Tabel1[[#This Row],[Vægtet Honorar]]*([1]!Tabel1[[#This Row],[Sidst redigeret]]&gt;TODAY()-40)*([1]!Tabel1[[#This Row],[Er i resplan?]]&lt;&gt;"Ja")*([1]!Tabel1[[#This Row],[Status]]="Pågår")</f>
        <v>0</v>
      </c>
      <c r="AG416" s="12">
        <f ca="1">[1]!Tabel1[[#This Row],[Vægtet Honorar]]*([1]!Tabel1[[#This Row],[Sidst redigeret]]&gt;TODAY()-40)*([1]!Tabel1[[#This Row],[Status]]="Pågår")</f>
        <v>0</v>
      </c>
      <c r="AH416" s="13"/>
      <c r="AI416" s="12"/>
      <c r="AJ416" s="12"/>
      <c r="AK416" s="12"/>
      <c r="AL416" s="12"/>
      <c r="AM416" s="12"/>
      <c r="AN416" s="12"/>
      <c r="AO416" s="12"/>
      <c r="AP416" s="12"/>
    </row>
    <row r="417" spans="1:42" ht="60">
      <c r="A417" t="s">
        <v>1505</v>
      </c>
      <c r="B417" s="8"/>
      <c r="C417" s="8" t="s">
        <v>1497</v>
      </c>
      <c r="D417" s="8" t="s">
        <v>57</v>
      </c>
      <c r="E417" s="8" t="s">
        <v>167</v>
      </c>
      <c r="F417" s="8" t="s">
        <v>1497</v>
      </c>
      <c r="G417" s="8" t="s">
        <v>1497</v>
      </c>
      <c r="H417" s="9">
        <v>500000</v>
      </c>
      <c r="I417" s="9">
        <f>[1]!Tabel1[[#This Row],[Honorar]]*[1]!Tabel1[[#This Row],[Sandsynlighed]]</f>
        <v>100000</v>
      </c>
      <c r="J417" s="10" t="s">
        <v>584</v>
      </c>
      <c r="K417" s="10" t="s">
        <v>329</v>
      </c>
      <c r="L417" s="17" t="s">
        <v>1506</v>
      </c>
      <c r="M417" s="11">
        <v>0.25</v>
      </c>
      <c r="N417" s="1"/>
      <c r="O417" s="10">
        <v>46279.611111111109</v>
      </c>
      <c r="P417" s="10"/>
      <c r="Q417" s="1"/>
      <c r="R417" s="8" t="s">
        <v>47</v>
      </c>
      <c r="S41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1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1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1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1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1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1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1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1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1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1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1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1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17" s="12">
        <f ca="1">[1]!Tabel1[[#This Row],[Vægtet Honorar]]*([1]!Tabel1[[#This Row],[Sidst redigeret]]&gt;TODAY()-40)*([1]!Tabel1[[#This Row],[Er i resplan?]]&lt;&gt;"Ja")*([1]!Tabel1[[#This Row],[Status]]="Pågår")</f>
        <v>0</v>
      </c>
      <c r="AG417" s="12">
        <f ca="1">[1]!Tabel1[[#This Row],[Vægtet Honorar]]*([1]!Tabel1[[#This Row],[Sidst redigeret]]&gt;TODAY()-40)*([1]!Tabel1[[#This Row],[Status]]="Pågår")</f>
        <v>0</v>
      </c>
      <c r="AH417" s="13"/>
      <c r="AI417" s="12"/>
      <c r="AJ417" s="12"/>
      <c r="AK417" s="12"/>
      <c r="AL417" s="12"/>
      <c r="AM417" s="12"/>
      <c r="AN417" s="12"/>
      <c r="AO417" s="12"/>
      <c r="AP417" s="12"/>
    </row>
    <row r="418" spans="1:42">
      <c r="A418" t="s">
        <v>1507</v>
      </c>
      <c r="B418" s="8"/>
      <c r="C418" s="8" t="s">
        <v>1508</v>
      </c>
      <c r="D418" s="8" t="s">
        <v>1448</v>
      </c>
      <c r="E418" s="8" t="s">
        <v>102</v>
      </c>
      <c r="F418" s="8" t="s">
        <v>1509</v>
      </c>
      <c r="G418" s="8" t="s">
        <v>1509</v>
      </c>
      <c r="H418" s="9">
        <v>50000</v>
      </c>
      <c r="I418" s="9">
        <f>[1]!Tabel1[[#This Row],[Honorar]]*[1]!Tabel1[[#This Row],[Sandsynlighed]]</f>
        <v>0</v>
      </c>
      <c r="J418" s="10" t="s">
        <v>622</v>
      </c>
      <c r="K418" s="10" t="s">
        <v>622</v>
      </c>
      <c r="L418" s="17"/>
      <c r="M418" s="11">
        <v>0</v>
      </c>
      <c r="N418" s="1" t="s">
        <v>1510</v>
      </c>
      <c r="O418" s="10">
        <v>46279.611111111109</v>
      </c>
      <c r="P418" s="10"/>
      <c r="Q418" s="1" t="s">
        <v>46</v>
      </c>
      <c r="R418" s="8" t="s">
        <v>49</v>
      </c>
      <c r="S41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1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1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1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1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1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1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1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1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1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1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1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1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18" s="12">
        <f ca="1">[1]!Tabel1[[#This Row],[Vægtet Honorar]]*([1]!Tabel1[[#This Row],[Sidst redigeret]]&gt;TODAY()-40)*([1]!Tabel1[[#This Row],[Er i resplan?]]&lt;&gt;"Ja")*([1]!Tabel1[[#This Row],[Status]]="Pågår")</f>
        <v>0</v>
      </c>
      <c r="AG418" s="12">
        <f ca="1">[1]!Tabel1[[#This Row],[Vægtet Honorar]]*([1]!Tabel1[[#This Row],[Sidst redigeret]]&gt;TODAY()-40)*([1]!Tabel1[[#This Row],[Status]]="Pågår")</f>
        <v>0</v>
      </c>
      <c r="AH418" s="13"/>
      <c r="AI418" s="12"/>
      <c r="AJ418" s="12"/>
      <c r="AK418" s="12"/>
      <c r="AL418" s="12"/>
      <c r="AM418" s="12"/>
      <c r="AN418" s="12"/>
      <c r="AO418" s="12"/>
      <c r="AP418" s="12"/>
    </row>
    <row r="419" spans="1:42">
      <c r="A419" t="s">
        <v>1511</v>
      </c>
      <c r="B419" s="8"/>
      <c r="C419" s="8" t="s">
        <v>1512</v>
      </c>
      <c r="D419" s="8" t="s">
        <v>1448</v>
      </c>
      <c r="E419" s="8" t="s">
        <v>102</v>
      </c>
      <c r="F419" s="8" t="s">
        <v>1513</v>
      </c>
      <c r="G419" s="8" t="s">
        <v>1513</v>
      </c>
      <c r="H419" s="9">
        <v>30000</v>
      </c>
      <c r="I419" s="9">
        <f>[1]!Tabel1[[#This Row],[Honorar]]*[1]!Tabel1[[#This Row],[Sandsynlighed]]</f>
        <v>100000</v>
      </c>
      <c r="J419" s="10" t="s">
        <v>622</v>
      </c>
      <c r="K419" s="10" t="s">
        <v>622</v>
      </c>
      <c r="L419" s="17"/>
      <c r="M419" s="11">
        <v>0.5</v>
      </c>
      <c r="N419" s="1"/>
      <c r="O419" s="10">
        <v>46279.611111111109</v>
      </c>
      <c r="P419" s="10"/>
      <c r="Q419" s="1" t="s">
        <v>46</v>
      </c>
      <c r="R419" s="8" t="s">
        <v>49</v>
      </c>
      <c r="S41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1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1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1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1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1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1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1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1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1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1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1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1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19" s="12">
        <f ca="1">[1]!Tabel1[[#This Row],[Vægtet Honorar]]*([1]!Tabel1[[#This Row],[Sidst redigeret]]&gt;TODAY()-40)*([1]!Tabel1[[#This Row],[Er i resplan?]]&lt;&gt;"Ja")*([1]!Tabel1[[#This Row],[Status]]="Pågår")</f>
        <v>0</v>
      </c>
      <c r="AG419" s="12">
        <f ca="1">[1]!Tabel1[[#This Row],[Vægtet Honorar]]*([1]!Tabel1[[#This Row],[Sidst redigeret]]&gt;TODAY()-40)*([1]!Tabel1[[#This Row],[Status]]="Pågår")</f>
        <v>0</v>
      </c>
      <c r="AH419" s="13"/>
      <c r="AI419" s="12"/>
      <c r="AJ419" s="12"/>
      <c r="AK419" s="12"/>
      <c r="AL419" s="12"/>
      <c r="AM419" s="12"/>
      <c r="AN419" s="12"/>
      <c r="AO419" s="12"/>
      <c r="AP419" s="12"/>
    </row>
    <row r="420" spans="1:42">
      <c r="A420" t="s">
        <v>1514</v>
      </c>
      <c r="B420" s="8"/>
      <c r="C420" s="8" t="s">
        <v>1515</v>
      </c>
      <c r="D420" s="8" t="s">
        <v>1448</v>
      </c>
      <c r="E420" s="8" t="s">
        <v>102</v>
      </c>
      <c r="F420" s="8" t="s">
        <v>1516</v>
      </c>
      <c r="G420" s="8" t="s">
        <v>1516</v>
      </c>
      <c r="H420" s="9">
        <v>200000</v>
      </c>
      <c r="I420" s="9">
        <f>[1]!Tabel1[[#This Row],[Honorar]]*[1]!Tabel1[[#This Row],[Sandsynlighed]]</f>
        <v>300000</v>
      </c>
      <c r="J420" s="10" t="s">
        <v>622</v>
      </c>
      <c r="K420" s="10" t="s">
        <v>328</v>
      </c>
      <c r="L420" s="17"/>
      <c r="M420" s="11">
        <v>0.25</v>
      </c>
      <c r="N420" s="1"/>
      <c r="O420" s="10">
        <v>46279.611111111109</v>
      </c>
      <c r="P420" s="10"/>
      <c r="Q420" s="1" t="s">
        <v>46</v>
      </c>
      <c r="R420" s="8" t="s">
        <v>49</v>
      </c>
      <c r="S42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16712.454212454213</v>
      </c>
      <c r="T42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2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2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2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2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2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2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2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2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2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2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2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20" s="12">
        <f ca="1">[1]!Tabel1[[#This Row],[Vægtet Honorar]]*([1]!Tabel1[[#This Row],[Sidst redigeret]]&gt;TODAY()-40)*([1]!Tabel1[[#This Row],[Er i resplan?]]&lt;&gt;"Ja")*([1]!Tabel1[[#This Row],[Status]]="Pågår")</f>
        <v>0</v>
      </c>
      <c r="AG420" s="12">
        <f ca="1">[1]!Tabel1[[#This Row],[Vægtet Honorar]]*([1]!Tabel1[[#This Row],[Sidst redigeret]]&gt;TODAY()-40)*([1]!Tabel1[[#This Row],[Status]]="Pågår")</f>
        <v>0</v>
      </c>
      <c r="AH420" s="13"/>
      <c r="AI420" s="12"/>
      <c r="AJ420" s="12"/>
      <c r="AK420" s="12"/>
      <c r="AL420" s="12"/>
      <c r="AM420" s="12"/>
      <c r="AN420" s="12"/>
      <c r="AO420" s="12"/>
      <c r="AP420" s="12"/>
    </row>
    <row r="421" spans="1:42" ht="60">
      <c r="A421" t="s">
        <v>1517</v>
      </c>
      <c r="B421" s="8">
        <v>232611</v>
      </c>
      <c r="C421" s="8" t="s">
        <v>1518</v>
      </c>
      <c r="D421" s="8" t="s">
        <v>334</v>
      </c>
      <c r="E421" s="8" t="s">
        <v>71</v>
      </c>
      <c r="F421" s="8" t="s">
        <v>1519</v>
      </c>
      <c r="G421" s="8" t="s">
        <v>1520</v>
      </c>
      <c r="H421" s="9">
        <v>50000</v>
      </c>
      <c r="I421" s="9">
        <f>[1]!Tabel1[[#This Row],[Honorar]]*[1]!Tabel1[[#This Row],[Sandsynlighed]]</f>
        <v>50000</v>
      </c>
      <c r="J421" s="10" t="s">
        <v>1068</v>
      </c>
      <c r="K421" s="10" t="s">
        <v>328</v>
      </c>
      <c r="L421" s="17" t="s">
        <v>1518</v>
      </c>
      <c r="M421" s="11">
        <v>1</v>
      </c>
      <c r="N421" s="1"/>
      <c r="O421" s="10">
        <v>46279.611111111109</v>
      </c>
      <c r="P421" s="10"/>
      <c r="Q421" s="1" t="s">
        <v>72</v>
      </c>
      <c r="R421" s="8" t="s">
        <v>75</v>
      </c>
      <c r="S42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2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2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2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2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2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2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2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2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2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2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2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2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21" s="12">
        <f ca="1">[1]!Tabel1[[#This Row],[Vægtet Honorar]]*([1]!Tabel1[[#This Row],[Sidst redigeret]]&gt;TODAY()-40)*([1]!Tabel1[[#This Row],[Er i resplan?]]&lt;&gt;"Ja")*([1]!Tabel1[[#This Row],[Status]]="Pågår")</f>
        <v>0</v>
      </c>
      <c r="AG421" s="12">
        <f ca="1">[1]!Tabel1[[#This Row],[Vægtet Honorar]]*([1]!Tabel1[[#This Row],[Sidst redigeret]]&gt;TODAY()-40)*([1]!Tabel1[[#This Row],[Status]]="Pågår")</f>
        <v>0</v>
      </c>
      <c r="AH421" s="13"/>
      <c r="AI421" s="12"/>
      <c r="AJ421" s="12"/>
      <c r="AK421" s="12"/>
      <c r="AL421" s="12"/>
      <c r="AM421" s="12"/>
      <c r="AN421" s="12"/>
      <c r="AO421" s="12"/>
      <c r="AP421" s="12"/>
    </row>
    <row r="422" spans="1:42">
      <c r="A422" t="s">
        <v>1521</v>
      </c>
      <c r="B422" s="8"/>
      <c r="C422" s="8" t="s">
        <v>1522</v>
      </c>
      <c r="D422" s="8" t="s">
        <v>1468</v>
      </c>
      <c r="E422" s="8" t="s">
        <v>167</v>
      </c>
      <c r="F422" s="8" t="s">
        <v>1523</v>
      </c>
      <c r="G422" s="8" t="s">
        <v>1523</v>
      </c>
      <c r="H422" s="9">
        <v>75000</v>
      </c>
      <c r="I422" s="9">
        <f>[1]!Tabel1[[#This Row],[Honorar]]*[1]!Tabel1[[#This Row],[Sandsynlighed]]</f>
        <v>125000</v>
      </c>
      <c r="J422" s="10" t="s">
        <v>1068</v>
      </c>
      <c r="K422" s="10" t="s">
        <v>622</v>
      </c>
      <c r="L422" s="17"/>
      <c r="M422" s="11">
        <v>1</v>
      </c>
      <c r="N422" s="1"/>
      <c r="O422" s="10">
        <v>46279.611111111109</v>
      </c>
      <c r="P422" s="10" t="s">
        <v>46</v>
      </c>
      <c r="Q422" s="1" t="s">
        <v>46</v>
      </c>
      <c r="R422" s="8" t="s">
        <v>47</v>
      </c>
      <c r="S42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6963.5225885225882</v>
      </c>
      <c r="T42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2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2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2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2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2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2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2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2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2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2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2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22" s="12">
        <f ca="1">[1]!Tabel1[[#This Row],[Vægtet Honorar]]*([1]!Tabel1[[#This Row],[Sidst redigeret]]&gt;TODAY()-40)*([1]!Tabel1[[#This Row],[Er i resplan?]]&lt;&gt;"Ja")*([1]!Tabel1[[#This Row],[Status]]="Pågår")</f>
        <v>0</v>
      </c>
      <c r="AG422" s="12">
        <f ca="1">[1]!Tabel1[[#This Row],[Vægtet Honorar]]*([1]!Tabel1[[#This Row],[Sidst redigeret]]&gt;TODAY()-40)*([1]!Tabel1[[#This Row],[Status]]="Pågår")</f>
        <v>0</v>
      </c>
      <c r="AH422" s="13"/>
      <c r="AI422" s="12"/>
      <c r="AJ422" s="12"/>
      <c r="AK422" s="12"/>
      <c r="AL422" s="12"/>
      <c r="AM422" s="12"/>
      <c r="AN422" s="12"/>
      <c r="AO422" s="12"/>
      <c r="AP422" s="12"/>
    </row>
    <row r="423" spans="1:42">
      <c r="A423" t="s">
        <v>1524</v>
      </c>
      <c r="B423" s="8"/>
      <c r="C423" s="8" t="s">
        <v>1525</v>
      </c>
      <c r="D423" s="8" t="s">
        <v>1468</v>
      </c>
      <c r="E423" s="8" t="s">
        <v>167</v>
      </c>
      <c r="F423" s="8" t="s">
        <v>1526</v>
      </c>
      <c r="G423" s="8" t="s">
        <v>1526</v>
      </c>
      <c r="H423" s="9">
        <v>30000</v>
      </c>
      <c r="I423" s="9">
        <f>[1]!Tabel1[[#This Row],[Honorar]]*[1]!Tabel1[[#This Row],[Sandsynlighed]]</f>
        <v>0</v>
      </c>
      <c r="J423" s="10" t="s">
        <v>328</v>
      </c>
      <c r="K423" s="10" t="s">
        <v>452</v>
      </c>
      <c r="L423" s="17"/>
      <c r="M423" s="11">
        <v>0.3</v>
      </c>
      <c r="N423" s="1"/>
      <c r="O423" s="10">
        <v>46279.611111111109</v>
      </c>
      <c r="P423" s="10"/>
      <c r="Q423" s="1" t="s">
        <v>46</v>
      </c>
      <c r="R423" s="8" t="s">
        <v>49</v>
      </c>
      <c r="S42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2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2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2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2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2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2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2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2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2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2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2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2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23" s="12">
        <f ca="1">[1]!Tabel1[[#This Row],[Vægtet Honorar]]*([1]!Tabel1[[#This Row],[Sidst redigeret]]&gt;TODAY()-40)*([1]!Tabel1[[#This Row],[Er i resplan?]]&lt;&gt;"Ja")*([1]!Tabel1[[#This Row],[Status]]="Pågår")</f>
        <v>0</v>
      </c>
      <c r="AG423" s="12">
        <f ca="1">[1]!Tabel1[[#This Row],[Vægtet Honorar]]*([1]!Tabel1[[#This Row],[Sidst redigeret]]&gt;TODAY()-40)*([1]!Tabel1[[#This Row],[Status]]="Pågår")</f>
        <v>0</v>
      </c>
      <c r="AH423" s="13"/>
      <c r="AI423" s="12"/>
      <c r="AJ423" s="12"/>
      <c r="AK423" s="12"/>
      <c r="AL423" s="12"/>
      <c r="AM423" s="12"/>
      <c r="AN423" s="12"/>
      <c r="AO423" s="12"/>
      <c r="AP423" s="12"/>
    </row>
    <row r="424" spans="1:42" ht="45">
      <c r="A424" t="s">
        <v>1527</v>
      </c>
      <c r="B424" s="8"/>
      <c r="C424" s="8" t="s">
        <v>1528</v>
      </c>
      <c r="D424" s="8" t="s">
        <v>93</v>
      </c>
      <c r="E424" s="8" t="s">
        <v>94</v>
      </c>
      <c r="F424" s="8" t="s">
        <v>1528</v>
      </c>
      <c r="G424" s="8" t="s">
        <v>1528</v>
      </c>
      <c r="H424" s="9">
        <v>2000000</v>
      </c>
      <c r="I424" s="9">
        <f>[1]!Tabel1[[#This Row],[Honorar]]*[1]!Tabel1[[#This Row],[Sandsynlighed]]</f>
        <v>15000</v>
      </c>
      <c r="J424" s="10" t="s">
        <v>584</v>
      </c>
      <c r="K424" s="10" t="s">
        <v>1529</v>
      </c>
      <c r="L424" s="17" t="s">
        <v>1530</v>
      </c>
      <c r="M424" s="11">
        <v>0.1</v>
      </c>
      <c r="N424" s="1"/>
      <c r="O424" s="10">
        <v>46279.611111111109</v>
      </c>
      <c r="P424" s="1" t="s">
        <v>72</v>
      </c>
      <c r="Q424" s="1"/>
      <c r="R424" s="8" t="s">
        <v>75</v>
      </c>
      <c r="S42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2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2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2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2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2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2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2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2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2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2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2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2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24" s="12">
        <f ca="1">[1]!Tabel1[[#This Row],[Vægtet Honorar]]*([1]!Tabel1[[#This Row],[Sidst redigeret]]&gt;TODAY()-40)*([1]!Tabel1[[#This Row],[Er i resplan?]]&lt;&gt;"Ja")*([1]!Tabel1[[#This Row],[Status]]="Pågår")</f>
        <v>0</v>
      </c>
      <c r="AG424" s="12">
        <f ca="1">[1]!Tabel1[[#This Row],[Vægtet Honorar]]*([1]!Tabel1[[#This Row],[Sidst redigeret]]&gt;TODAY()-40)*([1]!Tabel1[[#This Row],[Status]]="Pågår")</f>
        <v>0</v>
      </c>
      <c r="AH424" s="13"/>
      <c r="AI424" s="12"/>
      <c r="AJ424" s="12" t="s">
        <v>1531</v>
      </c>
      <c r="AK424" s="12"/>
      <c r="AL424" s="12"/>
      <c r="AM424" s="12"/>
      <c r="AN424" s="12" t="s">
        <v>1532</v>
      </c>
      <c r="AO424" s="12"/>
      <c r="AP424" s="12"/>
    </row>
    <row r="425" spans="1:42" ht="30">
      <c r="A425" t="s">
        <v>1533</v>
      </c>
      <c r="B425" s="8"/>
      <c r="C425" s="8" t="s">
        <v>1534</v>
      </c>
      <c r="D425" s="8" t="s">
        <v>197</v>
      </c>
      <c r="E425" s="8" t="s">
        <v>167</v>
      </c>
      <c r="F425" s="8" t="s">
        <v>671</v>
      </c>
      <c r="G425" s="8" t="s">
        <v>767</v>
      </c>
      <c r="H425" s="9">
        <v>2000000</v>
      </c>
      <c r="I425" s="9">
        <f>[1]!Tabel1[[#This Row],[Honorar]]*[1]!Tabel1[[#This Row],[Sandsynlighed]]</f>
        <v>50000</v>
      </c>
      <c r="J425" s="10" t="s">
        <v>1068</v>
      </c>
      <c r="K425" s="10" t="s">
        <v>329</v>
      </c>
      <c r="L425" s="17" t="s">
        <v>1535</v>
      </c>
      <c r="M425" s="11">
        <v>0</v>
      </c>
      <c r="N425" s="1"/>
      <c r="O425" s="10">
        <v>46279.611111111109</v>
      </c>
      <c r="P425" s="10"/>
      <c r="Q425" s="1"/>
      <c r="R425" s="8" t="s">
        <v>75</v>
      </c>
      <c r="S42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2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2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2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2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2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2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2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2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2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2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2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2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25" s="12">
        <f ca="1">[1]!Tabel1[[#This Row],[Vægtet Honorar]]*([1]!Tabel1[[#This Row],[Sidst redigeret]]&gt;TODAY()-40)*([1]!Tabel1[[#This Row],[Er i resplan?]]&lt;&gt;"Ja")*([1]!Tabel1[[#This Row],[Status]]="Pågår")</f>
        <v>0</v>
      </c>
      <c r="AG425" s="12">
        <f ca="1">[1]!Tabel1[[#This Row],[Vægtet Honorar]]*([1]!Tabel1[[#This Row],[Sidst redigeret]]&gt;TODAY()-40)*([1]!Tabel1[[#This Row],[Status]]="Pågår")</f>
        <v>0</v>
      </c>
      <c r="AH425" s="13"/>
      <c r="AI425" s="12"/>
      <c r="AJ425" s="12"/>
      <c r="AK425" s="12"/>
      <c r="AL425" s="12"/>
      <c r="AM425" s="12"/>
      <c r="AN425" s="12"/>
      <c r="AO425" s="12"/>
      <c r="AP425" s="12"/>
    </row>
    <row r="426" spans="1:42">
      <c r="A426" t="s">
        <v>1536</v>
      </c>
      <c r="B426" s="8"/>
      <c r="C426" s="8" t="s">
        <v>1537</v>
      </c>
      <c r="D426" s="8" t="s">
        <v>70</v>
      </c>
      <c r="E426" s="8" t="s">
        <v>102</v>
      </c>
      <c r="F426" s="8" t="s">
        <v>1538</v>
      </c>
      <c r="G426" s="8" t="s">
        <v>925</v>
      </c>
      <c r="H426" s="9">
        <v>150000</v>
      </c>
      <c r="I426" s="9">
        <f>[1]!Tabel1[[#This Row],[Honorar]]*[1]!Tabel1[[#This Row],[Sandsynlighed]]</f>
        <v>50000</v>
      </c>
      <c r="J426" s="10" t="s">
        <v>1068</v>
      </c>
      <c r="K426" s="10" t="s">
        <v>328</v>
      </c>
      <c r="L426" s="17"/>
      <c r="M426" s="11">
        <v>0</v>
      </c>
      <c r="N426" s="1"/>
      <c r="O426" s="10">
        <v>46279.611111111109</v>
      </c>
      <c r="P426" s="10"/>
      <c r="Q426" s="1" t="s">
        <v>72</v>
      </c>
      <c r="R426" s="8" t="s">
        <v>75</v>
      </c>
      <c r="S42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2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2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2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2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2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2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2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2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2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2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2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2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26" s="12">
        <f ca="1">[1]!Tabel1[[#This Row],[Vægtet Honorar]]*([1]!Tabel1[[#This Row],[Sidst redigeret]]&gt;TODAY()-40)*([1]!Tabel1[[#This Row],[Er i resplan?]]&lt;&gt;"Ja")*([1]!Tabel1[[#This Row],[Status]]="Pågår")</f>
        <v>0</v>
      </c>
      <c r="AG426" s="12">
        <f ca="1">[1]!Tabel1[[#This Row],[Vægtet Honorar]]*([1]!Tabel1[[#This Row],[Sidst redigeret]]&gt;TODAY()-40)*([1]!Tabel1[[#This Row],[Status]]="Pågår")</f>
        <v>0</v>
      </c>
      <c r="AH426" s="13"/>
      <c r="AI426" s="12"/>
      <c r="AJ426" s="12"/>
      <c r="AK426" s="12"/>
      <c r="AL426" s="12"/>
      <c r="AM426" s="12"/>
      <c r="AN426" s="12" t="s">
        <v>75</v>
      </c>
      <c r="AO426" s="12"/>
      <c r="AP426" s="12"/>
    </row>
    <row r="427" spans="1:42">
      <c r="A427" t="s">
        <v>1539</v>
      </c>
      <c r="B427" s="8"/>
      <c r="C427" s="8" t="s">
        <v>1540</v>
      </c>
      <c r="D427" s="8" t="s">
        <v>70</v>
      </c>
      <c r="E427" s="8" t="s">
        <v>102</v>
      </c>
      <c r="F427" s="8" t="s">
        <v>1541</v>
      </c>
      <c r="G427" s="8" t="s">
        <v>1542</v>
      </c>
      <c r="H427" s="9">
        <v>300000</v>
      </c>
      <c r="I427" s="9">
        <f>[1]!Tabel1[[#This Row],[Honorar]]*[1]!Tabel1[[#This Row],[Sandsynlighed]]</f>
        <v>75000</v>
      </c>
      <c r="J427" s="10" t="s">
        <v>1068</v>
      </c>
      <c r="K427" s="10" t="s">
        <v>328</v>
      </c>
      <c r="L427" s="17"/>
      <c r="M427" s="11">
        <v>1</v>
      </c>
      <c r="N427" s="1"/>
      <c r="O427" s="10">
        <v>46279.611111111109</v>
      </c>
      <c r="P427" s="10"/>
      <c r="Q427" s="1" t="s">
        <v>46</v>
      </c>
      <c r="R427" s="8" t="s">
        <v>47</v>
      </c>
      <c r="S42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2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2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2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2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2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2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2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2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2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2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2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2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27" s="12">
        <f ca="1">[1]!Tabel1[[#This Row],[Vægtet Honorar]]*([1]!Tabel1[[#This Row],[Sidst redigeret]]&gt;TODAY()-40)*([1]!Tabel1[[#This Row],[Er i resplan?]]&lt;&gt;"Ja")*([1]!Tabel1[[#This Row],[Status]]="Pågår")</f>
        <v>0</v>
      </c>
      <c r="AG427" s="12">
        <f ca="1">[1]!Tabel1[[#This Row],[Vægtet Honorar]]*([1]!Tabel1[[#This Row],[Sidst redigeret]]&gt;TODAY()-40)*([1]!Tabel1[[#This Row],[Status]]="Pågår")</f>
        <v>0</v>
      </c>
      <c r="AH427" s="13"/>
      <c r="AI427" s="12"/>
      <c r="AJ427" s="12"/>
      <c r="AK427" s="12"/>
      <c r="AL427" s="12"/>
      <c r="AM427" s="12"/>
      <c r="AN427" s="12"/>
      <c r="AO427" s="12"/>
      <c r="AP427" s="12"/>
    </row>
    <row r="428" spans="1:42">
      <c r="A428" t="s">
        <v>1543</v>
      </c>
      <c r="B428" s="8"/>
      <c r="C428" s="8" t="s">
        <v>1544</v>
      </c>
      <c r="D428" s="8" t="s">
        <v>1468</v>
      </c>
      <c r="E428" s="8" t="s">
        <v>167</v>
      </c>
      <c r="F428" s="8" t="s">
        <v>1545</v>
      </c>
      <c r="G428" s="8" t="s">
        <v>1545</v>
      </c>
      <c r="H428" s="9">
        <v>25000</v>
      </c>
      <c r="I428" s="9">
        <f>[1]!Tabel1[[#This Row],[Honorar]]*[1]!Tabel1[[#This Row],[Sandsynlighed]]</f>
        <v>9000</v>
      </c>
      <c r="J428" s="10" t="s">
        <v>1068</v>
      </c>
      <c r="K428" s="10" t="s">
        <v>622</v>
      </c>
      <c r="L428" s="17"/>
      <c r="M428" s="11">
        <v>1</v>
      </c>
      <c r="N428" s="1"/>
      <c r="O428" s="10">
        <v>46279.611111111109</v>
      </c>
      <c r="P428" s="10" t="s">
        <v>46</v>
      </c>
      <c r="Q428" s="1" t="s">
        <v>46</v>
      </c>
      <c r="R428" s="8" t="s">
        <v>47</v>
      </c>
      <c r="S42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2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2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2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2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2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2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2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2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2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2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2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2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28" s="12">
        <f ca="1">[1]!Tabel1[[#This Row],[Vægtet Honorar]]*([1]!Tabel1[[#This Row],[Sidst redigeret]]&gt;TODAY()-40)*([1]!Tabel1[[#This Row],[Er i resplan?]]&lt;&gt;"Ja")*([1]!Tabel1[[#This Row],[Status]]="Pågår")</f>
        <v>0</v>
      </c>
      <c r="AG428" s="12">
        <f ca="1">[1]!Tabel1[[#This Row],[Vægtet Honorar]]*([1]!Tabel1[[#This Row],[Sidst redigeret]]&gt;TODAY()-40)*([1]!Tabel1[[#This Row],[Status]]="Pågår")</f>
        <v>0</v>
      </c>
      <c r="AH428" s="13"/>
      <c r="AI428" s="12"/>
      <c r="AJ428" s="12"/>
      <c r="AK428" s="12"/>
      <c r="AL428" s="12"/>
      <c r="AM428" s="12"/>
      <c r="AN428" s="12"/>
      <c r="AO428" s="12"/>
      <c r="AP428" s="12"/>
    </row>
    <row r="429" spans="1:42">
      <c r="A429" t="s">
        <v>1546</v>
      </c>
      <c r="B429" s="8">
        <v>231208</v>
      </c>
      <c r="C429" s="8" t="s">
        <v>1547</v>
      </c>
      <c r="D429" s="8" t="s">
        <v>859</v>
      </c>
      <c r="E429" s="8" t="s">
        <v>71</v>
      </c>
      <c r="F429" s="8" t="s">
        <v>1225</v>
      </c>
      <c r="G429" s="8" t="s">
        <v>1225</v>
      </c>
      <c r="H429" s="9">
        <v>150000</v>
      </c>
      <c r="I429" s="9">
        <f>[1]!Tabel1[[#This Row],[Honorar]]*[1]!Tabel1[[#This Row],[Sandsynlighed]]</f>
        <v>200000</v>
      </c>
      <c r="J429" s="10" t="s">
        <v>1068</v>
      </c>
      <c r="K429" s="10" t="s">
        <v>622</v>
      </c>
      <c r="L429" s="17"/>
      <c r="M429" s="11">
        <v>1</v>
      </c>
      <c r="N429" s="1"/>
      <c r="O429" s="10">
        <v>46279.611111111109</v>
      </c>
      <c r="P429" s="10"/>
      <c r="Q429" s="1" t="s">
        <v>46</v>
      </c>
      <c r="R429" s="8" t="s">
        <v>47</v>
      </c>
      <c r="S42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2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2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2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2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2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2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2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2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2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2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2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2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29" s="12">
        <f ca="1">[1]!Tabel1[[#This Row],[Vægtet Honorar]]*([1]!Tabel1[[#This Row],[Sidst redigeret]]&gt;TODAY()-40)*([1]!Tabel1[[#This Row],[Er i resplan?]]&lt;&gt;"Ja")*([1]!Tabel1[[#This Row],[Status]]="Pågår")</f>
        <v>0</v>
      </c>
      <c r="AG429" s="12">
        <f ca="1">[1]!Tabel1[[#This Row],[Vægtet Honorar]]*([1]!Tabel1[[#This Row],[Sidst redigeret]]&gt;TODAY()-40)*([1]!Tabel1[[#This Row],[Status]]="Pågår")</f>
        <v>0</v>
      </c>
      <c r="AH429" s="13"/>
      <c r="AI429" s="12"/>
      <c r="AJ429" s="12"/>
      <c r="AK429" s="12"/>
      <c r="AL429" s="12"/>
      <c r="AM429" s="12"/>
      <c r="AN429" s="12"/>
      <c r="AO429" s="12"/>
      <c r="AP429" s="12"/>
    </row>
    <row r="430" spans="1:42" ht="45">
      <c r="A430" t="s">
        <v>1548</v>
      </c>
      <c r="B430" s="8"/>
      <c r="C430" s="8" t="s">
        <v>1549</v>
      </c>
      <c r="D430" s="8" t="s">
        <v>720</v>
      </c>
      <c r="E430" s="8" t="s">
        <v>71</v>
      </c>
      <c r="F430" s="8" t="s">
        <v>1178</v>
      </c>
      <c r="G430" s="8" t="s">
        <v>1550</v>
      </c>
      <c r="H430" s="9">
        <v>4000000</v>
      </c>
      <c r="I430" s="9">
        <f>[1]!Tabel1[[#This Row],[Honorar]]*[1]!Tabel1[[#This Row],[Sandsynlighed]]</f>
        <v>0</v>
      </c>
      <c r="J430" s="10" t="s">
        <v>328</v>
      </c>
      <c r="K430" s="10" t="s">
        <v>341</v>
      </c>
      <c r="L430" s="17" t="s">
        <v>1101</v>
      </c>
      <c r="M430" s="11">
        <v>0</v>
      </c>
      <c r="N430" s="1">
        <v>7300</v>
      </c>
      <c r="O430" s="10">
        <v>46279.611111111109</v>
      </c>
      <c r="P430" s="10"/>
      <c r="Q430" s="1" t="s">
        <v>72</v>
      </c>
      <c r="R430" s="8" t="s">
        <v>49</v>
      </c>
      <c r="S43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3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3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3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3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3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3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3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3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3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3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3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3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30" s="12">
        <f ca="1">[1]!Tabel1[[#This Row],[Vægtet Honorar]]*([1]!Tabel1[[#This Row],[Sidst redigeret]]&gt;TODAY()-40)*([1]!Tabel1[[#This Row],[Er i resplan?]]&lt;&gt;"Ja")*([1]!Tabel1[[#This Row],[Status]]="Pågår")</f>
        <v>0</v>
      </c>
      <c r="AG430" s="12">
        <f ca="1">[1]!Tabel1[[#This Row],[Vægtet Honorar]]*([1]!Tabel1[[#This Row],[Sidst redigeret]]&gt;TODAY()-40)*([1]!Tabel1[[#This Row],[Status]]="Pågår")</f>
        <v>0</v>
      </c>
      <c r="AH430" s="13"/>
      <c r="AI430" s="12" t="s">
        <v>1154</v>
      </c>
      <c r="AJ430" s="12" t="s">
        <v>1551</v>
      </c>
      <c r="AK430" s="12"/>
      <c r="AL430" s="12"/>
      <c r="AM430" s="12"/>
      <c r="AN430" s="12"/>
      <c r="AO430" s="12"/>
      <c r="AP430" s="12"/>
    </row>
    <row r="431" spans="1:42" ht="30">
      <c r="A431" t="s">
        <v>1552</v>
      </c>
      <c r="B431" s="8"/>
      <c r="C431" s="8" t="s">
        <v>1553</v>
      </c>
      <c r="D431" s="8" t="s">
        <v>93</v>
      </c>
      <c r="E431" s="8" t="s">
        <v>94</v>
      </c>
      <c r="F431" s="8" t="s">
        <v>1554</v>
      </c>
      <c r="G431" s="8" t="s">
        <v>1554</v>
      </c>
      <c r="H431" s="9">
        <v>500000</v>
      </c>
      <c r="I431" s="9">
        <f>[1]!Tabel1[[#This Row],[Honorar]]*[1]!Tabel1[[#This Row],[Sandsynlighed]]</f>
        <v>0</v>
      </c>
      <c r="J431" s="10" t="s">
        <v>584</v>
      </c>
      <c r="K431" s="10" t="s">
        <v>1062</v>
      </c>
      <c r="L431" s="17" t="s">
        <v>1555</v>
      </c>
      <c r="M431" s="11">
        <v>0.05</v>
      </c>
      <c r="N431" s="1" t="s">
        <v>1556</v>
      </c>
      <c r="O431" s="10">
        <v>46279.611111111109</v>
      </c>
      <c r="P431" s="1" t="s">
        <v>72</v>
      </c>
      <c r="Q431" s="1"/>
      <c r="R431" s="8" t="s">
        <v>75</v>
      </c>
      <c r="S43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3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3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3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3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3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3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3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3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3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3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3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3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31" s="12">
        <f ca="1">[1]!Tabel1[[#This Row],[Vægtet Honorar]]*([1]!Tabel1[[#This Row],[Sidst redigeret]]&gt;TODAY()-40)*([1]!Tabel1[[#This Row],[Er i resplan?]]&lt;&gt;"Ja")*([1]!Tabel1[[#This Row],[Status]]="Pågår")</f>
        <v>0</v>
      </c>
      <c r="AG431" s="12">
        <f ca="1">[1]!Tabel1[[#This Row],[Vægtet Honorar]]*([1]!Tabel1[[#This Row],[Sidst redigeret]]&gt;TODAY()-40)*([1]!Tabel1[[#This Row],[Status]]="Pågår")</f>
        <v>0</v>
      </c>
      <c r="AH431" s="13"/>
      <c r="AI431" s="12"/>
      <c r="AJ431" s="12"/>
      <c r="AK431" s="12" t="s">
        <v>767</v>
      </c>
      <c r="AL431" s="12"/>
      <c r="AM431" s="12"/>
      <c r="AN431" s="12" t="s">
        <v>75</v>
      </c>
      <c r="AO431" s="12">
        <v>45205</v>
      </c>
      <c r="AP431" s="12" t="s">
        <v>1557</v>
      </c>
    </row>
    <row r="432" spans="1:42">
      <c r="A432" t="s">
        <v>1558</v>
      </c>
      <c r="B432" s="8"/>
      <c r="C432" s="8" t="s">
        <v>1559</v>
      </c>
      <c r="D432" s="8" t="s">
        <v>57</v>
      </c>
      <c r="E432" s="8" t="s">
        <v>167</v>
      </c>
      <c r="F432" s="8"/>
      <c r="G432" s="8"/>
      <c r="H432" s="9">
        <v>1</v>
      </c>
      <c r="I432" s="9">
        <f>[1]!Tabel1[[#This Row],[Honorar]]*[1]!Tabel1[[#This Row],[Sandsynlighed]]</f>
        <v>300000</v>
      </c>
      <c r="J432" s="10" t="s">
        <v>328</v>
      </c>
      <c r="K432" s="10" t="s">
        <v>341</v>
      </c>
      <c r="L432" s="17" t="s">
        <v>1560</v>
      </c>
      <c r="M432" s="11">
        <v>0.02</v>
      </c>
      <c r="N432" s="1" t="s">
        <v>1561</v>
      </c>
      <c r="O432" s="10">
        <v>46279.611111111109</v>
      </c>
      <c r="P432" s="10"/>
      <c r="Q432" s="1"/>
      <c r="R432" s="8" t="s">
        <v>49</v>
      </c>
      <c r="S43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3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3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3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3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3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3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3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3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3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3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3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3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32" s="12">
        <f ca="1">[1]!Tabel1[[#This Row],[Vægtet Honorar]]*([1]!Tabel1[[#This Row],[Sidst redigeret]]&gt;TODAY()-40)*([1]!Tabel1[[#This Row],[Er i resplan?]]&lt;&gt;"Ja")*([1]!Tabel1[[#This Row],[Status]]="Pågår")</f>
        <v>0</v>
      </c>
      <c r="AG432" s="12">
        <f ca="1">[1]!Tabel1[[#This Row],[Vægtet Honorar]]*([1]!Tabel1[[#This Row],[Sidst redigeret]]&gt;TODAY()-40)*([1]!Tabel1[[#This Row],[Status]]="Pågår")</f>
        <v>0</v>
      </c>
      <c r="AH432" s="13"/>
      <c r="AI432" s="12"/>
      <c r="AJ432" s="12"/>
      <c r="AK432" s="12"/>
      <c r="AL432" s="12"/>
      <c r="AM432" s="12"/>
      <c r="AN432" s="12"/>
      <c r="AO432" s="12"/>
      <c r="AP432" s="12"/>
    </row>
    <row r="433" spans="1:42">
      <c r="A433" t="s">
        <v>1562</v>
      </c>
      <c r="B433" s="8"/>
      <c r="C433" s="8" t="s">
        <v>1563</v>
      </c>
      <c r="D433" s="8" t="s">
        <v>70</v>
      </c>
      <c r="E433" s="8" t="s">
        <v>102</v>
      </c>
      <c r="F433" s="8" t="s">
        <v>1538</v>
      </c>
      <c r="G433" s="8" t="s">
        <v>1538</v>
      </c>
      <c r="H433" s="9">
        <v>1100000</v>
      </c>
      <c r="I433" s="9">
        <f>[1]!Tabel1[[#This Row],[Honorar]]*[1]!Tabel1[[#This Row],[Sandsynlighed]]</f>
        <v>25000</v>
      </c>
      <c r="J433" s="10" t="s">
        <v>622</v>
      </c>
      <c r="K433" s="10" t="s">
        <v>452</v>
      </c>
      <c r="L433" s="17"/>
      <c r="M433" s="11">
        <v>1</v>
      </c>
      <c r="N433" s="1"/>
      <c r="O433" s="10">
        <v>46279.611111111109</v>
      </c>
      <c r="P433" s="10"/>
      <c r="Q433" s="1" t="s">
        <v>46</v>
      </c>
      <c r="R433" s="8" t="s">
        <v>47</v>
      </c>
      <c r="S43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3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3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3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3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3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3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3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3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3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3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3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3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33" s="12">
        <f ca="1">[1]!Tabel1[[#This Row],[Vægtet Honorar]]*([1]!Tabel1[[#This Row],[Sidst redigeret]]&gt;TODAY()-40)*([1]!Tabel1[[#This Row],[Er i resplan?]]&lt;&gt;"Ja")*([1]!Tabel1[[#This Row],[Status]]="Pågår")</f>
        <v>0</v>
      </c>
      <c r="AG433" s="12">
        <f ca="1">[1]!Tabel1[[#This Row],[Vægtet Honorar]]*([1]!Tabel1[[#This Row],[Sidst redigeret]]&gt;TODAY()-40)*([1]!Tabel1[[#This Row],[Status]]="Pågår")</f>
        <v>0</v>
      </c>
      <c r="AH433" s="13"/>
      <c r="AI433" s="12"/>
      <c r="AJ433" s="12"/>
      <c r="AK433" s="12"/>
      <c r="AL433" s="12"/>
      <c r="AM433" s="12"/>
      <c r="AN433" s="12"/>
      <c r="AO433" s="12"/>
      <c r="AP433" s="12"/>
    </row>
    <row r="434" spans="1:42">
      <c r="A434" t="s">
        <v>1564</v>
      </c>
      <c r="B434" s="8"/>
      <c r="C434" s="8" t="s">
        <v>1565</v>
      </c>
      <c r="D434" s="8" t="s">
        <v>200</v>
      </c>
      <c r="E434" s="8" t="s">
        <v>120</v>
      </c>
      <c r="F434" s="8" t="s">
        <v>1566</v>
      </c>
      <c r="G434" s="8" t="s">
        <v>1566</v>
      </c>
      <c r="H434" s="9">
        <v>2000000</v>
      </c>
      <c r="I434" s="9">
        <f>[1]!Tabel1[[#This Row],[Honorar]]*[1]!Tabel1[[#This Row],[Sandsynlighed]]</f>
        <v>150000</v>
      </c>
      <c r="J434" s="10" t="s">
        <v>622</v>
      </c>
      <c r="K434" s="10" t="s">
        <v>1191</v>
      </c>
      <c r="L434" s="17"/>
      <c r="M434" s="11">
        <v>1</v>
      </c>
      <c r="N434" s="1">
        <v>2200</v>
      </c>
      <c r="O434" s="10">
        <v>46279.611111111109</v>
      </c>
      <c r="P434" s="10"/>
      <c r="Q434" s="1" t="s">
        <v>46</v>
      </c>
      <c r="R434" s="8" t="s">
        <v>47</v>
      </c>
      <c r="S43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3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3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3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3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3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3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3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3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3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3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3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3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34" s="12">
        <f ca="1">[1]!Tabel1[[#This Row],[Vægtet Honorar]]*([1]!Tabel1[[#This Row],[Sidst redigeret]]&gt;TODAY()-40)*([1]!Tabel1[[#This Row],[Er i resplan?]]&lt;&gt;"Ja")*([1]!Tabel1[[#This Row],[Status]]="Pågår")</f>
        <v>0</v>
      </c>
      <c r="AG434" s="12">
        <f ca="1">[1]!Tabel1[[#This Row],[Vægtet Honorar]]*([1]!Tabel1[[#This Row],[Sidst redigeret]]&gt;TODAY()-40)*([1]!Tabel1[[#This Row],[Status]]="Pågår")</f>
        <v>0</v>
      </c>
      <c r="AH434" s="13"/>
      <c r="AI434" s="12"/>
      <c r="AJ434" s="12"/>
      <c r="AK434" s="12"/>
      <c r="AL434" s="12"/>
      <c r="AM434" s="12"/>
      <c r="AN434" s="12"/>
      <c r="AO434" s="12"/>
      <c r="AP434" s="12"/>
    </row>
    <row r="435" spans="1:42">
      <c r="A435" t="s">
        <v>1567</v>
      </c>
      <c r="B435" s="8"/>
      <c r="C435" s="8" t="s">
        <v>1568</v>
      </c>
      <c r="D435" s="8" t="s">
        <v>200</v>
      </c>
      <c r="E435" s="8" t="s">
        <v>120</v>
      </c>
      <c r="F435" s="8" t="s">
        <v>1569</v>
      </c>
      <c r="G435" s="8" t="s">
        <v>1569</v>
      </c>
      <c r="H435" s="9">
        <v>200000</v>
      </c>
      <c r="I435" s="9">
        <f>[1]!Tabel1[[#This Row],[Honorar]]*[1]!Tabel1[[#This Row],[Sandsynlighed]]</f>
        <v>0</v>
      </c>
      <c r="J435" s="10" t="s">
        <v>1068</v>
      </c>
      <c r="K435" s="10" t="s">
        <v>584</v>
      </c>
      <c r="L435" s="17"/>
      <c r="M435" s="11">
        <v>1</v>
      </c>
      <c r="N435" s="1">
        <v>800</v>
      </c>
      <c r="O435" s="10">
        <v>46279.611111111109</v>
      </c>
      <c r="P435" s="10"/>
      <c r="Q435" s="1" t="s">
        <v>46</v>
      </c>
      <c r="R435" s="8" t="s">
        <v>47</v>
      </c>
      <c r="S43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3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3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3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3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3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3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3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3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3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3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3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3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35" s="12">
        <f ca="1">[1]!Tabel1[[#This Row],[Vægtet Honorar]]*([1]!Tabel1[[#This Row],[Sidst redigeret]]&gt;TODAY()-40)*([1]!Tabel1[[#This Row],[Er i resplan?]]&lt;&gt;"Ja")*([1]!Tabel1[[#This Row],[Status]]="Pågår")</f>
        <v>0</v>
      </c>
      <c r="AG435" s="12">
        <f ca="1">[1]!Tabel1[[#This Row],[Vægtet Honorar]]*([1]!Tabel1[[#This Row],[Sidst redigeret]]&gt;TODAY()-40)*([1]!Tabel1[[#This Row],[Status]]="Pågår")</f>
        <v>0</v>
      </c>
      <c r="AH435" s="13"/>
      <c r="AI435" s="12"/>
      <c r="AJ435" s="12"/>
      <c r="AK435" s="12"/>
      <c r="AL435" s="12"/>
      <c r="AM435" s="12"/>
      <c r="AN435" s="12"/>
      <c r="AO435" s="12"/>
      <c r="AP435" s="12"/>
    </row>
    <row r="436" spans="1:42">
      <c r="A436" t="s">
        <v>1570</v>
      </c>
      <c r="B436" s="8"/>
      <c r="C436" s="8" t="s">
        <v>1571</v>
      </c>
      <c r="D436" s="8" t="s">
        <v>158</v>
      </c>
      <c r="E436" s="8" t="s">
        <v>167</v>
      </c>
      <c r="F436" s="8" t="s">
        <v>168</v>
      </c>
      <c r="G436" s="8" t="s">
        <v>168</v>
      </c>
      <c r="H436" s="9">
        <v>1500000</v>
      </c>
      <c r="I436" s="9">
        <f>[1]!Tabel1[[#This Row],[Honorar]]*[1]!Tabel1[[#This Row],[Sandsynlighed]]</f>
        <v>25000</v>
      </c>
      <c r="J436" s="10" t="s">
        <v>329</v>
      </c>
      <c r="K436" s="10" t="s">
        <v>898</v>
      </c>
      <c r="L436" s="17"/>
      <c r="M436" s="11">
        <v>0.1</v>
      </c>
      <c r="N436" s="1">
        <v>0</v>
      </c>
      <c r="O436" s="10">
        <v>46279.611111111109</v>
      </c>
      <c r="P436" s="10"/>
      <c r="Q436" s="1" t="s">
        <v>72</v>
      </c>
      <c r="R436" s="8" t="s">
        <v>49</v>
      </c>
      <c r="S43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3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3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3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3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3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3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3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3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3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3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3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3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36" s="12">
        <f ca="1">[1]!Tabel1[[#This Row],[Vægtet Honorar]]*([1]!Tabel1[[#This Row],[Sidst redigeret]]&gt;TODAY()-40)*([1]!Tabel1[[#This Row],[Er i resplan?]]&lt;&gt;"Ja")*([1]!Tabel1[[#This Row],[Status]]="Pågår")</f>
        <v>0</v>
      </c>
      <c r="AG436" s="12">
        <f ca="1">[1]!Tabel1[[#This Row],[Vægtet Honorar]]*([1]!Tabel1[[#This Row],[Sidst redigeret]]&gt;TODAY()-40)*([1]!Tabel1[[#This Row],[Status]]="Pågår")</f>
        <v>0</v>
      </c>
      <c r="AH436" s="13"/>
      <c r="AI436" s="12"/>
      <c r="AJ436" s="12" t="s">
        <v>1572</v>
      </c>
      <c r="AK436" s="12" t="s">
        <v>1573</v>
      </c>
      <c r="AL436" s="12" t="s">
        <v>1574</v>
      </c>
      <c r="AM436" s="12"/>
      <c r="AN436" s="12"/>
      <c r="AO436" s="12"/>
      <c r="AP436" s="12"/>
    </row>
    <row r="437" spans="1:42" ht="45">
      <c r="A437" t="s">
        <v>1575</v>
      </c>
      <c r="B437" s="8"/>
      <c r="C437" s="8" t="s">
        <v>1576</v>
      </c>
      <c r="D437" s="8" t="s">
        <v>119</v>
      </c>
      <c r="E437" s="8" t="s">
        <v>120</v>
      </c>
      <c r="F437" s="8" t="s">
        <v>1577</v>
      </c>
      <c r="G437" s="8" t="s">
        <v>1577</v>
      </c>
      <c r="H437" s="9">
        <v>60000</v>
      </c>
      <c r="I437" s="9">
        <f>[1]!Tabel1[[#This Row],[Honorar]]*[1]!Tabel1[[#This Row],[Sandsynlighed]]</f>
        <v>0.02</v>
      </c>
      <c r="J437" s="10" t="s">
        <v>1068</v>
      </c>
      <c r="K437" s="10" t="s">
        <v>622</v>
      </c>
      <c r="L437" s="17" t="s">
        <v>1578</v>
      </c>
      <c r="M437" s="11">
        <v>1</v>
      </c>
      <c r="N437" s="1">
        <v>0</v>
      </c>
      <c r="O437" s="10">
        <v>46279.611111111109</v>
      </c>
      <c r="P437" s="10"/>
      <c r="Q437" s="1" t="s">
        <v>46</v>
      </c>
      <c r="R437" s="8" t="s">
        <v>47</v>
      </c>
      <c r="S43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8.3447645176040232E-4</v>
      </c>
      <c r="T43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3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3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3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3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3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3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3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3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3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3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3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37" s="12">
        <f ca="1">[1]!Tabel1[[#This Row],[Vægtet Honorar]]*([1]!Tabel1[[#This Row],[Sidst redigeret]]&gt;TODAY()-40)*([1]!Tabel1[[#This Row],[Er i resplan?]]&lt;&gt;"Ja")*([1]!Tabel1[[#This Row],[Status]]="Pågår")</f>
        <v>0</v>
      </c>
      <c r="AG437" s="12">
        <f ca="1">[1]!Tabel1[[#This Row],[Vægtet Honorar]]*([1]!Tabel1[[#This Row],[Sidst redigeret]]&gt;TODAY()-40)*([1]!Tabel1[[#This Row],[Status]]="Pågår")</f>
        <v>0</v>
      </c>
      <c r="AH437" s="13"/>
      <c r="AI437" s="12"/>
      <c r="AJ437" s="12"/>
      <c r="AK437" s="12"/>
      <c r="AL437" s="12"/>
      <c r="AM437" s="12"/>
      <c r="AN437" s="12"/>
      <c r="AO437" s="12"/>
      <c r="AP437" s="12"/>
    </row>
    <row r="438" spans="1:42">
      <c r="A438" t="s">
        <v>1579</v>
      </c>
      <c r="B438" s="8"/>
      <c r="C438" s="8" t="s">
        <v>1580</v>
      </c>
      <c r="D438" s="8" t="s">
        <v>569</v>
      </c>
      <c r="E438" s="8" t="s">
        <v>167</v>
      </c>
      <c r="F438" s="8" t="s">
        <v>1581</v>
      </c>
      <c r="G438" s="8" t="s">
        <v>1581</v>
      </c>
      <c r="H438" s="9">
        <v>500000</v>
      </c>
      <c r="I438" s="9">
        <f>[1]!Tabel1[[#This Row],[Honorar]]*[1]!Tabel1[[#This Row],[Sandsynlighed]]</f>
        <v>1100000</v>
      </c>
      <c r="J438" s="10" t="s">
        <v>1068</v>
      </c>
      <c r="K438" s="10" t="s">
        <v>612</v>
      </c>
      <c r="L438" s="17" t="s">
        <v>942</v>
      </c>
      <c r="M438" s="11">
        <v>0</v>
      </c>
      <c r="N438" s="1">
        <v>500</v>
      </c>
      <c r="O438" s="10">
        <v>46279.611111111109</v>
      </c>
      <c r="P438" s="10"/>
      <c r="Q438" s="1"/>
      <c r="R438" s="8" t="s">
        <v>75</v>
      </c>
      <c r="S43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3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3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3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3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3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3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3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3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3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3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3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3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38" s="12">
        <f ca="1">[1]!Tabel1[[#This Row],[Vægtet Honorar]]*([1]!Tabel1[[#This Row],[Sidst redigeret]]&gt;TODAY()-40)*([1]!Tabel1[[#This Row],[Er i resplan?]]&lt;&gt;"Ja")*([1]!Tabel1[[#This Row],[Status]]="Pågår")</f>
        <v>0</v>
      </c>
      <c r="AG438" s="12">
        <f ca="1">[1]!Tabel1[[#This Row],[Vægtet Honorar]]*([1]!Tabel1[[#This Row],[Sidst redigeret]]&gt;TODAY()-40)*([1]!Tabel1[[#This Row],[Status]]="Pågår")</f>
        <v>0</v>
      </c>
      <c r="AH438" s="13"/>
      <c r="AI438" s="12"/>
      <c r="AJ438" s="12" t="s">
        <v>1582</v>
      </c>
      <c r="AK438" s="12"/>
      <c r="AL438" s="12"/>
      <c r="AM438" s="12"/>
      <c r="AN438" s="12"/>
      <c r="AO438" s="12"/>
      <c r="AP438" s="12"/>
    </row>
    <row r="439" spans="1:42">
      <c r="A439" t="s">
        <v>1583</v>
      </c>
      <c r="B439" s="8"/>
      <c r="C439" s="8" t="s">
        <v>1584</v>
      </c>
      <c r="D439" s="8" t="s">
        <v>1468</v>
      </c>
      <c r="E439" s="8" t="s">
        <v>167</v>
      </c>
      <c r="F439" s="8" t="s">
        <v>1585</v>
      </c>
      <c r="G439" s="8" t="s">
        <v>1585</v>
      </c>
      <c r="H439" s="9">
        <v>5000000</v>
      </c>
      <c r="I439" s="9">
        <f>[1]!Tabel1[[#This Row],[Honorar]]*[1]!Tabel1[[#This Row],[Sandsynlighed]]</f>
        <v>2000000</v>
      </c>
      <c r="J439" s="10" t="s">
        <v>622</v>
      </c>
      <c r="K439" s="10" t="s">
        <v>612</v>
      </c>
      <c r="L439" s="17" t="s">
        <v>942</v>
      </c>
      <c r="M439" s="11">
        <v>0.01</v>
      </c>
      <c r="N439" s="1" t="s">
        <v>1015</v>
      </c>
      <c r="O439" s="10">
        <v>46279.611111111109</v>
      </c>
      <c r="P439" s="10"/>
      <c r="Q439" s="1" t="s">
        <v>72</v>
      </c>
      <c r="R439" s="8" t="s">
        <v>75</v>
      </c>
      <c r="S43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3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3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3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3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3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3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3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3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3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3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3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3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39" s="12">
        <f ca="1">[1]!Tabel1[[#This Row],[Vægtet Honorar]]*([1]!Tabel1[[#This Row],[Sidst redigeret]]&gt;TODAY()-40)*([1]!Tabel1[[#This Row],[Er i resplan?]]&lt;&gt;"Ja")*([1]!Tabel1[[#This Row],[Status]]="Pågår")</f>
        <v>0</v>
      </c>
      <c r="AG439" s="12">
        <f ca="1">[1]!Tabel1[[#This Row],[Vægtet Honorar]]*([1]!Tabel1[[#This Row],[Sidst redigeret]]&gt;TODAY()-40)*([1]!Tabel1[[#This Row],[Status]]="Pågår")</f>
        <v>0</v>
      </c>
      <c r="AH439" s="13"/>
      <c r="AI439" s="12"/>
      <c r="AJ439" s="12"/>
      <c r="AK439" s="12"/>
      <c r="AL439" s="12"/>
      <c r="AM439" s="12"/>
      <c r="AN439" s="12"/>
      <c r="AO439" s="12"/>
      <c r="AP439" s="12"/>
    </row>
    <row r="440" spans="1:42">
      <c r="A440" t="s">
        <v>1586</v>
      </c>
      <c r="B440" s="8"/>
      <c r="C440" s="8" t="s">
        <v>1587</v>
      </c>
      <c r="D440" s="8" t="s">
        <v>720</v>
      </c>
      <c r="E440" s="8" t="s">
        <v>71</v>
      </c>
      <c r="F440" s="8" t="s">
        <v>1588</v>
      </c>
      <c r="G440" s="8" t="s">
        <v>1589</v>
      </c>
      <c r="H440" s="9">
        <v>750000</v>
      </c>
      <c r="I440" s="9">
        <f>[1]!Tabel1[[#This Row],[Honorar]]*[1]!Tabel1[[#This Row],[Sandsynlighed]]</f>
        <v>200000</v>
      </c>
      <c r="J440" s="10" t="s">
        <v>452</v>
      </c>
      <c r="K440" s="10" t="s">
        <v>1191</v>
      </c>
      <c r="L440" s="17"/>
      <c r="M440" s="11">
        <v>0</v>
      </c>
      <c r="N440" s="1">
        <v>4600</v>
      </c>
      <c r="O440" s="10">
        <v>46279.611111111109</v>
      </c>
      <c r="P440" s="10"/>
      <c r="Q440" s="1" t="s">
        <v>46</v>
      </c>
      <c r="R440" s="8" t="s">
        <v>75</v>
      </c>
      <c r="S44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4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4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4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4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4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4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4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4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4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4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4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4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40" s="12">
        <f ca="1">[1]!Tabel1[[#This Row],[Vægtet Honorar]]*([1]!Tabel1[[#This Row],[Sidst redigeret]]&gt;TODAY()-40)*([1]!Tabel1[[#This Row],[Er i resplan?]]&lt;&gt;"Ja")*([1]!Tabel1[[#This Row],[Status]]="Pågår")</f>
        <v>0</v>
      </c>
      <c r="AG440" s="12">
        <f ca="1">[1]!Tabel1[[#This Row],[Vægtet Honorar]]*([1]!Tabel1[[#This Row],[Sidst redigeret]]&gt;TODAY()-40)*([1]!Tabel1[[#This Row],[Status]]="Pågår")</f>
        <v>0</v>
      </c>
      <c r="AH440" s="13"/>
      <c r="AI440" s="12"/>
      <c r="AJ440" s="12"/>
      <c r="AK440" s="12"/>
      <c r="AL440" s="12"/>
      <c r="AM440" s="12"/>
      <c r="AN440" s="12"/>
      <c r="AO440" s="12"/>
      <c r="AP440" s="12"/>
    </row>
    <row r="441" spans="1:42">
      <c r="A441" t="s">
        <v>1590</v>
      </c>
      <c r="B441" s="8"/>
      <c r="C441" s="8" t="s">
        <v>1591</v>
      </c>
      <c r="D441" s="8" t="s">
        <v>70</v>
      </c>
      <c r="E441" s="8" t="s">
        <v>102</v>
      </c>
      <c r="F441" s="8" t="s">
        <v>1591</v>
      </c>
      <c r="G441" s="8" t="s">
        <v>1592</v>
      </c>
      <c r="H441" s="9">
        <v>400000</v>
      </c>
      <c r="I441" s="9">
        <f>[1]!Tabel1[[#This Row],[Honorar]]*[1]!Tabel1[[#This Row],[Sandsynlighed]]</f>
        <v>150000</v>
      </c>
      <c r="J441" s="10" t="s">
        <v>622</v>
      </c>
      <c r="K441" s="10" t="s">
        <v>612</v>
      </c>
      <c r="L441" s="17"/>
      <c r="M441" s="11">
        <v>1</v>
      </c>
      <c r="N441" s="1">
        <v>2000</v>
      </c>
      <c r="O441" s="10">
        <v>46279.611111111109</v>
      </c>
      <c r="P441" s="10"/>
      <c r="Q441" s="1" t="s">
        <v>46</v>
      </c>
      <c r="R441" s="8" t="s">
        <v>47</v>
      </c>
      <c r="S44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3330.2919708029199</v>
      </c>
      <c r="T44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3330.2919708029199</v>
      </c>
      <c r="U44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3330.2919708029199</v>
      </c>
      <c r="V44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3330.2919708029199</v>
      </c>
      <c r="W44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3330.2919708029199</v>
      </c>
      <c r="X44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3330.2919708029199</v>
      </c>
      <c r="Y44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3330.2919708029199</v>
      </c>
      <c r="Z44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3330.2919708029199</v>
      </c>
      <c r="AA44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3330.2919708029199</v>
      </c>
      <c r="AB44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3330.2919708029199</v>
      </c>
      <c r="AC44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3330.2919708029199</v>
      </c>
      <c r="AD44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3330.2919708029199</v>
      </c>
      <c r="AE44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3330.2919708029199</v>
      </c>
      <c r="AF441" s="12">
        <f ca="1">[1]!Tabel1[[#This Row],[Vægtet Honorar]]*([1]!Tabel1[[#This Row],[Sidst redigeret]]&gt;TODAY()-40)*([1]!Tabel1[[#This Row],[Er i resplan?]]&lt;&gt;"Ja")*([1]!Tabel1[[#This Row],[Status]]="Pågår")</f>
        <v>0</v>
      </c>
      <c r="AG441" s="12">
        <f ca="1">[1]!Tabel1[[#This Row],[Vægtet Honorar]]*([1]!Tabel1[[#This Row],[Sidst redigeret]]&gt;TODAY()-40)*([1]!Tabel1[[#This Row],[Status]]="Pågår")</f>
        <v>0</v>
      </c>
      <c r="AH441" s="13"/>
      <c r="AI441" s="12"/>
      <c r="AJ441" s="12"/>
      <c r="AK441" s="12"/>
      <c r="AL441" s="12"/>
      <c r="AM441" s="12"/>
      <c r="AN441" s="12"/>
      <c r="AO441" s="12"/>
      <c r="AP441" s="12"/>
    </row>
    <row r="442" spans="1:42">
      <c r="A442" t="s">
        <v>1593</v>
      </c>
      <c r="B442" s="8"/>
      <c r="C442" s="8" t="s">
        <v>1594</v>
      </c>
      <c r="D442" s="8" t="s">
        <v>859</v>
      </c>
      <c r="E442" s="8" t="s">
        <v>71</v>
      </c>
      <c r="F442" s="8" t="s">
        <v>547</v>
      </c>
      <c r="G442" s="8"/>
      <c r="H442" s="9">
        <v>2000000</v>
      </c>
      <c r="I442" s="9">
        <f>[1]!Tabel1[[#This Row],[Honorar]]*[1]!Tabel1[[#This Row],[Sandsynlighed]]</f>
        <v>60000</v>
      </c>
      <c r="J442" s="10" t="s">
        <v>622</v>
      </c>
      <c r="K442" s="10" t="s">
        <v>1191</v>
      </c>
      <c r="L442" s="17"/>
      <c r="M442" s="11">
        <v>0.25</v>
      </c>
      <c r="N442" s="1"/>
      <c r="O442" s="10">
        <v>46279.611111111109</v>
      </c>
      <c r="P442" s="10"/>
      <c r="Q442" s="1" t="s">
        <v>72</v>
      </c>
      <c r="R442" s="8" t="s">
        <v>75</v>
      </c>
      <c r="S44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4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4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4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4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4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4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4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4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4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4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4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4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42" s="12">
        <f ca="1">[1]!Tabel1[[#This Row],[Vægtet Honorar]]*([1]!Tabel1[[#This Row],[Sidst redigeret]]&gt;TODAY()-40)*([1]!Tabel1[[#This Row],[Er i resplan?]]&lt;&gt;"Ja")*([1]!Tabel1[[#This Row],[Status]]="Pågår")</f>
        <v>0</v>
      </c>
      <c r="AG442" s="12">
        <f ca="1">[1]!Tabel1[[#This Row],[Vægtet Honorar]]*([1]!Tabel1[[#This Row],[Sidst redigeret]]&gt;TODAY()-40)*([1]!Tabel1[[#This Row],[Status]]="Pågår")</f>
        <v>0</v>
      </c>
      <c r="AH442" s="13"/>
      <c r="AI442" s="12"/>
      <c r="AJ442" s="12"/>
      <c r="AK442" s="12"/>
      <c r="AL442" s="12"/>
      <c r="AM442" s="12"/>
      <c r="AN442" s="12"/>
      <c r="AO442" s="12"/>
      <c r="AP442" s="12"/>
    </row>
    <row r="443" spans="1:42" ht="45">
      <c r="A443" t="s">
        <v>1595</v>
      </c>
      <c r="B443" s="8"/>
      <c r="C443" s="8" t="s">
        <v>1596</v>
      </c>
      <c r="D443" s="8" t="s">
        <v>569</v>
      </c>
      <c r="E443" s="8" t="s">
        <v>167</v>
      </c>
      <c r="F443" s="8" t="s">
        <v>1597</v>
      </c>
      <c r="G443" s="8"/>
      <c r="H443" s="9">
        <v>700000</v>
      </c>
      <c r="I443" s="9">
        <f>[1]!Tabel1[[#This Row],[Honorar]]*[1]!Tabel1[[#This Row],[Sandsynlighed]]</f>
        <v>0</v>
      </c>
      <c r="J443" s="10" t="s">
        <v>622</v>
      </c>
      <c r="K443" s="10" t="s">
        <v>584</v>
      </c>
      <c r="L443" s="17" t="s">
        <v>1598</v>
      </c>
      <c r="M443" s="11">
        <v>1</v>
      </c>
      <c r="N443" s="1"/>
      <c r="O443" s="10">
        <v>46279.611111111109</v>
      </c>
      <c r="P443" s="10"/>
      <c r="Q443" s="1" t="s">
        <v>72</v>
      </c>
      <c r="R443" s="8" t="s">
        <v>47</v>
      </c>
      <c r="S44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4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4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4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4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4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4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4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4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4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4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4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4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43" s="12">
        <f ca="1">[1]!Tabel1[[#This Row],[Vægtet Honorar]]*([1]!Tabel1[[#This Row],[Sidst redigeret]]&gt;TODAY()-40)*([1]!Tabel1[[#This Row],[Er i resplan?]]&lt;&gt;"Ja")*([1]!Tabel1[[#This Row],[Status]]="Pågår")</f>
        <v>0</v>
      </c>
      <c r="AG443" s="12">
        <f ca="1">[1]!Tabel1[[#This Row],[Vægtet Honorar]]*([1]!Tabel1[[#This Row],[Sidst redigeret]]&gt;TODAY()-40)*([1]!Tabel1[[#This Row],[Status]]="Pågår")</f>
        <v>0</v>
      </c>
      <c r="AH443" s="13"/>
      <c r="AI443" s="12"/>
      <c r="AJ443" s="12"/>
      <c r="AK443" s="12"/>
      <c r="AL443" s="12"/>
      <c r="AM443" s="12"/>
      <c r="AN443" s="12"/>
      <c r="AO443" s="12"/>
      <c r="AP443" s="12"/>
    </row>
    <row r="444" spans="1:42" ht="45">
      <c r="A444" t="s">
        <v>1599</v>
      </c>
      <c r="B444" s="8"/>
      <c r="C444" s="8" t="s">
        <v>1600</v>
      </c>
      <c r="D444" s="8" t="s">
        <v>569</v>
      </c>
      <c r="E444" s="8" t="s">
        <v>167</v>
      </c>
      <c r="F444" s="8" t="s">
        <v>1597</v>
      </c>
      <c r="G444" s="8"/>
      <c r="H444" s="9">
        <v>700000</v>
      </c>
      <c r="I444" s="9">
        <f>[1]!Tabel1[[#This Row],[Honorar]]*[1]!Tabel1[[#This Row],[Sandsynlighed]]</f>
        <v>50000</v>
      </c>
      <c r="J444" s="10" t="s">
        <v>584</v>
      </c>
      <c r="K444" s="10" t="s">
        <v>328</v>
      </c>
      <c r="L444" s="17" t="s">
        <v>1601</v>
      </c>
      <c r="M444" s="11">
        <v>1</v>
      </c>
      <c r="N444" s="1"/>
      <c r="O444" s="10">
        <v>46279.611111111109</v>
      </c>
      <c r="P444" s="10"/>
      <c r="Q444" s="1" t="s">
        <v>72</v>
      </c>
      <c r="R444" s="8" t="s">
        <v>47</v>
      </c>
      <c r="S44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4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4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4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4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4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4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4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4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4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4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4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4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44" s="12">
        <f ca="1">[1]!Tabel1[[#This Row],[Vægtet Honorar]]*([1]!Tabel1[[#This Row],[Sidst redigeret]]&gt;TODAY()-40)*([1]!Tabel1[[#This Row],[Er i resplan?]]&lt;&gt;"Ja")*([1]!Tabel1[[#This Row],[Status]]="Pågår")</f>
        <v>0</v>
      </c>
      <c r="AG444" s="12">
        <f ca="1">[1]!Tabel1[[#This Row],[Vægtet Honorar]]*([1]!Tabel1[[#This Row],[Sidst redigeret]]&gt;TODAY()-40)*([1]!Tabel1[[#This Row],[Status]]="Pågår")</f>
        <v>0</v>
      </c>
      <c r="AH444" s="13"/>
      <c r="AI444" s="12"/>
      <c r="AJ444" s="12"/>
      <c r="AK444" s="12"/>
      <c r="AL444" s="12"/>
      <c r="AM444" s="12"/>
      <c r="AN444" s="12"/>
      <c r="AO444" s="12"/>
      <c r="AP444" s="12"/>
    </row>
    <row r="445" spans="1:42">
      <c r="A445" t="s">
        <v>1602</v>
      </c>
      <c r="B445" s="8"/>
      <c r="C445" s="8" t="s">
        <v>1603</v>
      </c>
      <c r="D445" s="8" t="s">
        <v>1604</v>
      </c>
      <c r="E445" s="8" t="s">
        <v>102</v>
      </c>
      <c r="F445" s="8" t="s">
        <v>1605</v>
      </c>
      <c r="G445" s="8" t="s">
        <v>1605</v>
      </c>
      <c r="H445" s="9">
        <v>300000</v>
      </c>
      <c r="I445" s="9">
        <f>[1]!Tabel1[[#This Row],[Honorar]]*[1]!Tabel1[[#This Row],[Sandsynlighed]]</f>
        <v>0</v>
      </c>
      <c r="J445" s="10" t="s">
        <v>329</v>
      </c>
      <c r="K445" s="10" t="s">
        <v>1191</v>
      </c>
      <c r="L445" s="17"/>
      <c r="M445" s="11">
        <v>0.1</v>
      </c>
      <c r="N445" s="1"/>
      <c r="O445" s="10">
        <v>46279.611111111109</v>
      </c>
      <c r="P445" s="10"/>
      <c r="Q445" s="1" t="s">
        <v>46</v>
      </c>
      <c r="R445" s="8" t="s">
        <v>343</v>
      </c>
      <c r="S44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4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4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4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4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4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4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4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4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4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4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4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4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45" s="12">
        <f ca="1">[1]!Tabel1[[#This Row],[Vægtet Honorar]]*([1]!Tabel1[[#This Row],[Sidst redigeret]]&gt;TODAY()-40)*([1]!Tabel1[[#This Row],[Er i resplan?]]&lt;&gt;"Ja")*([1]!Tabel1[[#This Row],[Status]]="Pågår")</f>
        <v>0</v>
      </c>
      <c r="AG445" s="12">
        <f ca="1">[1]!Tabel1[[#This Row],[Vægtet Honorar]]*([1]!Tabel1[[#This Row],[Sidst redigeret]]&gt;TODAY()-40)*([1]!Tabel1[[#This Row],[Status]]="Pågår")</f>
        <v>0</v>
      </c>
      <c r="AH445" s="13"/>
      <c r="AI445" s="12"/>
      <c r="AJ445" s="12"/>
      <c r="AK445" s="12"/>
      <c r="AL445" s="12"/>
      <c r="AM445" s="12"/>
      <c r="AN445" s="12"/>
      <c r="AO445" s="12"/>
      <c r="AP445" s="12"/>
    </row>
    <row r="446" spans="1:42" ht="45">
      <c r="A446" t="s">
        <v>1606</v>
      </c>
      <c r="B446" s="8">
        <v>231253</v>
      </c>
      <c r="C446" s="8" t="s">
        <v>1607</v>
      </c>
      <c r="D446" s="8" t="s">
        <v>119</v>
      </c>
      <c r="E446" s="8" t="s">
        <v>120</v>
      </c>
      <c r="F446" s="8" t="s">
        <v>1608</v>
      </c>
      <c r="G446" s="8" t="s">
        <v>1123</v>
      </c>
      <c r="H446" s="9">
        <v>110000</v>
      </c>
      <c r="I446" s="9">
        <f>[1]!Tabel1[[#This Row],[Honorar]]*[1]!Tabel1[[#This Row],[Sandsynlighed]]</f>
        <v>400000</v>
      </c>
      <c r="J446" s="10">
        <v>45306</v>
      </c>
      <c r="K446" s="10">
        <v>45366</v>
      </c>
      <c r="L446" s="17" t="s">
        <v>1609</v>
      </c>
      <c r="M446" s="11">
        <v>1</v>
      </c>
      <c r="N446" s="1"/>
      <c r="O446" s="10">
        <v>46279.611111111109</v>
      </c>
      <c r="P446" s="10"/>
      <c r="Q446" s="1" t="s">
        <v>46</v>
      </c>
      <c r="R446" s="8" t="s">
        <v>47</v>
      </c>
      <c r="S44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4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4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4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4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4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4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4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4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4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4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4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4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46" s="12">
        <f ca="1">[1]!Tabel1[[#This Row],[Vægtet Honorar]]*([1]!Tabel1[[#This Row],[Sidst redigeret]]&gt;TODAY()-40)*([1]!Tabel1[[#This Row],[Er i resplan?]]&lt;&gt;"Ja")*([1]!Tabel1[[#This Row],[Status]]="Pågår")</f>
        <v>0</v>
      </c>
      <c r="AG446" s="12">
        <f ca="1">[1]!Tabel1[[#This Row],[Vægtet Honorar]]*([1]!Tabel1[[#This Row],[Sidst redigeret]]&gt;TODAY()-40)*([1]!Tabel1[[#This Row],[Status]]="Pågår")</f>
        <v>0</v>
      </c>
      <c r="AH446" s="13"/>
      <c r="AI446" s="12"/>
      <c r="AJ446" s="12"/>
      <c r="AK446" s="12"/>
      <c r="AL446" s="12"/>
      <c r="AM446" s="12"/>
      <c r="AN446" s="12"/>
      <c r="AO446" s="12"/>
      <c r="AP446" s="12"/>
    </row>
    <row r="447" spans="1:42" ht="45">
      <c r="A447" t="s">
        <v>1610</v>
      </c>
      <c r="B447" s="8"/>
      <c r="C447" s="8" t="s">
        <v>1611</v>
      </c>
      <c r="D447" s="8" t="s">
        <v>158</v>
      </c>
      <c r="E447" s="8" t="s">
        <v>167</v>
      </c>
      <c r="F447" s="8"/>
      <c r="G447" s="8" t="s">
        <v>1612</v>
      </c>
      <c r="H447" s="9">
        <v>50000</v>
      </c>
      <c r="I447" s="9">
        <f>[1]!Tabel1[[#This Row],[Honorar]]*[1]!Tabel1[[#This Row],[Sandsynlighed]]</f>
        <v>500000</v>
      </c>
      <c r="J447" s="10" t="s">
        <v>328</v>
      </c>
      <c r="K447" s="10" t="s">
        <v>452</v>
      </c>
      <c r="L447" s="17" t="s">
        <v>1613</v>
      </c>
      <c r="M447" s="11">
        <v>0.5</v>
      </c>
      <c r="N447" s="1"/>
      <c r="O447" s="10">
        <v>46279.611111111109</v>
      </c>
      <c r="P447" s="10"/>
      <c r="Q447" s="1" t="s">
        <v>72</v>
      </c>
      <c r="R447" s="8" t="s">
        <v>49</v>
      </c>
      <c r="S44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4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4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4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4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4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4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4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4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4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4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4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4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47" s="12">
        <f ca="1">[1]!Tabel1[[#This Row],[Vægtet Honorar]]*([1]!Tabel1[[#This Row],[Sidst redigeret]]&gt;TODAY()-40)*([1]!Tabel1[[#This Row],[Er i resplan?]]&lt;&gt;"Ja")*([1]!Tabel1[[#This Row],[Status]]="Pågår")</f>
        <v>0</v>
      </c>
      <c r="AG447" s="12">
        <f ca="1">[1]!Tabel1[[#This Row],[Vægtet Honorar]]*([1]!Tabel1[[#This Row],[Sidst redigeret]]&gt;TODAY()-40)*([1]!Tabel1[[#This Row],[Status]]="Pågår")</f>
        <v>0</v>
      </c>
      <c r="AH447" s="13"/>
      <c r="AI447" s="12"/>
      <c r="AJ447" s="12"/>
      <c r="AK447" s="12"/>
      <c r="AL447" s="12"/>
      <c r="AM447" s="12"/>
      <c r="AN447" s="12"/>
      <c r="AO447" s="12"/>
      <c r="AP447" s="12"/>
    </row>
    <row r="448" spans="1:42" ht="75">
      <c r="A448" t="s">
        <v>1614</v>
      </c>
      <c r="B448" s="8"/>
      <c r="C448" s="8" t="s">
        <v>1615</v>
      </c>
      <c r="D448" s="8" t="s">
        <v>119</v>
      </c>
      <c r="E448" s="8" t="s">
        <v>120</v>
      </c>
      <c r="F448" s="8" t="s">
        <v>1616</v>
      </c>
      <c r="G448" s="8" t="s">
        <v>1616</v>
      </c>
      <c r="H448" s="9">
        <v>50000</v>
      </c>
      <c r="I448" s="9">
        <f>[1]!Tabel1[[#This Row],[Honorar]]*[1]!Tabel1[[#This Row],[Sandsynlighed]]</f>
        <v>700000</v>
      </c>
      <c r="J448" s="10" t="s">
        <v>1068</v>
      </c>
      <c r="K448" s="10" t="s">
        <v>612</v>
      </c>
      <c r="L448" s="17" t="s">
        <v>1617</v>
      </c>
      <c r="M448" s="11">
        <v>0</v>
      </c>
      <c r="N448" s="1"/>
      <c r="O448" s="10">
        <v>46279.611111111109</v>
      </c>
      <c r="P448" s="10"/>
      <c r="Q448" s="1" t="s">
        <v>72</v>
      </c>
      <c r="R448" s="8" t="s">
        <v>49</v>
      </c>
      <c r="S44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116987.17948717948</v>
      </c>
      <c r="T44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4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4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4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4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4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4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4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4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4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4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4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48" s="12">
        <f ca="1">[1]!Tabel1[[#This Row],[Vægtet Honorar]]*([1]!Tabel1[[#This Row],[Sidst redigeret]]&gt;TODAY()-40)*([1]!Tabel1[[#This Row],[Er i resplan?]]&lt;&gt;"Ja")*([1]!Tabel1[[#This Row],[Status]]="Pågår")</f>
        <v>0</v>
      </c>
      <c r="AG448" s="12">
        <f ca="1">[1]!Tabel1[[#This Row],[Vægtet Honorar]]*([1]!Tabel1[[#This Row],[Sidst redigeret]]&gt;TODAY()-40)*([1]!Tabel1[[#This Row],[Status]]="Pågår")</f>
        <v>0</v>
      </c>
      <c r="AH448" s="13"/>
      <c r="AI448" s="12"/>
      <c r="AJ448" s="12"/>
      <c r="AK448" s="12"/>
      <c r="AL448" s="12"/>
      <c r="AM448" s="12"/>
      <c r="AN448" s="12"/>
      <c r="AO448" s="12"/>
      <c r="AP448" s="12"/>
    </row>
    <row r="449" spans="1:42">
      <c r="A449" t="s">
        <v>1618</v>
      </c>
      <c r="B449" s="8"/>
      <c r="C449" s="8" t="s">
        <v>1619</v>
      </c>
      <c r="D449" s="8" t="s">
        <v>358</v>
      </c>
      <c r="E449" s="8" t="s">
        <v>102</v>
      </c>
      <c r="F449" s="8" t="s">
        <v>1620</v>
      </c>
      <c r="G449" s="8" t="s">
        <v>1620</v>
      </c>
      <c r="H449" s="9">
        <v>3500000</v>
      </c>
      <c r="I449" s="9">
        <f>[1]!Tabel1[[#This Row],[Honorar]]*[1]!Tabel1[[#This Row],[Sandsynlighed]]</f>
        <v>700000</v>
      </c>
      <c r="J449" s="10" t="s">
        <v>1287</v>
      </c>
      <c r="K449" s="10" t="s">
        <v>1191</v>
      </c>
      <c r="L449" s="17"/>
      <c r="M449" s="11">
        <v>0.1</v>
      </c>
      <c r="N449" s="1">
        <v>6800</v>
      </c>
      <c r="O449" s="10">
        <v>46279.611111111109</v>
      </c>
      <c r="P449" s="10"/>
      <c r="Q449" s="1" t="s">
        <v>46</v>
      </c>
      <c r="R449" s="8" t="s">
        <v>49</v>
      </c>
      <c r="S44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117633.51749539595</v>
      </c>
      <c r="T44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4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4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4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4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4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4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4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4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4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4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4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49" s="12">
        <f ca="1">[1]!Tabel1[[#This Row],[Vægtet Honorar]]*([1]!Tabel1[[#This Row],[Sidst redigeret]]&gt;TODAY()-40)*([1]!Tabel1[[#This Row],[Er i resplan?]]&lt;&gt;"Ja")*([1]!Tabel1[[#This Row],[Status]]="Pågår")</f>
        <v>0</v>
      </c>
      <c r="AG449" s="12">
        <f ca="1">[1]!Tabel1[[#This Row],[Vægtet Honorar]]*([1]!Tabel1[[#This Row],[Sidst redigeret]]&gt;TODAY()-40)*([1]!Tabel1[[#This Row],[Status]]="Pågår")</f>
        <v>0</v>
      </c>
      <c r="AH449" s="13"/>
      <c r="AI449" s="12"/>
      <c r="AJ449" s="12"/>
      <c r="AK449" s="12"/>
      <c r="AL449" s="12"/>
      <c r="AM449" s="12"/>
      <c r="AN449" s="12"/>
      <c r="AO449" s="12"/>
      <c r="AP449" s="12"/>
    </row>
    <row r="450" spans="1:42">
      <c r="A450" t="s">
        <v>1621</v>
      </c>
      <c r="B450" s="8"/>
      <c r="C450" s="8" t="s">
        <v>1622</v>
      </c>
      <c r="D450" s="8" t="s">
        <v>1623</v>
      </c>
      <c r="E450" s="8" t="s">
        <v>102</v>
      </c>
      <c r="F450" s="8" t="s">
        <v>1538</v>
      </c>
      <c r="G450" s="8" t="s">
        <v>1538</v>
      </c>
      <c r="H450" s="9">
        <v>100000</v>
      </c>
      <c r="I450" s="9">
        <f>[1]!Tabel1[[#This Row],[Honorar]]*[1]!Tabel1[[#This Row],[Sandsynlighed]]</f>
        <v>30000</v>
      </c>
      <c r="J450" s="10" t="s">
        <v>622</v>
      </c>
      <c r="K450" s="10" t="s">
        <v>1191</v>
      </c>
      <c r="L450" s="17"/>
      <c r="M450" s="11">
        <v>1</v>
      </c>
      <c r="N450" s="1"/>
      <c r="O450" s="10">
        <v>46279.611111111109</v>
      </c>
      <c r="P450" s="10"/>
      <c r="Q450" s="1" t="s">
        <v>46</v>
      </c>
      <c r="R450" s="8" t="s">
        <v>47</v>
      </c>
      <c r="S45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5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5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5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5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5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5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5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5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5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5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5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5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50" s="12">
        <f ca="1">[1]!Tabel1[[#This Row],[Vægtet Honorar]]*([1]!Tabel1[[#This Row],[Sidst redigeret]]&gt;TODAY()-40)*([1]!Tabel1[[#This Row],[Er i resplan?]]&lt;&gt;"Ja")*([1]!Tabel1[[#This Row],[Status]]="Pågår")</f>
        <v>0</v>
      </c>
      <c r="AG450" s="12">
        <f ca="1">[1]!Tabel1[[#This Row],[Vægtet Honorar]]*([1]!Tabel1[[#This Row],[Sidst redigeret]]&gt;TODAY()-40)*([1]!Tabel1[[#This Row],[Status]]="Pågår")</f>
        <v>30000</v>
      </c>
      <c r="AH450" s="13"/>
      <c r="AI450" s="12"/>
      <c r="AJ450" s="12"/>
      <c r="AK450" s="12"/>
      <c r="AL450" s="12"/>
      <c r="AM450" s="12"/>
      <c r="AN450" s="12"/>
      <c r="AO450" s="12"/>
      <c r="AP450" s="12"/>
    </row>
    <row r="451" spans="1:42">
      <c r="A451" t="s">
        <v>1624</v>
      </c>
      <c r="B451" s="8"/>
      <c r="C451" s="8" t="s">
        <v>1625</v>
      </c>
      <c r="D451" s="8" t="s">
        <v>1623</v>
      </c>
      <c r="E451" s="8" t="s">
        <v>102</v>
      </c>
      <c r="F451" s="8" t="s">
        <v>1538</v>
      </c>
      <c r="G451" s="8" t="s">
        <v>1626</v>
      </c>
      <c r="H451" s="9">
        <v>100000</v>
      </c>
      <c r="I451" s="9">
        <f>[1]!Tabel1[[#This Row],[Honorar]]*[1]!Tabel1[[#This Row],[Sandsynlighed]]</f>
        <v>110000</v>
      </c>
      <c r="J451" s="10" t="s">
        <v>622</v>
      </c>
      <c r="K451" s="10" t="s">
        <v>1191</v>
      </c>
      <c r="L451" s="17"/>
      <c r="M451" s="11">
        <v>0.75</v>
      </c>
      <c r="N451" s="1"/>
      <c r="O451" s="10">
        <v>46279.611111111109</v>
      </c>
      <c r="P451" s="10"/>
      <c r="Q451" s="1" t="s">
        <v>46</v>
      </c>
      <c r="R451" s="8" t="s">
        <v>47</v>
      </c>
      <c r="S45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5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5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5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5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5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5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5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5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5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5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5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5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51" s="12">
        <f ca="1">[1]!Tabel1[[#This Row],[Vægtet Honorar]]*([1]!Tabel1[[#This Row],[Sidst redigeret]]&gt;TODAY()-40)*([1]!Tabel1[[#This Row],[Er i resplan?]]&lt;&gt;"Ja")*([1]!Tabel1[[#This Row],[Status]]="Pågår")</f>
        <v>0</v>
      </c>
      <c r="AG451" s="12">
        <f ca="1">[1]!Tabel1[[#This Row],[Vægtet Honorar]]*([1]!Tabel1[[#This Row],[Sidst redigeret]]&gt;TODAY()-40)*([1]!Tabel1[[#This Row],[Status]]="Pågår")</f>
        <v>0</v>
      </c>
      <c r="AH451" s="13"/>
      <c r="AI451" s="12"/>
      <c r="AJ451" s="12"/>
      <c r="AK451" s="12"/>
      <c r="AL451" s="12"/>
      <c r="AM451" s="12"/>
      <c r="AN451" s="12"/>
      <c r="AO451" s="12"/>
      <c r="AP451" s="12"/>
    </row>
    <row r="452" spans="1:42">
      <c r="A452" t="s">
        <v>1627</v>
      </c>
      <c r="B452" s="8"/>
      <c r="C452" s="8" t="s">
        <v>1628</v>
      </c>
      <c r="D452" s="8" t="s">
        <v>158</v>
      </c>
      <c r="E452" s="8" t="s">
        <v>167</v>
      </c>
      <c r="F452" s="8" t="s">
        <v>671</v>
      </c>
      <c r="G452" s="8" t="s">
        <v>671</v>
      </c>
      <c r="H452" s="9">
        <v>200000</v>
      </c>
      <c r="I452" s="9">
        <f>[1]!Tabel1[[#This Row],[Honorar]]*[1]!Tabel1[[#This Row],[Sandsynlighed]]</f>
        <v>25000</v>
      </c>
      <c r="J452" s="10" t="s">
        <v>622</v>
      </c>
      <c r="K452" s="10" t="s">
        <v>328</v>
      </c>
      <c r="L452" s="17"/>
      <c r="M452" s="11">
        <v>0.5</v>
      </c>
      <c r="N452" s="1"/>
      <c r="O452" s="10">
        <v>46279.611111111109</v>
      </c>
      <c r="P452" s="10"/>
      <c r="Q452" s="1"/>
      <c r="R452" s="8" t="s">
        <v>75</v>
      </c>
      <c r="S45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4178.1135531135533</v>
      </c>
      <c r="T45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5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5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5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5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5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5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5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5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5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5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5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52" s="12">
        <f ca="1">[1]!Tabel1[[#This Row],[Vægtet Honorar]]*([1]!Tabel1[[#This Row],[Sidst redigeret]]&gt;TODAY()-40)*([1]!Tabel1[[#This Row],[Er i resplan?]]&lt;&gt;"Ja")*([1]!Tabel1[[#This Row],[Status]]="Pågår")</f>
        <v>0</v>
      </c>
      <c r="AG452" s="12">
        <f ca="1">[1]!Tabel1[[#This Row],[Vægtet Honorar]]*([1]!Tabel1[[#This Row],[Sidst redigeret]]&gt;TODAY()-40)*([1]!Tabel1[[#This Row],[Status]]="Pågår")</f>
        <v>0</v>
      </c>
      <c r="AH452" s="13"/>
      <c r="AI452" s="12"/>
      <c r="AJ452" s="12"/>
      <c r="AK452" s="12"/>
      <c r="AL452" s="12"/>
      <c r="AM452" s="12"/>
      <c r="AN452" s="12"/>
      <c r="AO452" s="12"/>
      <c r="AP452" s="12"/>
    </row>
    <row r="453" spans="1:42">
      <c r="A453" t="s">
        <v>1629</v>
      </c>
      <c r="B453" s="8"/>
      <c r="C453" s="8" t="s">
        <v>1630</v>
      </c>
      <c r="D453" s="8" t="s">
        <v>720</v>
      </c>
      <c r="E453" s="8" t="s">
        <v>71</v>
      </c>
      <c r="F453" s="8" t="s">
        <v>516</v>
      </c>
      <c r="G453" s="8" t="s">
        <v>1589</v>
      </c>
      <c r="H453" s="9">
        <v>50000</v>
      </c>
      <c r="I453" s="9">
        <f>[1]!Tabel1[[#This Row],[Honorar]]*[1]!Tabel1[[#This Row],[Sandsynlighed]]</f>
        <v>0</v>
      </c>
      <c r="J453" s="10" t="s">
        <v>452</v>
      </c>
      <c r="K453" s="10" t="s">
        <v>1061</v>
      </c>
      <c r="L453" s="17"/>
      <c r="M453" s="11">
        <v>0.1</v>
      </c>
      <c r="N453" s="1"/>
      <c r="O453" s="10">
        <v>46279.611111111109</v>
      </c>
      <c r="P453" s="10"/>
      <c r="Q453" s="1" t="s">
        <v>72</v>
      </c>
      <c r="R453" s="8" t="s">
        <v>75</v>
      </c>
      <c r="S45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5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5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5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5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5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5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5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5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5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5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5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5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53" s="12">
        <f ca="1">[1]!Tabel1[[#This Row],[Vægtet Honorar]]*([1]!Tabel1[[#This Row],[Sidst redigeret]]&gt;TODAY()-40)*([1]!Tabel1[[#This Row],[Er i resplan?]]&lt;&gt;"Ja")*([1]!Tabel1[[#This Row],[Status]]="Pågår")</f>
        <v>0</v>
      </c>
      <c r="AG453" s="12">
        <f ca="1">[1]!Tabel1[[#This Row],[Vægtet Honorar]]*([1]!Tabel1[[#This Row],[Sidst redigeret]]&gt;TODAY()-40)*([1]!Tabel1[[#This Row],[Status]]="Pågår")</f>
        <v>0</v>
      </c>
      <c r="AH453" s="13"/>
      <c r="AI453" s="12"/>
      <c r="AJ453" s="12"/>
      <c r="AK453" s="12"/>
      <c r="AL453" s="12"/>
      <c r="AM453" s="12"/>
      <c r="AN453" s="12"/>
      <c r="AO453" s="12"/>
      <c r="AP453" s="12"/>
    </row>
    <row r="454" spans="1:42">
      <c r="A454" t="s">
        <v>1631</v>
      </c>
      <c r="B454" s="8"/>
      <c r="C454" s="8" t="s">
        <v>1632</v>
      </c>
      <c r="D454" s="8" t="s">
        <v>1623</v>
      </c>
      <c r="E454" s="8" t="s">
        <v>102</v>
      </c>
      <c r="F454" s="8" t="s">
        <v>1633</v>
      </c>
      <c r="G454" s="8" t="s">
        <v>1634</v>
      </c>
      <c r="H454" s="9">
        <v>30000</v>
      </c>
      <c r="I454" s="9">
        <f>[1]!Tabel1[[#This Row],[Honorar]]*[1]!Tabel1[[#This Row],[Sandsynlighed]]</f>
        <v>350000</v>
      </c>
      <c r="J454" s="10" t="s">
        <v>1191</v>
      </c>
      <c r="K454" s="10" t="s">
        <v>1191</v>
      </c>
      <c r="L454" s="17"/>
      <c r="M454" s="11">
        <v>0.1</v>
      </c>
      <c r="N454" s="1"/>
      <c r="O454" s="10">
        <v>46279.611111111109</v>
      </c>
      <c r="P454" s="10"/>
      <c r="Q454" s="1"/>
      <c r="R454" s="8" t="s">
        <v>343</v>
      </c>
      <c r="S45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5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5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5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5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5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5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5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5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5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5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5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5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54" s="12">
        <f ca="1">[1]!Tabel1[[#This Row],[Vægtet Honorar]]*([1]!Tabel1[[#This Row],[Sidst redigeret]]&gt;TODAY()-40)*([1]!Tabel1[[#This Row],[Er i resplan?]]&lt;&gt;"Ja")*([1]!Tabel1[[#This Row],[Status]]="Pågår")</f>
        <v>0</v>
      </c>
      <c r="AG454" s="12">
        <f ca="1">[1]!Tabel1[[#This Row],[Vægtet Honorar]]*([1]!Tabel1[[#This Row],[Sidst redigeret]]&gt;TODAY()-40)*([1]!Tabel1[[#This Row],[Status]]="Pågår")</f>
        <v>0</v>
      </c>
      <c r="AH454" s="13"/>
      <c r="AI454" s="12"/>
      <c r="AJ454" s="12"/>
      <c r="AK454" s="12"/>
      <c r="AL454" s="12"/>
      <c r="AM454" s="12"/>
      <c r="AN454" s="12"/>
      <c r="AO454" s="12"/>
      <c r="AP454" s="12"/>
    </row>
    <row r="455" spans="1:42" ht="30">
      <c r="A455" t="s">
        <v>1635</v>
      </c>
      <c r="B455" s="8"/>
      <c r="C455" s="8" t="s">
        <v>1636</v>
      </c>
      <c r="D455" s="8" t="s">
        <v>93</v>
      </c>
      <c r="E455" s="8" t="s">
        <v>94</v>
      </c>
      <c r="F455" s="8" t="s">
        <v>968</v>
      </c>
      <c r="G455" s="8" t="s">
        <v>968</v>
      </c>
      <c r="H455" s="9">
        <v>500000</v>
      </c>
      <c r="I455" s="9">
        <f>[1]!Tabel1[[#This Row],[Honorar]]*[1]!Tabel1[[#This Row],[Sandsynlighed]]</f>
        <v>100000</v>
      </c>
      <c r="J455" s="10" t="s">
        <v>584</v>
      </c>
      <c r="K455" s="10" t="s">
        <v>1310</v>
      </c>
      <c r="L455" s="17" t="s">
        <v>1555</v>
      </c>
      <c r="M455" s="11">
        <v>0.05</v>
      </c>
      <c r="N455" s="1"/>
      <c r="O455" s="10">
        <v>46279.611111111109</v>
      </c>
      <c r="P455" s="1" t="s">
        <v>72</v>
      </c>
      <c r="Q455" s="1"/>
      <c r="R455" s="8" t="s">
        <v>75</v>
      </c>
      <c r="S45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5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5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5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5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5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5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5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5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5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5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5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5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55" s="12">
        <f ca="1">[1]!Tabel1[[#This Row],[Vægtet Honorar]]*([1]!Tabel1[[#This Row],[Sidst redigeret]]&gt;TODAY()-40)*([1]!Tabel1[[#This Row],[Er i resplan?]]&lt;&gt;"Ja")*([1]!Tabel1[[#This Row],[Status]]="Pågår")</f>
        <v>0</v>
      </c>
      <c r="AG455" s="12">
        <f ca="1">[1]!Tabel1[[#This Row],[Vægtet Honorar]]*([1]!Tabel1[[#This Row],[Sidst redigeret]]&gt;TODAY()-40)*([1]!Tabel1[[#This Row],[Status]]="Pågår")</f>
        <v>0</v>
      </c>
      <c r="AH455" s="13"/>
      <c r="AI455" s="12"/>
      <c r="AJ455" s="12"/>
      <c r="AK455" s="12" t="s">
        <v>767</v>
      </c>
      <c r="AL455" s="12"/>
      <c r="AM455" s="12"/>
      <c r="AN455" s="12" t="s">
        <v>1532</v>
      </c>
      <c r="AO455" s="12">
        <v>45212</v>
      </c>
      <c r="AP455" s="12"/>
    </row>
    <row r="456" spans="1:42">
      <c r="A456" t="s">
        <v>1637</v>
      </c>
      <c r="B456" s="8"/>
      <c r="C456" s="8" t="s">
        <v>1638</v>
      </c>
      <c r="D456" s="8" t="s">
        <v>1468</v>
      </c>
      <c r="E456" s="8" t="s">
        <v>167</v>
      </c>
      <c r="F456" s="8" t="s">
        <v>1639</v>
      </c>
      <c r="G456" s="8" t="s">
        <v>1639</v>
      </c>
      <c r="H456" s="9">
        <v>80000</v>
      </c>
      <c r="I456" s="9">
        <f>[1]!Tabel1[[#This Row],[Honorar]]*[1]!Tabel1[[#This Row],[Sandsynlighed]]</f>
        <v>75000</v>
      </c>
      <c r="J456" s="10" t="s">
        <v>622</v>
      </c>
      <c r="K456" s="10" t="s">
        <v>328</v>
      </c>
      <c r="L456" s="17"/>
      <c r="M456" s="11">
        <v>1</v>
      </c>
      <c r="N456" s="1"/>
      <c r="O456" s="10">
        <v>46279.611111111109</v>
      </c>
      <c r="P456" s="10" t="s">
        <v>46</v>
      </c>
      <c r="Q456" s="1" t="s">
        <v>46</v>
      </c>
      <c r="R456" s="8" t="s">
        <v>47</v>
      </c>
      <c r="S45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5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5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5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5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5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5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5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5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5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5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5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5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56" s="12">
        <f ca="1">[1]!Tabel1[[#This Row],[Vægtet Honorar]]*([1]!Tabel1[[#This Row],[Sidst redigeret]]&gt;TODAY()-40)*([1]!Tabel1[[#This Row],[Er i resplan?]]&lt;&gt;"Ja")*([1]!Tabel1[[#This Row],[Status]]="Pågår")</f>
        <v>0</v>
      </c>
      <c r="AG456" s="12">
        <f ca="1">[1]!Tabel1[[#This Row],[Vægtet Honorar]]*([1]!Tabel1[[#This Row],[Sidst redigeret]]&gt;TODAY()-40)*([1]!Tabel1[[#This Row],[Status]]="Pågår")</f>
        <v>0</v>
      </c>
      <c r="AH456" s="13"/>
      <c r="AI456" s="12"/>
      <c r="AJ456" s="12"/>
      <c r="AK456" s="12"/>
      <c r="AL456" s="12"/>
      <c r="AM456" s="12"/>
      <c r="AN456" s="12"/>
      <c r="AO456" s="12"/>
      <c r="AP456" s="12"/>
    </row>
    <row r="457" spans="1:42" ht="105">
      <c r="A457" t="s">
        <v>1640</v>
      </c>
      <c r="B457" s="8"/>
      <c r="C457" s="8" t="s">
        <v>1641</v>
      </c>
      <c r="D457" s="8" t="s">
        <v>119</v>
      </c>
      <c r="E457" s="8" t="s">
        <v>120</v>
      </c>
      <c r="F457" s="8" t="s">
        <v>691</v>
      </c>
      <c r="G457" s="8" t="s">
        <v>1642</v>
      </c>
      <c r="H457" s="9">
        <v>3000000</v>
      </c>
      <c r="I457" s="9">
        <f>[1]!Tabel1[[#This Row],[Honorar]]*[1]!Tabel1[[#This Row],[Sandsynlighed]]</f>
        <v>100000</v>
      </c>
      <c r="J457" s="10" t="s">
        <v>622</v>
      </c>
      <c r="K457" s="10" t="s">
        <v>1061</v>
      </c>
      <c r="L457" s="17" t="s">
        <v>1643</v>
      </c>
      <c r="M457" s="11">
        <v>0</v>
      </c>
      <c r="N457" s="1">
        <v>700</v>
      </c>
      <c r="O457" s="10">
        <v>46279.611111111109</v>
      </c>
      <c r="P457" s="10"/>
      <c r="Q457" s="1" t="s">
        <v>72</v>
      </c>
      <c r="R457" s="8" t="s">
        <v>75</v>
      </c>
      <c r="S45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5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5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5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5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5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5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5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5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5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5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5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5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57" s="12">
        <f ca="1">[1]!Tabel1[[#This Row],[Vægtet Honorar]]*([1]!Tabel1[[#This Row],[Sidst redigeret]]&gt;TODAY()-40)*([1]!Tabel1[[#This Row],[Er i resplan?]]&lt;&gt;"Ja")*([1]!Tabel1[[#This Row],[Status]]="Pågår")</f>
        <v>0</v>
      </c>
      <c r="AG457" s="12">
        <f ca="1">[1]!Tabel1[[#This Row],[Vægtet Honorar]]*([1]!Tabel1[[#This Row],[Sidst redigeret]]&gt;TODAY()-40)*([1]!Tabel1[[#This Row],[Status]]="Pågår")</f>
        <v>0</v>
      </c>
      <c r="AH457" s="13"/>
      <c r="AI457" s="12"/>
      <c r="AJ457" s="12" t="s">
        <v>767</v>
      </c>
      <c r="AK457" s="12"/>
      <c r="AL457" s="12"/>
      <c r="AM457" s="12"/>
      <c r="AN457" s="12"/>
      <c r="AO457" s="12"/>
      <c r="AP457" s="12"/>
    </row>
    <row r="458" spans="1:42">
      <c r="A458" t="s">
        <v>1644</v>
      </c>
      <c r="B458" s="8"/>
      <c r="C458" s="8" t="s">
        <v>1645</v>
      </c>
      <c r="D458" s="8" t="s">
        <v>720</v>
      </c>
      <c r="E458" s="8" t="s">
        <v>71</v>
      </c>
      <c r="F458" s="8" t="s">
        <v>1646</v>
      </c>
      <c r="G458" s="8" t="s">
        <v>1100</v>
      </c>
      <c r="H458" s="9">
        <v>1500000</v>
      </c>
      <c r="I458" s="9">
        <f>[1]!Tabel1[[#This Row],[Honorar]]*[1]!Tabel1[[#This Row],[Sandsynlighed]]</f>
        <v>5000</v>
      </c>
      <c r="J458" s="10" t="s">
        <v>622</v>
      </c>
      <c r="K458" s="10" t="s">
        <v>1061</v>
      </c>
      <c r="L458" s="17" t="s">
        <v>601</v>
      </c>
      <c r="M458" s="11">
        <v>1</v>
      </c>
      <c r="N458" s="15">
        <v>5000</v>
      </c>
      <c r="O458" s="10">
        <v>46279.611111111109</v>
      </c>
      <c r="P458" s="10"/>
      <c r="Q458" s="1" t="s">
        <v>46</v>
      </c>
      <c r="R458" s="8" t="s">
        <v>47</v>
      </c>
      <c r="S45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5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5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5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5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5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5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5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5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5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5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5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5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58" s="12">
        <f ca="1">[1]!Tabel1[[#This Row],[Vægtet Honorar]]*([1]!Tabel1[[#This Row],[Sidst redigeret]]&gt;TODAY()-40)*([1]!Tabel1[[#This Row],[Er i resplan?]]&lt;&gt;"Ja")*([1]!Tabel1[[#This Row],[Status]]="Pågår")</f>
        <v>0</v>
      </c>
      <c r="AG458" s="12">
        <f ca="1">[1]!Tabel1[[#This Row],[Vægtet Honorar]]*([1]!Tabel1[[#This Row],[Sidst redigeret]]&gt;TODAY()-40)*([1]!Tabel1[[#This Row],[Status]]="Pågår")</f>
        <v>0</v>
      </c>
      <c r="AH458" s="13"/>
      <c r="AI458" s="12"/>
      <c r="AJ458" s="12"/>
      <c r="AK458" s="12"/>
      <c r="AL458" s="12"/>
      <c r="AM458" s="12"/>
      <c r="AN458" s="12"/>
      <c r="AO458" s="12"/>
      <c r="AP458" s="12"/>
    </row>
    <row r="459" spans="1:42" ht="30">
      <c r="A459" t="s">
        <v>1647</v>
      </c>
      <c r="B459" s="8"/>
      <c r="C459" s="8" t="s">
        <v>1648</v>
      </c>
      <c r="D459" s="8" t="s">
        <v>720</v>
      </c>
      <c r="E459" s="8" t="s">
        <v>71</v>
      </c>
      <c r="F459" s="8" t="s">
        <v>516</v>
      </c>
      <c r="G459" s="8" t="s">
        <v>1589</v>
      </c>
      <c r="H459" s="9">
        <v>1150000</v>
      </c>
      <c r="I459" s="9">
        <f>[1]!Tabel1[[#This Row],[Honorar]]*[1]!Tabel1[[#This Row],[Sandsynlighed]]</f>
        <v>3000</v>
      </c>
      <c r="J459" s="10" t="s">
        <v>622</v>
      </c>
      <c r="K459" s="10" t="s">
        <v>1061</v>
      </c>
      <c r="L459" s="17" t="s">
        <v>1649</v>
      </c>
      <c r="M459" s="11">
        <v>0</v>
      </c>
      <c r="N459" s="15">
        <v>2000</v>
      </c>
      <c r="O459" s="10">
        <v>46279.611111111109</v>
      </c>
      <c r="P459" s="10"/>
      <c r="Q459" s="1" t="s">
        <v>46</v>
      </c>
      <c r="R459" s="8" t="s">
        <v>75</v>
      </c>
      <c r="S45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1002.7472527472527</v>
      </c>
      <c r="T45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5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5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5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5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5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5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5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5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5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5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5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59" s="12">
        <f ca="1">[1]!Tabel1[[#This Row],[Vægtet Honorar]]*([1]!Tabel1[[#This Row],[Sidst redigeret]]&gt;TODAY()-40)*([1]!Tabel1[[#This Row],[Er i resplan?]]&lt;&gt;"Ja")*([1]!Tabel1[[#This Row],[Status]]="Pågår")</f>
        <v>3000</v>
      </c>
      <c r="AG459" s="12">
        <f ca="1">[1]!Tabel1[[#This Row],[Vægtet Honorar]]*([1]!Tabel1[[#This Row],[Sidst redigeret]]&gt;TODAY()-40)*([1]!Tabel1[[#This Row],[Status]]="Pågår")</f>
        <v>3000</v>
      </c>
      <c r="AH459" s="13"/>
      <c r="AI459" s="12"/>
      <c r="AJ459" s="12"/>
      <c r="AK459" s="12"/>
      <c r="AL459" s="12"/>
      <c r="AM459" s="12"/>
      <c r="AN459" s="12"/>
      <c r="AO459" s="12"/>
      <c r="AP459" s="12"/>
    </row>
    <row r="460" spans="1:42" ht="30">
      <c r="A460" t="s">
        <v>1650</v>
      </c>
      <c r="B460" s="8"/>
      <c r="C460" s="8" t="s">
        <v>1651</v>
      </c>
      <c r="D460" s="8" t="s">
        <v>203</v>
      </c>
      <c r="E460" s="8" t="s">
        <v>167</v>
      </c>
      <c r="F460" s="8" t="s">
        <v>1652</v>
      </c>
      <c r="G460" s="8" t="s">
        <v>1653</v>
      </c>
      <c r="H460" s="9">
        <v>2000000</v>
      </c>
      <c r="I460" s="9">
        <f>[1]!Tabel1[[#This Row],[Honorar]]*[1]!Tabel1[[#This Row],[Sandsynlighed]]</f>
        <v>25000</v>
      </c>
      <c r="J460" s="10" t="s">
        <v>612</v>
      </c>
      <c r="K460" s="10" t="s">
        <v>898</v>
      </c>
      <c r="L460" s="17" t="s">
        <v>1654</v>
      </c>
      <c r="M460" s="11">
        <v>0.1</v>
      </c>
      <c r="N460" s="1">
        <v>2000</v>
      </c>
      <c r="O460" s="10">
        <v>46279.611111111109</v>
      </c>
      <c r="P460" s="10"/>
      <c r="Q460" s="1"/>
      <c r="R460" s="8" t="s">
        <v>343</v>
      </c>
      <c r="S46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6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6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6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6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6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6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6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6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6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6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6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6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60" s="12">
        <f ca="1">[1]!Tabel1[[#This Row],[Vægtet Honorar]]*([1]!Tabel1[[#This Row],[Sidst redigeret]]&gt;TODAY()-40)*([1]!Tabel1[[#This Row],[Er i resplan?]]&lt;&gt;"Ja")*([1]!Tabel1[[#This Row],[Status]]="Pågår")</f>
        <v>0</v>
      </c>
      <c r="AG460" s="12">
        <f ca="1">[1]!Tabel1[[#This Row],[Vægtet Honorar]]*([1]!Tabel1[[#This Row],[Sidst redigeret]]&gt;TODAY()-40)*([1]!Tabel1[[#This Row],[Status]]="Pågår")</f>
        <v>0</v>
      </c>
      <c r="AH460" s="13"/>
      <c r="AI460" s="12"/>
      <c r="AJ460" s="12"/>
      <c r="AK460" s="12"/>
      <c r="AL460" s="12"/>
      <c r="AM460" s="12"/>
      <c r="AN460" s="12"/>
      <c r="AO460" s="12"/>
      <c r="AP460" s="12"/>
    </row>
    <row r="461" spans="1:42">
      <c r="A461" t="s">
        <v>1655</v>
      </c>
      <c r="B461" s="8"/>
      <c r="C461" s="8" t="s">
        <v>1656</v>
      </c>
      <c r="D461" s="8" t="s">
        <v>1623</v>
      </c>
      <c r="E461" s="8" t="s">
        <v>102</v>
      </c>
      <c r="F461" s="8" t="s">
        <v>1656</v>
      </c>
      <c r="G461" s="8" t="s">
        <v>1657</v>
      </c>
      <c r="H461" s="9">
        <v>150000</v>
      </c>
      <c r="I461" s="9">
        <f>[1]!Tabel1[[#This Row],[Honorar]]*[1]!Tabel1[[#This Row],[Sandsynlighed]]</f>
        <v>80000</v>
      </c>
      <c r="J461" s="10" t="s">
        <v>622</v>
      </c>
      <c r="K461" s="10" t="s">
        <v>612</v>
      </c>
      <c r="L461" s="17"/>
      <c r="M461" s="11">
        <v>1</v>
      </c>
      <c r="N461" s="1"/>
      <c r="O461" s="10">
        <v>46279.611111111109</v>
      </c>
      <c r="P461" s="10"/>
      <c r="Q461" s="1"/>
      <c r="R461" s="8" t="s">
        <v>47</v>
      </c>
      <c r="S46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6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6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6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6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6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6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6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6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6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6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6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6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61" s="12">
        <f ca="1">[1]!Tabel1[[#This Row],[Vægtet Honorar]]*([1]!Tabel1[[#This Row],[Sidst redigeret]]&gt;TODAY()-40)*([1]!Tabel1[[#This Row],[Er i resplan?]]&lt;&gt;"Ja")*([1]!Tabel1[[#This Row],[Status]]="Pågår")</f>
        <v>0</v>
      </c>
      <c r="AG461" s="12">
        <f ca="1">[1]!Tabel1[[#This Row],[Vægtet Honorar]]*([1]!Tabel1[[#This Row],[Sidst redigeret]]&gt;TODAY()-40)*([1]!Tabel1[[#This Row],[Status]]="Pågår")</f>
        <v>0</v>
      </c>
      <c r="AH461" s="13"/>
      <c r="AI461" s="12"/>
      <c r="AJ461" s="12"/>
      <c r="AK461" s="12"/>
      <c r="AL461" s="12"/>
      <c r="AM461" s="12"/>
      <c r="AN461" s="12"/>
      <c r="AO461" s="12"/>
      <c r="AP461" s="12"/>
    </row>
    <row r="462" spans="1:42">
      <c r="A462" t="s">
        <v>1658</v>
      </c>
      <c r="B462" s="8"/>
      <c r="C462" s="8" t="s">
        <v>1659</v>
      </c>
      <c r="D462" s="8" t="s">
        <v>200</v>
      </c>
      <c r="E462" s="8" t="s">
        <v>120</v>
      </c>
      <c r="F462" s="8" t="s">
        <v>1660</v>
      </c>
      <c r="G462" s="8" t="s">
        <v>1661</v>
      </c>
      <c r="H462" s="9">
        <v>1250000</v>
      </c>
      <c r="I462" s="9">
        <f>[1]!Tabel1[[#This Row],[Honorar]]*[1]!Tabel1[[#This Row],[Sandsynlighed]]</f>
        <v>0</v>
      </c>
      <c r="J462" s="10" t="s">
        <v>622</v>
      </c>
      <c r="K462" s="10" t="s">
        <v>612</v>
      </c>
      <c r="L462" s="17"/>
      <c r="M462" s="11">
        <v>0.3</v>
      </c>
      <c r="N462" s="1">
        <v>1500</v>
      </c>
      <c r="O462" s="10">
        <v>46279.611111111109</v>
      </c>
      <c r="P462" s="10"/>
      <c r="Q462" s="1" t="s">
        <v>46</v>
      </c>
      <c r="R462" s="8" t="s">
        <v>47</v>
      </c>
      <c r="S46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6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6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6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6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6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6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6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6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6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6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6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6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62" s="12">
        <f ca="1">[1]!Tabel1[[#This Row],[Vægtet Honorar]]*([1]!Tabel1[[#This Row],[Sidst redigeret]]&gt;TODAY()-40)*([1]!Tabel1[[#This Row],[Er i resplan?]]&lt;&gt;"Ja")*([1]!Tabel1[[#This Row],[Status]]="Pågår")</f>
        <v>0</v>
      </c>
      <c r="AG462" s="12">
        <f ca="1">[1]!Tabel1[[#This Row],[Vægtet Honorar]]*([1]!Tabel1[[#This Row],[Sidst redigeret]]&gt;TODAY()-40)*([1]!Tabel1[[#This Row],[Status]]="Pågår")</f>
        <v>0</v>
      </c>
      <c r="AH462" s="13"/>
      <c r="AI462" s="12"/>
      <c r="AJ462" s="12"/>
      <c r="AK462" s="12"/>
      <c r="AL462" s="12"/>
      <c r="AM462" s="12"/>
      <c r="AN462" s="12" t="s">
        <v>47</v>
      </c>
      <c r="AO462" s="12"/>
      <c r="AP462" s="12"/>
    </row>
    <row r="463" spans="1:42">
      <c r="A463" t="s">
        <v>1662</v>
      </c>
      <c r="B463" s="8"/>
      <c r="C463" s="8" t="s">
        <v>1663</v>
      </c>
      <c r="D463" s="8" t="s">
        <v>93</v>
      </c>
      <c r="E463" s="8" t="s">
        <v>94</v>
      </c>
      <c r="F463" s="8" t="s">
        <v>1664</v>
      </c>
      <c r="G463" s="8" t="s">
        <v>1665</v>
      </c>
      <c r="H463" s="9">
        <v>1000000</v>
      </c>
      <c r="I463" s="9">
        <f>[1]!Tabel1[[#This Row],[Honorar]]*[1]!Tabel1[[#This Row],[Sandsynlighed]]</f>
        <v>1500000</v>
      </c>
      <c r="J463" s="10" t="s">
        <v>622</v>
      </c>
      <c r="K463" s="10" t="s">
        <v>584</v>
      </c>
      <c r="L463" s="17"/>
      <c r="M463" s="11">
        <v>0.2</v>
      </c>
      <c r="N463" s="1">
        <v>30000</v>
      </c>
      <c r="O463" s="10">
        <v>46279.611111111109</v>
      </c>
      <c r="P463" s="1" t="s">
        <v>72</v>
      </c>
      <c r="Q463" s="1"/>
      <c r="R463" s="8" t="s">
        <v>75</v>
      </c>
      <c r="S46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6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6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6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6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6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6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6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6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6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6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6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6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63" s="12">
        <f ca="1">[1]!Tabel1[[#This Row],[Vægtet Honorar]]*([1]!Tabel1[[#This Row],[Sidst redigeret]]&gt;TODAY()-40)*([1]!Tabel1[[#This Row],[Er i resplan?]]&lt;&gt;"Ja")*([1]!Tabel1[[#This Row],[Status]]="Pågår")</f>
        <v>0</v>
      </c>
      <c r="AG463" s="12">
        <f ca="1">[1]!Tabel1[[#This Row],[Vægtet Honorar]]*([1]!Tabel1[[#This Row],[Sidst redigeret]]&gt;TODAY()-40)*([1]!Tabel1[[#This Row],[Status]]="Pågår")</f>
        <v>0</v>
      </c>
      <c r="AH463" s="13"/>
      <c r="AI463" s="12"/>
      <c r="AJ463" s="12"/>
      <c r="AK463" s="12"/>
      <c r="AL463" s="12"/>
      <c r="AM463" s="12"/>
      <c r="AN463" s="12"/>
      <c r="AO463" s="12"/>
      <c r="AP463" s="12"/>
    </row>
    <row r="464" spans="1:42">
      <c r="A464" t="s">
        <v>1666</v>
      </c>
      <c r="B464" s="8"/>
      <c r="C464" s="8" t="s">
        <v>1667</v>
      </c>
      <c r="D464" s="8" t="s">
        <v>859</v>
      </c>
      <c r="E464" s="8" t="s">
        <v>71</v>
      </c>
      <c r="F464" s="8" t="s">
        <v>1668</v>
      </c>
      <c r="G464" s="8" t="s">
        <v>1668</v>
      </c>
      <c r="H464" s="9">
        <v>150000</v>
      </c>
      <c r="I464" s="9">
        <f>[1]!Tabel1[[#This Row],[Honorar]]*[1]!Tabel1[[#This Row],[Sandsynlighed]]</f>
        <v>0</v>
      </c>
      <c r="J464" s="10" t="s">
        <v>622</v>
      </c>
      <c r="K464" s="10" t="s">
        <v>584</v>
      </c>
      <c r="L464" s="17"/>
      <c r="M464" s="11">
        <v>0.25</v>
      </c>
      <c r="N464" s="1"/>
      <c r="O464" s="10">
        <v>46279.611111111109</v>
      </c>
      <c r="P464" s="10"/>
      <c r="Q464" s="1" t="s">
        <v>46</v>
      </c>
      <c r="R464" s="8" t="s">
        <v>49</v>
      </c>
      <c r="S46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6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6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6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6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6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6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6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6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6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6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6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6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64" s="12">
        <f ca="1">[1]!Tabel1[[#This Row],[Vægtet Honorar]]*([1]!Tabel1[[#This Row],[Sidst redigeret]]&gt;TODAY()-40)*([1]!Tabel1[[#This Row],[Er i resplan?]]&lt;&gt;"Ja")*([1]!Tabel1[[#This Row],[Status]]="Pågår")</f>
        <v>0</v>
      </c>
      <c r="AG464" s="12">
        <f ca="1">[1]!Tabel1[[#This Row],[Vægtet Honorar]]*([1]!Tabel1[[#This Row],[Sidst redigeret]]&gt;TODAY()-40)*([1]!Tabel1[[#This Row],[Status]]="Pågår")</f>
        <v>0</v>
      </c>
      <c r="AH464" s="13"/>
      <c r="AI464" s="12"/>
      <c r="AJ464" s="12"/>
      <c r="AK464" s="12"/>
      <c r="AL464" s="12"/>
      <c r="AM464" s="12"/>
      <c r="AN464" s="12"/>
      <c r="AO464" s="12"/>
      <c r="AP464" s="12"/>
    </row>
    <row r="465" spans="1:42">
      <c r="A465" t="s">
        <v>1669</v>
      </c>
      <c r="B465" s="8"/>
      <c r="C465" s="8" t="s">
        <v>1670</v>
      </c>
      <c r="D465" s="8" t="s">
        <v>358</v>
      </c>
      <c r="E465" s="8" t="s">
        <v>102</v>
      </c>
      <c r="F465" s="8" t="s">
        <v>1671</v>
      </c>
      <c r="G465" s="8" t="s">
        <v>1672</v>
      </c>
      <c r="H465" s="9">
        <v>400000</v>
      </c>
      <c r="I465" s="9">
        <f>[1]!Tabel1[[#This Row],[Honorar]]*[1]!Tabel1[[#This Row],[Sandsynlighed]]</f>
        <v>200000</v>
      </c>
      <c r="J465" s="10" t="s">
        <v>622</v>
      </c>
      <c r="K465" s="10" t="s">
        <v>584</v>
      </c>
      <c r="L465" s="17"/>
      <c r="M465" s="11">
        <v>1</v>
      </c>
      <c r="N465" s="1">
        <v>380</v>
      </c>
      <c r="O465" s="10">
        <v>46279.611111111109</v>
      </c>
      <c r="P465" s="10"/>
      <c r="Q465" s="1" t="s">
        <v>46</v>
      </c>
      <c r="R465" s="8" t="s">
        <v>47</v>
      </c>
      <c r="S46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3919.6735395189007</v>
      </c>
      <c r="T46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3919.6735395189007</v>
      </c>
      <c r="U46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3919.6735395189007</v>
      </c>
      <c r="V46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3919.6735395189007</v>
      </c>
      <c r="W46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3919.6735395189007</v>
      </c>
      <c r="X46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3919.6735395189007</v>
      </c>
      <c r="Y46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3919.6735395189007</v>
      </c>
      <c r="Z46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3919.6735395189007</v>
      </c>
      <c r="AA46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3919.6735395189007</v>
      </c>
      <c r="AB46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3919.6735395189007</v>
      </c>
      <c r="AC46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3919.6735395189007</v>
      </c>
      <c r="AD46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3919.6735395189007</v>
      </c>
      <c r="AE46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3919.6735395189007</v>
      </c>
      <c r="AF465" s="12">
        <f ca="1">[1]!Tabel1[[#This Row],[Vægtet Honorar]]*([1]!Tabel1[[#This Row],[Sidst redigeret]]&gt;TODAY()-40)*([1]!Tabel1[[#This Row],[Er i resplan?]]&lt;&gt;"Ja")*([1]!Tabel1[[#This Row],[Status]]="Pågår")</f>
        <v>200000</v>
      </c>
      <c r="AG465" s="12">
        <f ca="1">[1]!Tabel1[[#This Row],[Vægtet Honorar]]*([1]!Tabel1[[#This Row],[Sidst redigeret]]&gt;TODAY()-40)*([1]!Tabel1[[#This Row],[Status]]="Pågår")</f>
        <v>200000</v>
      </c>
      <c r="AH465" s="13"/>
      <c r="AI465" s="12"/>
      <c r="AJ465" s="12"/>
      <c r="AK465" s="12"/>
      <c r="AL465" s="12"/>
      <c r="AM465" s="12"/>
      <c r="AN465" s="12"/>
      <c r="AO465" s="12"/>
      <c r="AP465" s="12"/>
    </row>
    <row r="466" spans="1:42">
      <c r="A466" t="s">
        <v>1673</v>
      </c>
      <c r="B466" s="8"/>
      <c r="C466" s="8" t="s">
        <v>1674</v>
      </c>
      <c r="D466" s="8" t="s">
        <v>720</v>
      </c>
      <c r="E466" s="8" t="s">
        <v>71</v>
      </c>
      <c r="F466" s="8" t="s">
        <v>1675</v>
      </c>
      <c r="G466" s="8" t="s">
        <v>1675</v>
      </c>
      <c r="H466" s="9">
        <v>200000</v>
      </c>
      <c r="I466" s="9">
        <f>[1]!Tabel1[[#This Row],[Honorar]]*[1]!Tabel1[[#This Row],[Sandsynlighed]]</f>
        <v>150000</v>
      </c>
      <c r="J466" s="10" t="s">
        <v>328</v>
      </c>
      <c r="K466" s="10" t="s">
        <v>612</v>
      </c>
      <c r="L466" s="17"/>
      <c r="M466" s="11">
        <v>0.1</v>
      </c>
      <c r="N466" s="1"/>
      <c r="O466" s="10">
        <v>46279.611111111109</v>
      </c>
      <c r="P466" s="10"/>
      <c r="Q466" s="1" t="s">
        <v>46</v>
      </c>
      <c r="R466" s="8" t="s">
        <v>49</v>
      </c>
      <c r="S46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9983.5886214442016</v>
      </c>
      <c r="T46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6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6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6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6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6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6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6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6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6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6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6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66" s="12">
        <f ca="1">[1]!Tabel1[[#This Row],[Vægtet Honorar]]*([1]!Tabel1[[#This Row],[Sidst redigeret]]&gt;TODAY()-40)*([1]!Tabel1[[#This Row],[Er i resplan?]]&lt;&gt;"Ja")*([1]!Tabel1[[#This Row],[Status]]="Pågår")</f>
        <v>0</v>
      </c>
      <c r="AG466" s="12">
        <f ca="1">[1]!Tabel1[[#This Row],[Vægtet Honorar]]*([1]!Tabel1[[#This Row],[Sidst redigeret]]&gt;TODAY()-40)*([1]!Tabel1[[#This Row],[Status]]="Pågår")</f>
        <v>0</v>
      </c>
      <c r="AH466" s="13"/>
      <c r="AI466" s="12"/>
      <c r="AJ466" s="12"/>
      <c r="AK466" s="12"/>
      <c r="AL466" s="12"/>
      <c r="AM466" s="12"/>
      <c r="AN466" s="12"/>
      <c r="AO466" s="12"/>
      <c r="AP466" s="12"/>
    </row>
    <row r="467" spans="1:42" ht="60">
      <c r="A467" t="s">
        <v>1676</v>
      </c>
      <c r="B467" s="8"/>
      <c r="C467" s="8" t="s">
        <v>1677</v>
      </c>
      <c r="D467" s="8" t="s">
        <v>206</v>
      </c>
      <c r="E467" s="8" t="s">
        <v>94</v>
      </c>
      <c r="F467" s="8" t="s">
        <v>1678</v>
      </c>
      <c r="G467" s="8" t="s">
        <v>1679</v>
      </c>
      <c r="H467" s="9">
        <v>100000</v>
      </c>
      <c r="I467" s="9">
        <f>[1]!Tabel1[[#This Row],[Honorar]]*[1]!Tabel1[[#This Row],[Sandsynlighed]]</f>
        <v>375000</v>
      </c>
      <c r="J467" s="10" t="s">
        <v>622</v>
      </c>
      <c r="K467" s="10" t="s">
        <v>622</v>
      </c>
      <c r="L467" s="17" t="s">
        <v>1680</v>
      </c>
      <c r="M467" s="11">
        <v>1</v>
      </c>
      <c r="N467" s="1"/>
      <c r="O467" s="10">
        <v>46279.611111111109</v>
      </c>
      <c r="P467" s="1" t="s">
        <v>72</v>
      </c>
      <c r="Q467" s="1" t="s">
        <v>46</v>
      </c>
      <c r="R467" s="8" t="s">
        <v>47</v>
      </c>
      <c r="S46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6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6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6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6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6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6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6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6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6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6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6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6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67" s="12">
        <f ca="1">[1]!Tabel1[[#This Row],[Vægtet Honorar]]*([1]!Tabel1[[#This Row],[Sidst redigeret]]&gt;TODAY()-40)*([1]!Tabel1[[#This Row],[Er i resplan?]]&lt;&gt;"Ja")*([1]!Tabel1[[#This Row],[Status]]="Pågår")</f>
        <v>0</v>
      </c>
      <c r="AG467" s="12">
        <f ca="1">[1]!Tabel1[[#This Row],[Vægtet Honorar]]*([1]!Tabel1[[#This Row],[Sidst redigeret]]&gt;TODAY()-40)*([1]!Tabel1[[#This Row],[Status]]="Pågår")</f>
        <v>0</v>
      </c>
      <c r="AH467" s="13"/>
      <c r="AI467" s="12"/>
      <c r="AJ467" s="12"/>
      <c r="AK467" s="12"/>
      <c r="AL467" s="12"/>
      <c r="AM467" s="12"/>
      <c r="AN467" s="12"/>
      <c r="AO467" s="12"/>
      <c r="AP467" s="12"/>
    </row>
    <row r="468" spans="1:42">
      <c r="A468" t="s">
        <v>1681</v>
      </c>
      <c r="B468" s="8"/>
      <c r="C468" s="8" t="s">
        <v>1682</v>
      </c>
      <c r="D468" s="8" t="s">
        <v>93</v>
      </c>
      <c r="E468" s="8" t="s">
        <v>94</v>
      </c>
      <c r="F468" s="8" t="s">
        <v>1683</v>
      </c>
      <c r="G468" s="8" t="s">
        <v>1684</v>
      </c>
      <c r="H468" s="9">
        <v>75000</v>
      </c>
      <c r="I468" s="9">
        <f>[1]!Tabel1[[#This Row],[Honorar]]*[1]!Tabel1[[#This Row],[Sandsynlighed]]</f>
        <v>200000</v>
      </c>
      <c r="J468" s="10" t="s">
        <v>622</v>
      </c>
      <c r="K468" s="10" t="s">
        <v>622</v>
      </c>
      <c r="L468" s="17"/>
      <c r="M468" s="11">
        <v>1</v>
      </c>
      <c r="N468" s="1">
        <v>5000</v>
      </c>
      <c r="O468" s="10">
        <v>46279.611111111109</v>
      </c>
      <c r="P468" s="1" t="s">
        <v>72</v>
      </c>
      <c r="Q468" s="1" t="s">
        <v>46</v>
      </c>
      <c r="R468" s="8" t="s">
        <v>47</v>
      </c>
      <c r="S46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6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6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6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6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6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6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6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6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6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6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6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6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68" s="12">
        <f ca="1">[1]!Tabel1[[#This Row],[Vægtet Honorar]]*([1]!Tabel1[[#This Row],[Sidst redigeret]]&gt;TODAY()-40)*([1]!Tabel1[[#This Row],[Er i resplan?]]&lt;&gt;"Ja")*([1]!Tabel1[[#This Row],[Status]]="Pågår")</f>
        <v>0</v>
      </c>
      <c r="AG468" s="12">
        <f ca="1">[1]!Tabel1[[#This Row],[Vægtet Honorar]]*([1]!Tabel1[[#This Row],[Sidst redigeret]]&gt;TODAY()-40)*([1]!Tabel1[[#This Row],[Status]]="Pågår")</f>
        <v>0</v>
      </c>
      <c r="AH468" s="13"/>
      <c r="AI468" s="12"/>
      <c r="AJ468" s="12"/>
      <c r="AK468" s="12"/>
      <c r="AL468" s="12"/>
      <c r="AM468" s="12"/>
      <c r="AN468" s="12"/>
      <c r="AO468" s="12"/>
      <c r="AP468" s="12"/>
    </row>
    <row r="469" spans="1:42" ht="75">
      <c r="A469" t="s">
        <v>1685</v>
      </c>
      <c r="B469" s="8"/>
      <c r="C469" s="8" t="s">
        <v>1686</v>
      </c>
      <c r="D469" s="8" t="s">
        <v>569</v>
      </c>
      <c r="E469" s="8" t="s">
        <v>167</v>
      </c>
      <c r="F469" s="8" t="s">
        <v>1687</v>
      </c>
      <c r="G469" s="8" t="s">
        <v>1152</v>
      </c>
      <c r="H469" s="9">
        <v>2000000</v>
      </c>
      <c r="I469" s="9">
        <f>[1]!Tabel1[[#This Row],[Honorar]]*[1]!Tabel1[[#This Row],[Sandsynlighed]]</f>
        <v>37500</v>
      </c>
      <c r="J469" s="10" t="s">
        <v>452</v>
      </c>
      <c r="K469" s="10" t="s">
        <v>1191</v>
      </c>
      <c r="L469" s="17" t="s">
        <v>1688</v>
      </c>
      <c r="M469" s="11">
        <v>0</v>
      </c>
      <c r="N469" s="1">
        <v>5000</v>
      </c>
      <c r="O469" s="10">
        <v>46279.611111111109</v>
      </c>
      <c r="P469" s="10"/>
      <c r="Q469" s="1" t="s">
        <v>72</v>
      </c>
      <c r="R469" s="8" t="s">
        <v>49</v>
      </c>
      <c r="S46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6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6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6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6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6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6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6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6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6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6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6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6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69" s="12">
        <f ca="1">[1]!Tabel1[[#This Row],[Vægtet Honorar]]*([1]!Tabel1[[#This Row],[Sidst redigeret]]&gt;TODAY()-40)*([1]!Tabel1[[#This Row],[Er i resplan?]]&lt;&gt;"Ja")*([1]!Tabel1[[#This Row],[Status]]="Pågår")</f>
        <v>0</v>
      </c>
      <c r="AG469" s="12">
        <f ca="1">[1]!Tabel1[[#This Row],[Vægtet Honorar]]*([1]!Tabel1[[#This Row],[Sidst redigeret]]&gt;TODAY()-40)*([1]!Tabel1[[#This Row],[Status]]="Pågår")</f>
        <v>0</v>
      </c>
      <c r="AH469" s="13"/>
      <c r="AI469" s="12"/>
      <c r="AJ469" s="12"/>
      <c r="AK469" s="12"/>
      <c r="AL469" s="12"/>
      <c r="AM469" s="12"/>
      <c r="AN469" s="12"/>
      <c r="AO469" s="12"/>
      <c r="AP469" s="12"/>
    </row>
    <row r="470" spans="1:42" ht="30">
      <c r="A470" t="s">
        <v>1689</v>
      </c>
      <c r="B470" s="8"/>
      <c r="C470" s="8" t="s">
        <v>1690</v>
      </c>
      <c r="D470" s="8" t="s">
        <v>720</v>
      </c>
      <c r="E470" s="8" t="s">
        <v>71</v>
      </c>
      <c r="F470" s="8" t="s">
        <v>749</v>
      </c>
      <c r="G470" s="8" t="s">
        <v>1691</v>
      </c>
      <c r="H470" s="9">
        <v>1000000</v>
      </c>
      <c r="I470" s="9">
        <f>[1]!Tabel1[[#This Row],[Honorar]]*[1]!Tabel1[[#This Row],[Sandsynlighed]]</f>
        <v>400000</v>
      </c>
      <c r="J470" s="10" t="s">
        <v>328</v>
      </c>
      <c r="K470" s="10" t="s">
        <v>1310</v>
      </c>
      <c r="L470" s="17" t="s">
        <v>1692</v>
      </c>
      <c r="M470" s="11">
        <v>0</v>
      </c>
      <c r="N470" s="1">
        <v>5000</v>
      </c>
      <c r="O470" s="10">
        <v>46279.611111111109</v>
      </c>
      <c r="P470" s="10"/>
      <c r="Q470" s="1" t="s">
        <v>72</v>
      </c>
      <c r="R470" s="8" t="s">
        <v>75</v>
      </c>
      <c r="S47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7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7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7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7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7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7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7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7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7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7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7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7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70" s="12">
        <f ca="1">[1]!Tabel1[[#This Row],[Vægtet Honorar]]*([1]!Tabel1[[#This Row],[Sidst redigeret]]&gt;TODAY()-40)*([1]!Tabel1[[#This Row],[Er i resplan?]]&lt;&gt;"Ja")*([1]!Tabel1[[#This Row],[Status]]="Pågår")</f>
        <v>0</v>
      </c>
      <c r="AG470" s="12">
        <f ca="1">[1]!Tabel1[[#This Row],[Vægtet Honorar]]*([1]!Tabel1[[#This Row],[Sidst redigeret]]&gt;TODAY()-40)*([1]!Tabel1[[#This Row],[Status]]="Pågår")</f>
        <v>0</v>
      </c>
      <c r="AH470" s="13"/>
      <c r="AI470" s="12"/>
      <c r="AJ470" s="12" t="s">
        <v>1693</v>
      </c>
      <c r="AK470" s="12"/>
      <c r="AL470" s="12"/>
      <c r="AM470" s="12"/>
      <c r="AN470" s="12"/>
      <c r="AO470" s="12"/>
      <c r="AP470" s="12"/>
    </row>
    <row r="471" spans="1:42">
      <c r="A471" t="s">
        <v>1694</v>
      </c>
      <c r="B471" s="8"/>
      <c r="C471" s="8" t="s">
        <v>1695</v>
      </c>
      <c r="D471" s="8" t="s">
        <v>158</v>
      </c>
      <c r="E471" s="8" t="s">
        <v>167</v>
      </c>
      <c r="F471" s="8" t="s">
        <v>1696</v>
      </c>
      <c r="G471" s="8" t="s">
        <v>1696</v>
      </c>
      <c r="H471" s="9">
        <v>200000</v>
      </c>
      <c r="I471" s="9">
        <f>[1]!Tabel1[[#This Row],[Honorar]]*[1]!Tabel1[[#This Row],[Sandsynlighed]]</f>
        <v>20000</v>
      </c>
      <c r="J471" s="10" t="s">
        <v>328</v>
      </c>
      <c r="K471" s="10" t="s">
        <v>329</v>
      </c>
      <c r="L471" s="17"/>
      <c r="M471" s="11">
        <v>0.5</v>
      </c>
      <c r="N471" s="1">
        <v>0</v>
      </c>
      <c r="O471" s="10">
        <v>46279.611111111109</v>
      </c>
      <c r="P471" s="10"/>
      <c r="Q471" s="1"/>
      <c r="R471" s="8" t="s">
        <v>49</v>
      </c>
      <c r="S47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7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7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7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7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7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7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7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7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7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7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7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7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71" s="12">
        <f ca="1">[1]!Tabel1[[#This Row],[Vægtet Honorar]]*([1]!Tabel1[[#This Row],[Sidst redigeret]]&gt;TODAY()-40)*([1]!Tabel1[[#This Row],[Er i resplan?]]&lt;&gt;"Ja")*([1]!Tabel1[[#This Row],[Status]]="Pågår")</f>
        <v>0</v>
      </c>
      <c r="AG471" s="12">
        <f ca="1">[1]!Tabel1[[#This Row],[Vægtet Honorar]]*([1]!Tabel1[[#This Row],[Sidst redigeret]]&gt;TODAY()-40)*([1]!Tabel1[[#This Row],[Status]]="Pågår")</f>
        <v>0</v>
      </c>
      <c r="AH471" s="13"/>
      <c r="AI471" s="12"/>
      <c r="AJ471" s="12"/>
      <c r="AK471" s="12"/>
      <c r="AL471" s="12"/>
      <c r="AM471" s="12"/>
      <c r="AN471" s="12"/>
      <c r="AO471" s="12"/>
      <c r="AP471" s="12"/>
    </row>
    <row r="472" spans="1:42">
      <c r="A472" t="s">
        <v>1697</v>
      </c>
      <c r="B472" s="8"/>
      <c r="C472" s="8" t="s">
        <v>1698</v>
      </c>
      <c r="D472" s="8" t="s">
        <v>1623</v>
      </c>
      <c r="E472" s="8" t="s">
        <v>102</v>
      </c>
      <c r="F472" s="8" t="s">
        <v>1698</v>
      </c>
      <c r="G472" s="8" t="s">
        <v>1698</v>
      </c>
      <c r="H472" s="9">
        <v>50000</v>
      </c>
      <c r="I472" s="9">
        <f>[1]!Tabel1[[#This Row],[Honorar]]*[1]!Tabel1[[#This Row],[Sandsynlighed]]</f>
        <v>100000</v>
      </c>
      <c r="J472" s="10" t="s">
        <v>1068</v>
      </c>
      <c r="K472" s="10" t="s">
        <v>1068</v>
      </c>
      <c r="L472" s="17"/>
      <c r="M472" s="11">
        <v>1</v>
      </c>
      <c r="N472" s="1">
        <v>0</v>
      </c>
      <c r="O472" s="10">
        <v>46279.611111111109</v>
      </c>
      <c r="P472" s="10"/>
      <c r="Q472" s="1"/>
      <c r="R472" s="8" t="s">
        <v>47</v>
      </c>
      <c r="S47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7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7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7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7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7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7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7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7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7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7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7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7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72" s="12">
        <f ca="1">[1]!Tabel1[[#This Row],[Vægtet Honorar]]*([1]!Tabel1[[#This Row],[Sidst redigeret]]&gt;TODAY()-40)*([1]!Tabel1[[#This Row],[Er i resplan?]]&lt;&gt;"Ja")*([1]!Tabel1[[#This Row],[Status]]="Pågår")</f>
        <v>0</v>
      </c>
      <c r="AG472" s="12">
        <f ca="1">[1]!Tabel1[[#This Row],[Vægtet Honorar]]*([1]!Tabel1[[#This Row],[Sidst redigeret]]&gt;TODAY()-40)*([1]!Tabel1[[#This Row],[Status]]="Pågår")</f>
        <v>0</v>
      </c>
      <c r="AH472" s="13"/>
      <c r="AI472" s="12"/>
      <c r="AJ472" s="12"/>
      <c r="AK472" s="12"/>
      <c r="AL472" s="12"/>
      <c r="AM472" s="12"/>
      <c r="AN472" s="12"/>
      <c r="AO472" s="12"/>
      <c r="AP472" s="12"/>
    </row>
    <row r="473" spans="1:42">
      <c r="A473" t="s">
        <v>1699</v>
      </c>
      <c r="B473" s="8"/>
      <c r="C473" s="8" t="s">
        <v>1700</v>
      </c>
      <c r="D473" s="8" t="s">
        <v>1700</v>
      </c>
      <c r="E473" s="8" t="s">
        <v>167</v>
      </c>
      <c r="F473" s="8" t="s">
        <v>1701</v>
      </c>
      <c r="G473" s="8" t="s">
        <v>1701</v>
      </c>
      <c r="H473" s="9">
        <v>0</v>
      </c>
      <c r="I473" s="9">
        <f>[1]!Tabel1[[#This Row],[Honorar]]*[1]!Tabel1[[#This Row],[Sandsynlighed]]</f>
        <v>75000</v>
      </c>
      <c r="J473" s="10" t="s">
        <v>622</v>
      </c>
      <c r="K473" s="10" t="s">
        <v>328</v>
      </c>
      <c r="L473" s="17"/>
      <c r="M473" s="11">
        <v>1</v>
      </c>
      <c r="N473" s="1">
        <v>0</v>
      </c>
      <c r="O473" s="10">
        <v>46279.611111111109</v>
      </c>
      <c r="P473" s="10"/>
      <c r="Q473" s="1"/>
      <c r="R473" s="8" t="s">
        <v>49</v>
      </c>
      <c r="S47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7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7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7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7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7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7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7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7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7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7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7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7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73" s="12">
        <f ca="1">[1]!Tabel1[[#This Row],[Vægtet Honorar]]*([1]!Tabel1[[#This Row],[Sidst redigeret]]&gt;TODAY()-40)*([1]!Tabel1[[#This Row],[Er i resplan?]]&lt;&gt;"Ja")*([1]!Tabel1[[#This Row],[Status]]="Pågår")</f>
        <v>0</v>
      </c>
      <c r="AG473" s="12">
        <f ca="1">[1]!Tabel1[[#This Row],[Vægtet Honorar]]*([1]!Tabel1[[#This Row],[Sidst redigeret]]&gt;TODAY()-40)*([1]!Tabel1[[#This Row],[Status]]="Pågår")</f>
        <v>0</v>
      </c>
      <c r="AH473" s="13"/>
      <c r="AI473" s="12"/>
      <c r="AJ473" s="12"/>
      <c r="AK473" s="12"/>
      <c r="AL473" s="12"/>
      <c r="AM473" s="12"/>
      <c r="AN473" s="12"/>
      <c r="AO473" s="12"/>
      <c r="AP473" s="12"/>
    </row>
    <row r="474" spans="1:42">
      <c r="A474" t="s">
        <v>1702</v>
      </c>
      <c r="B474" s="8"/>
      <c r="C474" s="8" t="s">
        <v>1700</v>
      </c>
      <c r="D474" s="8" t="s">
        <v>1700</v>
      </c>
      <c r="E474" s="8" t="s">
        <v>167</v>
      </c>
      <c r="F474" s="8" t="s">
        <v>1701</v>
      </c>
      <c r="G474" s="8" t="s">
        <v>1701</v>
      </c>
      <c r="H474" s="9">
        <v>0</v>
      </c>
      <c r="I474" s="9">
        <f>[1]!Tabel1[[#This Row],[Honorar]]*[1]!Tabel1[[#This Row],[Sandsynlighed]]</f>
        <v>0</v>
      </c>
      <c r="J474" s="10" t="s">
        <v>622</v>
      </c>
      <c r="K474" s="10" t="s">
        <v>328</v>
      </c>
      <c r="L474" s="17"/>
      <c r="M474" s="11">
        <v>1</v>
      </c>
      <c r="N474" s="1">
        <v>0</v>
      </c>
      <c r="O474" s="10">
        <v>46279.611111111109</v>
      </c>
      <c r="P474" s="10"/>
      <c r="Q474" s="1"/>
      <c r="R474" s="8" t="s">
        <v>49</v>
      </c>
      <c r="S47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7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7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7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7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7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7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7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7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7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7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7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7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74" s="12">
        <f ca="1">[1]!Tabel1[[#This Row],[Vægtet Honorar]]*([1]!Tabel1[[#This Row],[Sidst redigeret]]&gt;TODAY()-40)*([1]!Tabel1[[#This Row],[Er i resplan?]]&lt;&gt;"Ja")*([1]!Tabel1[[#This Row],[Status]]="Pågår")</f>
        <v>0</v>
      </c>
      <c r="AG474" s="12">
        <f ca="1">[1]!Tabel1[[#This Row],[Vægtet Honorar]]*([1]!Tabel1[[#This Row],[Sidst redigeret]]&gt;TODAY()-40)*([1]!Tabel1[[#This Row],[Status]]="Pågår")</f>
        <v>0</v>
      </c>
      <c r="AH474" s="13"/>
      <c r="AI474" s="12"/>
      <c r="AJ474" s="12"/>
      <c r="AK474" s="12"/>
      <c r="AL474" s="12"/>
      <c r="AM474" s="12"/>
      <c r="AN474" s="12"/>
      <c r="AO474" s="12"/>
      <c r="AP474" s="12"/>
    </row>
    <row r="475" spans="1:42" ht="135">
      <c r="A475" t="s">
        <v>1703</v>
      </c>
      <c r="B475" s="8"/>
      <c r="C475" s="8" t="s">
        <v>1704</v>
      </c>
      <c r="D475" s="8" t="s">
        <v>158</v>
      </c>
      <c r="E475" s="8" t="s">
        <v>167</v>
      </c>
      <c r="F475" s="8" t="s">
        <v>1705</v>
      </c>
      <c r="G475" s="8" t="s">
        <v>1705</v>
      </c>
      <c r="H475" s="9">
        <v>600000</v>
      </c>
      <c r="I475" s="9">
        <f>[1]!Tabel1[[#This Row],[Honorar]]*[1]!Tabel1[[#This Row],[Sandsynlighed]]</f>
        <v>0</v>
      </c>
      <c r="J475" s="10" t="s">
        <v>622</v>
      </c>
      <c r="K475" s="10" t="s">
        <v>328</v>
      </c>
      <c r="L475" s="17" t="s">
        <v>1706</v>
      </c>
      <c r="M475" s="11">
        <v>0.7</v>
      </c>
      <c r="N475" s="1">
        <v>0</v>
      </c>
      <c r="O475" s="10">
        <v>46279.611111111109</v>
      </c>
      <c r="P475" s="10"/>
      <c r="Q475" s="1"/>
      <c r="R475" s="8" t="s">
        <v>49</v>
      </c>
      <c r="S47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7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7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7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7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7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7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7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7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7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7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7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7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75" s="12">
        <f ca="1">[1]!Tabel1[[#This Row],[Vægtet Honorar]]*([1]!Tabel1[[#This Row],[Sidst redigeret]]&gt;TODAY()-40)*([1]!Tabel1[[#This Row],[Er i resplan?]]&lt;&gt;"Ja")*([1]!Tabel1[[#This Row],[Status]]="Pågår")</f>
        <v>0</v>
      </c>
      <c r="AG475" s="12">
        <f ca="1">[1]!Tabel1[[#This Row],[Vægtet Honorar]]*([1]!Tabel1[[#This Row],[Sidst redigeret]]&gt;TODAY()-40)*([1]!Tabel1[[#This Row],[Status]]="Pågår")</f>
        <v>0</v>
      </c>
      <c r="AH475" s="13"/>
      <c r="AI475" s="12"/>
      <c r="AJ475" s="12"/>
      <c r="AK475" s="12"/>
      <c r="AL475" s="12"/>
      <c r="AM475" s="12"/>
      <c r="AN475" s="12"/>
      <c r="AO475" s="12"/>
      <c r="AP475" s="12"/>
    </row>
    <row r="476" spans="1:42" ht="60">
      <c r="A476" t="s">
        <v>1707</v>
      </c>
      <c r="B476" s="8"/>
      <c r="C476" s="8" t="s">
        <v>1708</v>
      </c>
      <c r="D476" s="8" t="s">
        <v>57</v>
      </c>
      <c r="E476" s="8" t="s">
        <v>167</v>
      </c>
      <c r="F476" s="8" t="s">
        <v>460</v>
      </c>
      <c r="G476" s="8" t="s">
        <v>460</v>
      </c>
      <c r="H476" s="9">
        <v>500000</v>
      </c>
      <c r="I476" s="9">
        <f>[1]!Tabel1[[#This Row],[Honorar]]*[1]!Tabel1[[#This Row],[Sandsynlighed]]</f>
        <v>100000</v>
      </c>
      <c r="J476" s="10" t="s">
        <v>584</v>
      </c>
      <c r="K476" s="10" t="s">
        <v>1709</v>
      </c>
      <c r="L476" s="17" t="s">
        <v>1710</v>
      </c>
      <c r="M476" s="11">
        <v>0.01</v>
      </c>
      <c r="N476" s="1">
        <v>300000</v>
      </c>
      <c r="O476" s="10">
        <v>46279.611111111109</v>
      </c>
      <c r="P476" s="10"/>
      <c r="Q476" s="1"/>
      <c r="R476" s="8" t="s">
        <v>49</v>
      </c>
      <c r="S47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6684.9816849816843</v>
      </c>
      <c r="T47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7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7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7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7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7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7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7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7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7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7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7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76" s="12">
        <f ca="1">[1]!Tabel1[[#This Row],[Vægtet Honorar]]*([1]!Tabel1[[#This Row],[Sidst redigeret]]&gt;TODAY()-40)*([1]!Tabel1[[#This Row],[Er i resplan?]]&lt;&gt;"Ja")*([1]!Tabel1[[#This Row],[Status]]="Pågår")</f>
        <v>0</v>
      </c>
      <c r="AG476" s="12">
        <f ca="1">[1]!Tabel1[[#This Row],[Vægtet Honorar]]*([1]!Tabel1[[#This Row],[Sidst redigeret]]&gt;TODAY()-40)*([1]!Tabel1[[#This Row],[Status]]="Pågår")</f>
        <v>0</v>
      </c>
      <c r="AH476" s="13"/>
      <c r="AI476" s="12" t="s">
        <v>1711</v>
      </c>
      <c r="AJ476" s="12" t="s">
        <v>1352</v>
      </c>
      <c r="AK476" s="12" t="s">
        <v>1712</v>
      </c>
      <c r="AL476" s="12" t="s">
        <v>601</v>
      </c>
      <c r="AM476" s="12"/>
      <c r="AN476" s="12" t="s">
        <v>1713</v>
      </c>
      <c r="AO476" s="12"/>
      <c r="AP476" s="12"/>
    </row>
    <row r="477" spans="1:42" ht="60">
      <c r="A477" t="s">
        <v>1714</v>
      </c>
      <c r="B477" s="8"/>
      <c r="C477" s="8" t="s">
        <v>1715</v>
      </c>
      <c r="D477" s="8" t="s">
        <v>720</v>
      </c>
      <c r="E477" s="8" t="s">
        <v>71</v>
      </c>
      <c r="F477" s="8" t="s">
        <v>1716</v>
      </c>
      <c r="G477" s="8" t="s">
        <v>1717</v>
      </c>
      <c r="H477" s="9">
        <v>2000000</v>
      </c>
      <c r="I477" s="9">
        <f>[1]!Tabel1[[#This Row],[Honorar]]*[1]!Tabel1[[#This Row],[Sandsynlighed]]</f>
        <v>50000</v>
      </c>
      <c r="J477" s="10" t="s">
        <v>584</v>
      </c>
      <c r="K477" s="10" t="s">
        <v>585</v>
      </c>
      <c r="L477" s="17" t="s">
        <v>1710</v>
      </c>
      <c r="M477" s="11">
        <v>0.01</v>
      </c>
      <c r="N477" s="1">
        <v>6300</v>
      </c>
      <c r="O477" s="10">
        <v>46279.611111111109</v>
      </c>
      <c r="P477" s="10"/>
      <c r="Q477" s="1" t="s">
        <v>72</v>
      </c>
      <c r="R477" s="8" t="s">
        <v>75</v>
      </c>
      <c r="S47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16712.454212454213</v>
      </c>
      <c r="T47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7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7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7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7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7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7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7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7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7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7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7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77" s="12">
        <f ca="1">[1]!Tabel1[[#This Row],[Vægtet Honorar]]*([1]!Tabel1[[#This Row],[Sidst redigeret]]&gt;TODAY()-40)*([1]!Tabel1[[#This Row],[Er i resplan?]]&lt;&gt;"Ja")*([1]!Tabel1[[#This Row],[Status]]="Pågår")</f>
        <v>0</v>
      </c>
      <c r="AG477" s="12">
        <f ca="1">[1]!Tabel1[[#This Row],[Vægtet Honorar]]*([1]!Tabel1[[#This Row],[Sidst redigeret]]&gt;TODAY()-40)*([1]!Tabel1[[#This Row],[Status]]="Pågår")</f>
        <v>0</v>
      </c>
      <c r="AH477" s="13"/>
      <c r="AI477" s="12"/>
      <c r="AJ477" s="12" t="s">
        <v>1718</v>
      </c>
      <c r="AK477" s="12"/>
      <c r="AL477" s="12"/>
      <c r="AM477" s="12"/>
      <c r="AN477" s="12"/>
      <c r="AO477" s="12"/>
      <c r="AP477" s="12"/>
    </row>
    <row r="478" spans="1:42">
      <c r="A478" t="s">
        <v>1719</v>
      </c>
      <c r="B478" s="8"/>
      <c r="C478" s="8" t="s">
        <v>1720</v>
      </c>
      <c r="D478" s="8" t="s">
        <v>203</v>
      </c>
      <c r="E478" s="8" t="s">
        <v>94</v>
      </c>
      <c r="F478" s="8" t="s">
        <v>777</v>
      </c>
      <c r="G478" s="8" t="s">
        <v>1100</v>
      </c>
      <c r="H478" s="9">
        <v>6000000</v>
      </c>
      <c r="I478" s="9">
        <f>[1]!Tabel1[[#This Row],[Honorar]]*[1]!Tabel1[[#This Row],[Sandsynlighed]]</f>
        <v>0</v>
      </c>
      <c r="J478" s="10" t="s">
        <v>328</v>
      </c>
      <c r="K478" s="10" t="s">
        <v>585</v>
      </c>
      <c r="L478" s="17"/>
      <c r="M478" s="11">
        <v>0.1</v>
      </c>
      <c r="N478" s="1">
        <v>10000</v>
      </c>
      <c r="O478" s="10">
        <v>46279.611111111109</v>
      </c>
      <c r="P478" s="1" t="s">
        <v>72</v>
      </c>
      <c r="Q478" s="1"/>
      <c r="R478" s="8" t="s">
        <v>49</v>
      </c>
      <c r="S47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7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7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7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7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7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7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7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7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7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7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7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7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78" s="12">
        <f ca="1">[1]!Tabel1[[#This Row],[Vægtet Honorar]]*([1]!Tabel1[[#This Row],[Sidst redigeret]]&gt;TODAY()-40)*([1]!Tabel1[[#This Row],[Er i resplan?]]&lt;&gt;"Ja")*([1]!Tabel1[[#This Row],[Status]]="Pågår")</f>
        <v>0</v>
      </c>
      <c r="AG478" s="12">
        <f ca="1">[1]!Tabel1[[#This Row],[Vægtet Honorar]]*([1]!Tabel1[[#This Row],[Sidst redigeret]]&gt;TODAY()-40)*([1]!Tabel1[[#This Row],[Status]]="Pågår")</f>
        <v>0</v>
      </c>
      <c r="AH478" s="13"/>
      <c r="AI478" s="12" t="s">
        <v>1100</v>
      </c>
      <c r="AJ478" s="12" t="s">
        <v>1721</v>
      </c>
      <c r="AK478" s="12"/>
      <c r="AL478" s="12" t="s">
        <v>1385</v>
      </c>
      <c r="AM478" s="12" t="s">
        <v>1722</v>
      </c>
      <c r="AN478" s="12"/>
      <c r="AO478" s="12"/>
      <c r="AP478" s="12"/>
    </row>
    <row r="479" spans="1:42">
      <c r="A479" t="s">
        <v>1723</v>
      </c>
      <c r="B479" s="8"/>
      <c r="C479" s="8" t="s">
        <v>1724</v>
      </c>
      <c r="D479" s="8" t="s">
        <v>119</v>
      </c>
      <c r="E479" s="8" t="s">
        <v>120</v>
      </c>
      <c r="F479" s="8" t="s">
        <v>1725</v>
      </c>
      <c r="G479" s="8" t="s">
        <v>1725</v>
      </c>
      <c r="H479" s="9">
        <v>103000</v>
      </c>
      <c r="I479" s="9">
        <f>[1]!Tabel1[[#This Row],[Honorar]]*[1]!Tabel1[[#This Row],[Sandsynlighed]]</f>
        <v>0</v>
      </c>
      <c r="J479" s="10">
        <v>45231</v>
      </c>
      <c r="K479" s="10" t="s">
        <v>612</v>
      </c>
      <c r="L479" s="17" t="s">
        <v>1147</v>
      </c>
      <c r="M479" s="11">
        <v>1</v>
      </c>
      <c r="N479" s="1" t="s">
        <v>1015</v>
      </c>
      <c r="O479" s="10">
        <v>46279.611111111109</v>
      </c>
      <c r="P479" s="10"/>
      <c r="Q479" s="1" t="s">
        <v>46</v>
      </c>
      <c r="R479" s="8" t="s">
        <v>47</v>
      </c>
      <c r="S47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7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7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7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7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7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7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7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7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7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7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7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7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79" s="12">
        <f ca="1">[1]!Tabel1[[#This Row],[Vægtet Honorar]]*([1]!Tabel1[[#This Row],[Sidst redigeret]]&gt;TODAY()-40)*([1]!Tabel1[[#This Row],[Er i resplan?]]&lt;&gt;"Ja")*([1]!Tabel1[[#This Row],[Status]]="Pågår")</f>
        <v>0</v>
      </c>
      <c r="AG479" s="12">
        <f ca="1">[1]!Tabel1[[#This Row],[Vægtet Honorar]]*([1]!Tabel1[[#This Row],[Sidst redigeret]]&gt;TODAY()-40)*([1]!Tabel1[[#This Row],[Status]]="Pågår")</f>
        <v>0</v>
      </c>
      <c r="AH479" s="13"/>
      <c r="AI479" s="12"/>
      <c r="AJ479" s="12"/>
      <c r="AK479" s="12"/>
      <c r="AL479" s="12"/>
      <c r="AM479" s="12"/>
      <c r="AN479" s="12"/>
      <c r="AO479" s="12"/>
      <c r="AP479" s="12"/>
    </row>
    <row r="480" spans="1:42" ht="30">
      <c r="A480" t="s">
        <v>1726</v>
      </c>
      <c r="B480" s="8"/>
      <c r="C480" s="8" t="s">
        <v>1727</v>
      </c>
      <c r="D480" s="8" t="s">
        <v>134</v>
      </c>
      <c r="E480" s="8" t="s">
        <v>94</v>
      </c>
      <c r="F480" s="8" t="s">
        <v>777</v>
      </c>
      <c r="G480" s="8" t="s">
        <v>1305</v>
      </c>
      <c r="H480" s="9">
        <v>650000</v>
      </c>
      <c r="I480" s="9">
        <f>[1]!Tabel1[[#This Row],[Honorar]]*[1]!Tabel1[[#This Row],[Sandsynlighed]]</f>
        <v>420000</v>
      </c>
      <c r="J480" s="10" t="s">
        <v>584</v>
      </c>
      <c r="K480" s="10" t="s">
        <v>612</v>
      </c>
      <c r="L480" s="17" t="s">
        <v>1728</v>
      </c>
      <c r="M480" s="11">
        <v>0.25</v>
      </c>
      <c r="N480" s="1" t="s">
        <v>1015</v>
      </c>
      <c r="O480" s="10">
        <v>46279.611111111109</v>
      </c>
      <c r="P480" s="1" t="s">
        <v>72</v>
      </c>
      <c r="Q480" s="1"/>
      <c r="R480" s="8" t="s">
        <v>75</v>
      </c>
      <c r="S48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46794.871794871804</v>
      </c>
      <c r="T48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8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8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8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8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8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8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8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8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8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8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8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80" s="12">
        <f ca="1">[1]!Tabel1[[#This Row],[Vægtet Honorar]]*([1]!Tabel1[[#This Row],[Sidst redigeret]]&gt;TODAY()-40)*([1]!Tabel1[[#This Row],[Er i resplan?]]&lt;&gt;"Ja")*([1]!Tabel1[[#This Row],[Status]]="Pågår")</f>
        <v>0</v>
      </c>
      <c r="AG480" s="12">
        <f ca="1">[1]!Tabel1[[#This Row],[Vægtet Honorar]]*([1]!Tabel1[[#This Row],[Sidst redigeret]]&gt;TODAY()-40)*([1]!Tabel1[[#This Row],[Status]]="Pågår")</f>
        <v>0</v>
      </c>
      <c r="AH480" s="13"/>
      <c r="AI480" s="12"/>
      <c r="AJ480" s="12"/>
      <c r="AK480" s="12"/>
      <c r="AL480" s="12"/>
      <c r="AM480" s="12"/>
      <c r="AN480" s="12"/>
      <c r="AO480" s="12"/>
      <c r="AP480" s="12"/>
    </row>
    <row r="481" spans="1:42" ht="75">
      <c r="A481" t="s">
        <v>1729</v>
      </c>
      <c r="B481" s="8"/>
      <c r="C481" s="8" t="s">
        <v>1730</v>
      </c>
      <c r="D481" s="8" t="s">
        <v>1731</v>
      </c>
      <c r="E481" s="8" t="s">
        <v>94</v>
      </c>
      <c r="F481" s="8" t="s">
        <v>1486</v>
      </c>
      <c r="G481" s="8" t="s">
        <v>1486</v>
      </c>
      <c r="H481" s="9">
        <f>125000+10000</f>
        <v>135000</v>
      </c>
      <c r="I481" s="9">
        <f>[1]!Tabel1[[#This Row],[Honorar]]*[1]!Tabel1[[#This Row],[Sandsynlighed]]</f>
        <v>5000</v>
      </c>
      <c r="J481" s="10" t="s">
        <v>584</v>
      </c>
      <c r="K481" s="10" t="s">
        <v>328</v>
      </c>
      <c r="L481" s="17" t="s">
        <v>1732</v>
      </c>
      <c r="M481" s="11">
        <v>0.7</v>
      </c>
      <c r="N481" s="1" t="s">
        <v>1015</v>
      </c>
      <c r="O481" s="10">
        <v>46279.611111111109</v>
      </c>
      <c r="P481" s="1" t="s">
        <v>72</v>
      </c>
      <c r="Q481" s="1" t="s">
        <v>46</v>
      </c>
      <c r="R481" s="8" t="s">
        <v>47</v>
      </c>
      <c r="S48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92.620787657328449</v>
      </c>
      <c r="T48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92.620787657328449</v>
      </c>
      <c r="U48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92.620787657328449</v>
      </c>
      <c r="V48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92.620787657328449</v>
      </c>
      <c r="W48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92.620787657328449</v>
      </c>
      <c r="X48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92.620787657328449</v>
      </c>
      <c r="Y48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92.620787657328449</v>
      </c>
      <c r="Z48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92.620787657328449</v>
      </c>
      <c r="AA48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92.620787657328449</v>
      </c>
      <c r="AB48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92.620787657328449</v>
      </c>
      <c r="AC48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92.620787657328449</v>
      </c>
      <c r="AD48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92.620787657328449</v>
      </c>
      <c r="AE48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92.620787657328449</v>
      </c>
      <c r="AF481" s="12">
        <f ca="1">[1]!Tabel1[[#This Row],[Vægtet Honorar]]*([1]!Tabel1[[#This Row],[Sidst redigeret]]&gt;TODAY()-40)*([1]!Tabel1[[#This Row],[Er i resplan?]]&lt;&gt;"Ja")*([1]!Tabel1[[#This Row],[Status]]="Pågår")</f>
        <v>0</v>
      </c>
      <c r="AG481" s="12">
        <f ca="1">[1]!Tabel1[[#This Row],[Vægtet Honorar]]*([1]!Tabel1[[#This Row],[Sidst redigeret]]&gt;TODAY()-40)*([1]!Tabel1[[#This Row],[Status]]="Pågår")</f>
        <v>0</v>
      </c>
      <c r="AH481" s="13"/>
      <c r="AI481" s="12"/>
      <c r="AJ481" s="12"/>
      <c r="AK481" s="12"/>
      <c r="AL481" s="12"/>
      <c r="AM481" s="12"/>
      <c r="AN481" s="12"/>
      <c r="AO481" s="12"/>
      <c r="AP481" s="12"/>
    </row>
    <row r="482" spans="1:42" ht="30">
      <c r="A482" t="s">
        <v>1733</v>
      </c>
      <c r="B482" s="8"/>
      <c r="C482" s="8" t="s">
        <v>1734</v>
      </c>
      <c r="D482" s="8" t="s">
        <v>93</v>
      </c>
      <c r="E482" s="8" t="s">
        <v>94</v>
      </c>
      <c r="F482" s="8" t="s">
        <v>1735</v>
      </c>
      <c r="G482" s="8" t="s">
        <v>1735</v>
      </c>
      <c r="H482" s="9">
        <v>2500000</v>
      </c>
      <c r="I482" s="9">
        <f>[1]!Tabel1[[#This Row],[Honorar]]*[1]!Tabel1[[#This Row],[Sandsynlighed]]</f>
        <v>20000</v>
      </c>
      <c r="J482" s="10" t="s">
        <v>328</v>
      </c>
      <c r="K482" s="10" t="s">
        <v>329</v>
      </c>
      <c r="L482" s="17" t="s">
        <v>1736</v>
      </c>
      <c r="M482" s="11">
        <v>0.1</v>
      </c>
      <c r="N482" s="1" t="s">
        <v>1015</v>
      </c>
      <c r="O482" s="10">
        <v>46279.611111111109</v>
      </c>
      <c r="P482" s="1" t="s">
        <v>72</v>
      </c>
      <c r="Q482" s="1" t="s">
        <v>72</v>
      </c>
      <c r="R482" s="8" t="s">
        <v>47</v>
      </c>
      <c r="S48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8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8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8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8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8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8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8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8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8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8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8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8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82" s="12">
        <f ca="1">[1]!Tabel1[[#This Row],[Vægtet Honorar]]*([1]!Tabel1[[#This Row],[Sidst redigeret]]&gt;TODAY()-40)*([1]!Tabel1[[#This Row],[Er i resplan?]]&lt;&gt;"Ja")*([1]!Tabel1[[#This Row],[Status]]="Pågår")</f>
        <v>0</v>
      </c>
      <c r="AG482" s="12">
        <f ca="1">[1]!Tabel1[[#This Row],[Vægtet Honorar]]*([1]!Tabel1[[#This Row],[Sidst redigeret]]&gt;TODAY()-40)*([1]!Tabel1[[#This Row],[Status]]="Pågår")</f>
        <v>0</v>
      </c>
      <c r="AH482" s="13"/>
      <c r="AI482" s="12"/>
      <c r="AJ482" s="12" t="s">
        <v>1737</v>
      </c>
      <c r="AK482" s="12"/>
      <c r="AL482" s="12"/>
      <c r="AM482" s="12"/>
      <c r="AN482" s="12" t="s">
        <v>1738</v>
      </c>
      <c r="AO482" s="12">
        <v>45231</v>
      </c>
      <c r="AP482" s="12"/>
    </row>
    <row r="483" spans="1:42" ht="30">
      <c r="A483" t="s">
        <v>1739</v>
      </c>
      <c r="B483" s="8"/>
      <c r="C483" s="8" t="s">
        <v>1740</v>
      </c>
      <c r="D483" s="8" t="s">
        <v>70</v>
      </c>
      <c r="E483" s="8" t="s">
        <v>102</v>
      </c>
      <c r="F483" s="8" t="s">
        <v>1128</v>
      </c>
      <c r="G483" s="8" t="s">
        <v>1128</v>
      </c>
      <c r="H483" s="9">
        <v>0</v>
      </c>
      <c r="I483" s="9">
        <f>[1]!Tabel1[[#This Row],[Honorar]]*[1]!Tabel1[[#This Row],[Sandsynlighed]]</f>
        <v>600000</v>
      </c>
      <c r="J483" s="10" t="s">
        <v>622</v>
      </c>
      <c r="K483" s="10" t="s">
        <v>1061</v>
      </c>
      <c r="L483" s="17" t="s">
        <v>1510</v>
      </c>
      <c r="M483" s="11"/>
      <c r="N483" s="1" t="s">
        <v>1015</v>
      </c>
      <c r="O483" s="10">
        <v>46279.611111111109</v>
      </c>
      <c r="P483" s="10"/>
      <c r="Q483" s="1"/>
      <c r="R483" s="8" t="s">
        <v>75</v>
      </c>
      <c r="S48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20010.964912280702</v>
      </c>
      <c r="T48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8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8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8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8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8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8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8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8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8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8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8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83" s="12">
        <f ca="1">[1]!Tabel1[[#This Row],[Vægtet Honorar]]*([1]!Tabel1[[#This Row],[Sidst redigeret]]&gt;TODAY()-40)*([1]!Tabel1[[#This Row],[Er i resplan?]]&lt;&gt;"Ja")*([1]!Tabel1[[#This Row],[Status]]="Pågår")</f>
        <v>0</v>
      </c>
      <c r="AG483" s="12">
        <f ca="1">[1]!Tabel1[[#This Row],[Vægtet Honorar]]*([1]!Tabel1[[#This Row],[Sidst redigeret]]&gt;TODAY()-40)*([1]!Tabel1[[#This Row],[Status]]="Pågår")</f>
        <v>0</v>
      </c>
      <c r="AH483" s="13"/>
      <c r="AI483" s="12"/>
      <c r="AJ483" s="12"/>
      <c r="AK483" s="12"/>
      <c r="AL483" s="12"/>
      <c r="AM483" s="12"/>
      <c r="AN483" s="12"/>
      <c r="AO483" s="12"/>
      <c r="AP483" s="12"/>
    </row>
    <row r="484" spans="1:42">
      <c r="A484" t="s">
        <v>1741</v>
      </c>
      <c r="B484" s="8"/>
      <c r="C484" s="8" t="s">
        <v>1742</v>
      </c>
      <c r="D484" s="8" t="s">
        <v>200</v>
      </c>
      <c r="E484" s="8" t="s">
        <v>120</v>
      </c>
      <c r="F484" s="8" t="s">
        <v>691</v>
      </c>
      <c r="G484" s="8" t="s">
        <v>691</v>
      </c>
      <c r="H484" s="9">
        <v>3000000</v>
      </c>
      <c r="I484" s="9">
        <f>[1]!Tabel1[[#This Row],[Honorar]]*[1]!Tabel1[[#This Row],[Sandsynlighed]]</f>
        <v>103000</v>
      </c>
      <c r="J484" s="10" t="s">
        <v>328</v>
      </c>
      <c r="K484" s="10" t="s">
        <v>1191</v>
      </c>
      <c r="L484" s="17"/>
      <c r="M484" s="11">
        <v>0</v>
      </c>
      <c r="N484" s="1" t="s">
        <v>1015</v>
      </c>
      <c r="O484" s="10">
        <v>46279.611111111109</v>
      </c>
      <c r="P484" s="10"/>
      <c r="Q484" s="1"/>
      <c r="R484" s="8" t="s">
        <v>75</v>
      </c>
      <c r="S48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8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8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8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8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8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8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8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8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8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8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8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8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84" s="12">
        <f ca="1">[1]!Tabel1[[#This Row],[Vægtet Honorar]]*([1]!Tabel1[[#This Row],[Sidst redigeret]]&gt;TODAY()-40)*([1]!Tabel1[[#This Row],[Er i resplan?]]&lt;&gt;"Ja")*([1]!Tabel1[[#This Row],[Status]]="Pågår")</f>
        <v>0</v>
      </c>
      <c r="AG484" s="12">
        <f ca="1">[1]!Tabel1[[#This Row],[Vægtet Honorar]]*([1]!Tabel1[[#This Row],[Sidst redigeret]]&gt;TODAY()-40)*([1]!Tabel1[[#This Row],[Status]]="Pågår")</f>
        <v>0</v>
      </c>
      <c r="AH484" s="13"/>
      <c r="AI484" s="12"/>
      <c r="AJ484" s="12" t="s">
        <v>1743</v>
      </c>
      <c r="AK484" s="12"/>
      <c r="AL484" s="12" t="s">
        <v>906</v>
      </c>
      <c r="AM484" s="12"/>
      <c r="AN484" s="12" t="s">
        <v>1218</v>
      </c>
      <c r="AO484" s="12"/>
      <c r="AP484" s="12"/>
    </row>
    <row r="485" spans="1:42" ht="45">
      <c r="A485" t="s">
        <v>1744</v>
      </c>
      <c r="B485" s="8"/>
      <c r="C485" s="8" t="s">
        <v>1745</v>
      </c>
      <c r="D485" s="8" t="s">
        <v>134</v>
      </c>
      <c r="E485" s="8" t="s">
        <v>94</v>
      </c>
      <c r="F485" s="8" t="s">
        <v>562</v>
      </c>
      <c r="G485" s="8" t="s">
        <v>1746</v>
      </c>
      <c r="H485" s="9">
        <v>3000000</v>
      </c>
      <c r="I485" s="9">
        <f>[1]!Tabel1[[#This Row],[Honorar]]*[1]!Tabel1[[#This Row],[Sandsynlighed]]</f>
        <v>162500</v>
      </c>
      <c r="J485" s="10" t="s">
        <v>1088</v>
      </c>
      <c r="K485" s="10" t="s">
        <v>1191</v>
      </c>
      <c r="L485" s="17" t="s">
        <v>1747</v>
      </c>
      <c r="M485" s="11">
        <v>0.2</v>
      </c>
      <c r="N485" s="1">
        <v>6000</v>
      </c>
      <c r="O485" s="10">
        <v>46279.611111111109</v>
      </c>
      <c r="P485" s="1" t="s">
        <v>72</v>
      </c>
      <c r="Q485" s="1" t="s">
        <v>46</v>
      </c>
      <c r="R485" s="8" t="s">
        <v>49</v>
      </c>
      <c r="S48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8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8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8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8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8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8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8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8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8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8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8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8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85" s="12">
        <f ca="1">[1]!Tabel1[[#This Row],[Vægtet Honorar]]*([1]!Tabel1[[#This Row],[Sidst redigeret]]&gt;TODAY()-40)*([1]!Tabel1[[#This Row],[Er i resplan?]]&lt;&gt;"Ja")*([1]!Tabel1[[#This Row],[Status]]="Pågår")</f>
        <v>0</v>
      </c>
      <c r="AG485" s="12">
        <f ca="1">[1]!Tabel1[[#This Row],[Vægtet Honorar]]*([1]!Tabel1[[#This Row],[Sidst redigeret]]&gt;TODAY()-40)*([1]!Tabel1[[#This Row],[Status]]="Pågår")</f>
        <v>0</v>
      </c>
      <c r="AH485" s="13"/>
      <c r="AI485" s="12"/>
      <c r="AJ485" s="12"/>
      <c r="AK485" s="12"/>
      <c r="AL485" s="12"/>
      <c r="AM485" s="12"/>
      <c r="AN485" s="12"/>
      <c r="AO485" s="12"/>
      <c r="AP485" s="12"/>
    </row>
    <row r="486" spans="1:42" ht="30">
      <c r="A486" t="s">
        <v>1748</v>
      </c>
      <c r="B486" s="8"/>
      <c r="C486" s="8" t="s">
        <v>1749</v>
      </c>
      <c r="D486" s="8" t="s">
        <v>203</v>
      </c>
      <c r="E486" s="8" t="s">
        <v>167</v>
      </c>
      <c r="F486" s="8"/>
      <c r="G486" s="8"/>
      <c r="H486" s="9">
        <v>350000</v>
      </c>
      <c r="I486" s="9">
        <f>[1]!Tabel1[[#This Row],[Honorar]]*[1]!Tabel1[[#This Row],[Sandsynlighed]]</f>
        <v>94500</v>
      </c>
      <c r="J486" s="10" t="s">
        <v>584</v>
      </c>
      <c r="K486" s="10" t="s">
        <v>1191</v>
      </c>
      <c r="L486" s="17" t="s">
        <v>1750</v>
      </c>
      <c r="M486" s="11">
        <v>0.05</v>
      </c>
      <c r="N486" s="1">
        <v>1563</v>
      </c>
      <c r="O486" s="10">
        <v>46279.611111111109</v>
      </c>
      <c r="P486" s="10"/>
      <c r="Q486" s="1"/>
      <c r="R486" s="8" t="s">
        <v>75</v>
      </c>
      <c r="S48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8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8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8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8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8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8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8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8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8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8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8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8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86" s="12">
        <f ca="1">[1]!Tabel1[[#This Row],[Vægtet Honorar]]*([1]!Tabel1[[#This Row],[Sidst redigeret]]&gt;TODAY()-40)*([1]!Tabel1[[#This Row],[Er i resplan?]]&lt;&gt;"Ja")*([1]!Tabel1[[#This Row],[Status]]="Pågår")</f>
        <v>0</v>
      </c>
      <c r="AG486" s="12">
        <f ca="1">[1]!Tabel1[[#This Row],[Vægtet Honorar]]*([1]!Tabel1[[#This Row],[Sidst redigeret]]&gt;TODAY()-40)*([1]!Tabel1[[#This Row],[Status]]="Pågår")</f>
        <v>0</v>
      </c>
      <c r="AH486" s="13"/>
      <c r="AI486" s="12"/>
      <c r="AJ486" s="12" t="s">
        <v>1737</v>
      </c>
      <c r="AK486" s="12"/>
      <c r="AL486" s="12"/>
      <c r="AM486" s="12"/>
      <c r="AN486" s="12"/>
      <c r="AO486" s="12"/>
      <c r="AP486" s="12"/>
    </row>
    <row r="487" spans="1:42">
      <c r="A487" t="s">
        <v>1751</v>
      </c>
      <c r="B487" s="8"/>
      <c r="C487" s="8" t="s">
        <v>1752</v>
      </c>
      <c r="D487" s="8" t="s">
        <v>1623</v>
      </c>
      <c r="E487" s="8" t="s">
        <v>102</v>
      </c>
      <c r="F487" s="8" t="s">
        <v>1538</v>
      </c>
      <c r="G487" s="8" t="s">
        <v>1538</v>
      </c>
      <c r="H487" s="9">
        <v>600000</v>
      </c>
      <c r="I487" s="9">
        <f>[1]!Tabel1[[#This Row],[Honorar]]*[1]!Tabel1[[#This Row],[Sandsynlighed]]</f>
        <v>250000</v>
      </c>
      <c r="J487" s="10" t="s">
        <v>622</v>
      </c>
      <c r="K487" s="10" t="s">
        <v>1191</v>
      </c>
      <c r="L487" s="17"/>
      <c r="M487" s="11">
        <v>1</v>
      </c>
      <c r="N487" s="1"/>
      <c r="O487" s="10">
        <v>46279.611111111109</v>
      </c>
      <c r="P487" s="10"/>
      <c r="Q487" s="1" t="s">
        <v>46</v>
      </c>
      <c r="R487" s="8" t="s">
        <v>47</v>
      </c>
      <c r="S48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16712.454212454213</v>
      </c>
      <c r="T48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8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8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8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8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8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8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8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8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8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8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8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87" s="12">
        <f ca="1">[1]!Tabel1[[#This Row],[Vægtet Honorar]]*([1]!Tabel1[[#This Row],[Sidst redigeret]]&gt;TODAY()-40)*([1]!Tabel1[[#This Row],[Er i resplan?]]&lt;&gt;"Ja")*([1]!Tabel1[[#This Row],[Status]]="Pågår")</f>
        <v>0</v>
      </c>
      <c r="AG487" s="12">
        <f ca="1">[1]!Tabel1[[#This Row],[Vægtet Honorar]]*([1]!Tabel1[[#This Row],[Sidst redigeret]]&gt;TODAY()-40)*([1]!Tabel1[[#This Row],[Status]]="Pågår")</f>
        <v>0</v>
      </c>
      <c r="AH487" s="13"/>
      <c r="AI487" s="12"/>
      <c r="AJ487" s="12"/>
      <c r="AK487" s="12"/>
      <c r="AL487" s="12"/>
      <c r="AM487" s="12"/>
      <c r="AN487" s="12"/>
      <c r="AO487" s="12"/>
      <c r="AP487" s="12"/>
    </row>
    <row r="488" spans="1:42" ht="30">
      <c r="A488" t="s">
        <v>1753</v>
      </c>
      <c r="B488" s="8"/>
      <c r="C488" s="8" t="s">
        <v>1754</v>
      </c>
      <c r="D488" s="8" t="s">
        <v>70</v>
      </c>
      <c r="E488" s="8" t="s">
        <v>102</v>
      </c>
      <c r="F488" s="8" t="s">
        <v>339</v>
      </c>
      <c r="G488" s="8" t="s">
        <v>1592</v>
      </c>
      <c r="H488" s="9"/>
      <c r="I488" s="9">
        <f>[1]!Tabel1[[#This Row],[Honorar]]*[1]!Tabel1[[#This Row],[Sandsynlighed]]</f>
        <v>0</v>
      </c>
      <c r="J488" s="10" t="s">
        <v>584</v>
      </c>
      <c r="K488" s="10" t="s">
        <v>612</v>
      </c>
      <c r="L488" s="17" t="s">
        <v>1510</v>
      </c>
      <c r="M488" s="11">
        <v>0.2</v>
      </c>
      <c r="N488" s="1">
        <v>3000</v>
      </c>
      <c r="O488" s="10">
        <v>46279.611111111109</v>
      </c>
      <c r="P488" s="10"/>
      <c r="Q488" s="1" t="s">
        <v>72</v>
      </c>
      <c r="R488" s="8" t="s">
        <v>49</v>
      </c>
      <c r="S48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8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8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8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8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8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8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8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8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8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8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8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8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88" s="12">
        <f ca="1">[1]!Tabel1[[#This Row],[Vægtet Honorar]]*([1]!Tabel1[[#This Row],[Sidst redigeret]]&gt;TODAY()-40)*([1]!Tabel1[[#This Row],[Er i resplan?]]&lt;&gt;"Ja")*([1]!Tabel1[[#This Row],[Status]]="Pågår")</f>
        <v>0</v>
      </c>
      <c r="AG488" s="12">
        <f ca="1">[1]!Tabel1[[#This Row],[Vægtet Honorar]]*([1]!Tabel1[[#This Row],[Sidst redigeret]]&gt;TODAY()-40)*([1]!Tabel1[[#This Row],[Status]]="Pågår")</f>
        <v>0</v>
      </c>
      <c r="AH488" s="13"/>
      <c r="AI488" s="12" t="s">
        <v>1592</v>
      </c>
      <c r="AJ488" s="12" t="s">
        <v>1755</v>
      </c>
      <c r="AK488" s="12"/>
      <c r="AL488" s="12"/>
      <c r="AM488" s="12"/>
      <c r="AN488" s="12" t="s">
        <v>47</v>
      </c>
      <c r="AO488" s="12"/>
      <c r="AP488" s="12"/>
    </row>
    <row r="489" spans="1:42" ht="45">
      <c r="A489" t="s">
        <v>1756</v>
      </c>
      <c r="B489" s="8"/>
      <c r="C489" s="8" t="s">
        <v>1757</v>
      </c>
      <c r="D489" s="8" t="s">
        <v>158</v>
      </c>
      <c r="E489" s="8" t="s">
        <v>71</v>
      </c>
      <c r="F489" s="8" t="s">
        <v>1758</v>
      </c>
      <c r="G489" s="8" t="s">
        <v>402</v>
      </c>
      <c r="H489" s="9">
        <v>500000</v>
      </c>
      <c r="I489" s="9">
        <f>[1]!Tabel1[[#This Row],[Honorar]]*[1]!Tabel1[[#This Row],[Sandsynlighed]]</f>
        <v>0</v>
      </c>
      <c r="J489" s="10" t="s">
        <v>1061</v>
      </c>
      <c r="K489" s="10" t="s">
        <v>329</v>
      </c>
      <c r="L489" s="17" t="s">
        <v>1759</v>
      </c>
      <c r="M489" s="11">
        <v>0.1</v>
      </c>
      <c r="N489" s="1"/>
      <c r="O489" s="10">
        <v>46279.611111111109</v>
      </c>
      <c r="P489" s="10"/>
      <c r="Q489" s="1" t="s">
        <v>72</v>
      </c>
      <c r="R489" s="8" t="s">
        <v>49</v>
      </c>
      <c r="S48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8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8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8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8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8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8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8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8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8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8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8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8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89" s="12">
        <f ca="1">[1]!Tabel1[[#This Row],[Vægtet Honorar]]*([1]!Tabel1[[#This Row],[Sidst redigeret]]&gt;TODAY()-40)*([1]!Tabel1[[#This Row],[Er i resplan?]]&lt;&gt;"Ja")*([1]!Tabel1[[#This Row],[Status]]="Pågår")</f>
        <v>0</v>
      </c>
      <c r="AG489" s="12">
        <f ca="1">[1]!Tabel1[[#This Row],[Vægtet Honorar]]*([1]!Tabel1[[#This Row],[Sidst redigeret]]&gt;TODAY()-40)*([1]!Tabel1[[#This Row],[Status]]="Pågår")</f>
        <v>0</v>
      </c>
      <c r="AH489" s="13"/>
      <c r="AI489" s="12"/>
      <c r="AJ489" s="12" t="s">
        <v>402</v>
      </c>
      <c r="AK489" s="12"/>
      <c r="AL489" s="12" t="s">
        <v>1760</v>
      </c>
      <c r="AM489" s="12" t="s">
        <v>1359</v>
      </c>
      <c r="AN489" s="12" t="s">
        <v>1761</v>
      </c>
      <c r="AO489" s="12"/>
      <c r="AP489" s="12"/>
    </row>
    <row r="490" spans="1:42">
      <c r="A490" t="s">
        <v>1762</v>
      </c>
      <c r="B490" s="8"/>
      <c r="C490" s="8" t="s">
        <v>1763</v>
      </c>
      <c r="D490" s="8" t="s">
        <v>1764</v>
      </c>
      <c r="E490" s="8" t="s">
        <v>71</v>
      </c>
      <c r="F490" s="8" t="s">
        <v>940</v>
      </c>
      <c r="G490" s="8" t="s">
        <v>940</v>
      </c>
      <c r="H490" s="9">
        <v>150000</v>
      </c>
      <c r="I490" s="9">
        <f>[1]!Tabel1[[#This Row],[Honorar]]*[1]!Tabel1[[#This Row],[Sandsynlighed]]</f>
        <v>600000</v>
      </c>
      <c r="J490" s="10" t="s">
        <v>328</v>
      </c>
      <c r="K490" s="10" t="s">
        <v>329</v>
      </c>
      <c r="L490" s="17"/>
      <c r="M490" s="11">
        <v>1</v>
      </c>
      <c r="N490" s="1"/>
      <c r="O490" s="10">
        <v>46279.611111111109</v>
      </c>
      <c r="P490" s="10"/>
      <c r="Q490" s="1" t="s">
        <v>46</v>
      </c>
      <c r="R490" s="8" t="s">
        <v>47</v>
      </c>
      <c r="S49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9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9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9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9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9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9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9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9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9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9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9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9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90" s="12">
        <f ca="1">[1]!Tabel1[[#This Row],[Vægtet Honorar]]*([1]!Tabel1[[#This Row],[Sidst redigeret]]&gt;TODAY()-40)*([1]!Tabel1[[#This Row],[Er i resplan?]]&lt;&gt;"Ja")*([1]!Tabel1[[#This Row],[Status]]="Pågår")</f>
        <v>0</v>
      </c>
      <c r="AG490" s="12">
        <f ca="1">[1]!Tabel1[[#This Row],[Vægtet Honorar]]*([1]!Tabel1[[#This Row],[Sidst redigeret]]&gt;TODAY()-40)*([1]!Tabel1[[#This Row],[Status]]="Pågår")</f>
        <v>0</v>
      </c>
      <c r="AH490" s="13"/>
      <c r="AI490" s="12"/>
      <c r="AJ490" s="12"/>
      <c r="AK490" s="12"/>
      <c r="AL490" s="12"/>
      <c r="AM490" s="12"/>
      <c r="AN490" s="12"/>
      <c r="AO490" s="12"/>
      <c r="AP490" s="12"/>
    </row>
    <row r="491" spans="1:42" ht="75">
      <c r="A491" t="s">
        <v>1765</v>
      </c>
      <c r="B491" s="8"/>
      <c r="C491" s="8" t="s">
        <v>1766</v>
      </c>
      <c r="D491" s="8" t="s">
        <v>57</v>
      </c>
      <c r="E491" s="8" t="s">
        <v>167</v>
      </c>
      <c r="F491" s="8" t="s">
        <v>1767</v>
      </c>
      <c r="G491" s="8" t="s">
        <v>1767</v>
      </c>
      <c r="H491" s="9">
        <v>200000</v>
      </c>
      <c r="I491" s="9">
        <f>[1]!Tabel1[[#This Row],[Honorar]]*[1]!Tabel1[[#This Row],[Sandsynlighed]]</f>
        <v>17500</v>
      </c>
      <c r="J491" s="10" t="s">
        <v>584</v>
      </c>
      <c r="K491" s="10" t="s">
        <v>329</v>
      </c>
      <c r="L491" s="17" t="s">
        <v>1768</v>
      </c>
      <c r="M491" s="11">
        <v>0.1</v>
      </c>
      <c r="N491" s="1"/>
      <c r="O491" s="10">
        <v>46279.611111111109</v>
      </c>
      <c r="P491" s="10"/>
      <c r="Q491" s="1"/>
      <c r="R491" s="8" t="s">
        <v>49</v>
      </c>
      <c r="S49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9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9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9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9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9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9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9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9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9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9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9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9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91" s="12">
        <f ca="1">[1]!Tabel1[[#This Row],[Vægtet Honorar]]*([1]!Tabel1[[#This Row],[Sidst redigeret]]&gt;TODAY()-40)*([1]!Tabel1[[#This Row],[Er i resplan?]]&lt;&gt;"Ja")*([1]!Tabel1[[#This Row],[Status]]="Pågår")</f>
        <v>0</v>
      </c>
      <c r="AG491" s="12">
        <f ca="1">[1]!Tabel1[[#This Row],[Vægtet Honorar]]*([1]!Tabel1[[#This Row],[Sidst redigeret]]&gt;TODAY()-40)*([1]!Tabel1[[#This Row],[Status]]="Pågår")</f>
        <v>0</v>
      </c>
      <c r="AH491" s="13"/>
      <c r="AI491" s="12"/>
      <c r="AJ491" s="12"/>
      <c r="AK491" s="12"/>
      <c r="AL491" s="12"/>
      <c r="AM491" s="12"/>
      <c r="AN491" s="12"/>
      <c r="AO491" s="12"/>
      <c r="AP491" s="12"/>
    </row>
    <row r="492" spans="1:42" ht="45">
      <c r="A492" t="s">
        <v>1769</v>
      </c>
      <c r="B492" s="8"/>
      <c r="C492" s="8" t="s">
        <v>1770</v>
      </c>
      <c r="D492" s="8" t="s">
        <v>1771</v>
      </c>
      <c r="E492" s="8" t="s">
        <v>167</v>
      </c>
      <c r="F492" s="8" t="s">
        <v>1772</v>
      </c>
      <c r="G492" s="8" t="s">
        <v>1772</v>
      </c>
      <c r="H492" s="9">
        <v>200000</v>
      </c>
      <c r="I492" s="9">
        <f>[1]!Tabel1[[#This Row],[Honorar]]*[1]!Tabel1[[#This Row],[Sandsynlighed]]</f>
        <v>600000</v>
      </c>
      <c r="J492" s="10" t="s">
        <v>452</v>
      </c>
      <c r="K492" s="10" t="s">
        <v>1310</v>
      </c>
      <c r="L492" s="17" t="s">
        <v>1773</v>
      </c>
      <c r="M492" s="11">
        <v>0.01</v>
      </c>
      <c r="N492" s="1">
        <v>11000</v>
      </c>
      <c r="O492" s="10">
        <v>46279.611111111109</v>
      </c>
      <c r="P492" s="10"/>
      <c r="Q492" s="1"/>
      <c r="R492" s="8" t="s">
        <v>343</v>
      </c>
      <c r="S49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9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9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9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9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9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9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9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9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9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9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9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9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92" s="12">
        <f ca="1">[1]!Tabel1[[#This Row],[Vægtet Honorar]]*([1]!Tabel1[[#This Row],[Sidst redigeret]]&gt;TODAY()-40)*([1]!Tabel1[[#This Row],[Er i resplan?]]&lt;&gt;"Ja")*([1]!Tabel1[[#This Row],[Status]]="Pågår")</f>
        <v>0</v>
      </c>
      <c r="AG492" s="12">
        <f ca="1">[1]!Tabel1[[#This Row],[Vægtet Honorar]]*([1]!Tabel1[[#This Row],[Sidst redigeret]]&gt;TODAY()-40)*([1]!Tabel1[[#This Row],[Status]]="Pågår")</f>
        <v>0</v>
      </c>
      <c r="AH492" s="13"/>
      <c r="AI492" s="12"/>
      <c r="AJ492" s="12" t="s">
        <v>1737</v>
      </c>
      <c r="AK492" s="12"/>
      <c r="AL492" s="12"/>
      <c r="AM492" s="12"/>
      <c r="AN492" s="12" t="s">
        <v>1774</v>
      </c>
      <c r="AO492" s="12"/>
      <c r="AP492" s="12"/>
    </row>
    <row r="493" spans="1:42" ht="45">
      <c r="A493" t="s">
        <v>1775</v>
      </c>
      <c r="B493" s="8"/>
      <c r="C493" s="8" t="s">
        <v>1776</v>
      </c>
      <c r="D493" s="8" t="s">
        <v>57</v>
      </c>
      <c r="E493" s="8" t="s">
        <v>167</v>
      </c>
      <c r="F493" s="8" t="s">
        <v>1777</v>
      </c>
      <c r="G493" s="8" t="s">
        <v>1778</v>
      </c>
      <c r="H493" s="9">
        <v>2000000</v>
      </c>
      <c r="I493" s="9">
        <f>[1]!Tabel1[[#This Row],[Honorar]]*[1]!Tabel1[[#This Row],[Sandsynlighed]]</f>
        <v>0</v>
      </c>
      <c r="J493" s="10" t="s">
        <v>584</v>
      </c>
      <c r="K493" s="10" t="s">
        <v>329</v>
      </c>
      <c r="L493" s="17" t="s">
        <v>1779</v>
      </c>
      <c r="M493" s="11">
        <v>0</v>
      </c>
      <c r="N493" s="1"/>
      <c r="O493" s="10">
        <v>46279.611111111109</v>
      </c>
      <c r="P493" s="10"/>
      <c r="Q493" s="1"/>
      <c r="R493" s="8" t="s">
        <v>49</v>
      </c>
      <c r="S49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9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9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9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9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9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9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9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9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9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9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9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9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93" s="12">
        <f ca="1">[1]!Tabel1[[#This Row],[Vægtet Honorar]]*([1]!Tabel1[[#This Row],[Sidst redigeret]]&gt;TODAY()-40)*([1]!Tabel1[[#This Row],[Er i resplan?]]&lt;&gt;"Ja")*([1]!Tabel1[[#This Row],[Status]]="Pågår")</f>
        <v>0</v>
      </c>
      <c r="AG493" s="12">
        <f ca="1">[1]!Tabel1[[#This Row],[Vægtet Honorar]]*([1]!Tabel1[[#This Row],[Sidst redigeret]]&gt;TODAY()-40)*([1]!Tabel1[[#This Row],[Status]]="Pågår")</f>
        <v>0</v>
      </c>
      <c r="AH493" s="13"/>
      <c r="AI493" s="12" t="s">
        <v>1780</v>
      </c>
      <c r="AJ493" s="12" t="s">
        <v>1352</v>
      </c>
      <c r="AK493" s="12"/>
      <c r="AL493" s="12"/>
      <c r="AM493" s="12"/>
      <c r="AN493" s="12"/>
      <c r="AO493" s="12"/>
      <c r="AP493" s="12"/>
    </row>
    <row r="494" spans="1:42" ht="60">
      <c r="A494" t="s">
        <v>1781</v>
      </c>
      <c r="B494" s="8"/>
      <c r="C494" s="8" t="s">
        <v>1782</v>
      </c>
      <c r="D494" s="8" t="s">
        <v>57</v>
      </c>
      <c r="E494" s="8" t="s">
        <v>167</v>
      </c>
      <c r="F494" s="8" t="s">
        <v>1783</v>
      </c>
      <c r="G494" s="8" t="s">
        <v>1783</v>
      </c>
      <c r="H494" s="9">
        <f>80000000*0.04</f>
        <v>3200000</v>
      </c>
      <c r="I494" s="9">
        <f>[1]!Tabel1[[#This Row],[Honorar]]*[1]!Tabel1[[#This Row],[Sandsynlighed]]</f>
        <v>50000</v>
      </c>
      <c r="J494" s="10" t="s">
        <v>584</v>
      </c>
      <c r="K494" s="10" t="s">
        <v>329</v>
      </c>
      <c r="L494" s="17" t="s">
        <v>1784</v>
      </c>
      <c r="M494" s="11">
        <v>0.05</v>
      </c>
      <c r="N494" s="1"/>
      <c r="O494" s="10">
        <v>46279.611111111109</v>
      </c>
      <c r="P494" s="10"/>
      <c r="Q494" s="1"/>
      <c r="R494" s="8" t="s">
        <v>49</v>
      </c>
      <c r="S49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8449.0740740740748</v>
      </c>
      <c r="T49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9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9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9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9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9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9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9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9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9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9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9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94" s="12">
        <f ca="1">[1]!Tabel1[[#This Row],[Vægtet Honorar]]*([1]!Tabel1[[#This Row],[Sidst redigeret]]&gt;TODAY()-40)*([1]!Tabel1[[#This Row],[Er i resplan?]]&lt;&gt;"Ja")*([1]!Tabel1[[#This Row],[Status]]="Pågår")</f>
        <v>0</v>
      </c>
      <c r="AG494" s="12">
        <f ca="1">[1]!Tabel1[[#This Row],[Vægtet Honorar]]*([1]!Tabel1[[#This Row],[Sidst redigeret]]&gt;TODAY()-40)*([1]!Tabel1[[#This Row],[Status]]="Pågår")</f>
        <v>0</v>
      </c>
      <c r="AH494" s="13"/>
      <c r="AI494" s="12"/>
      <c r="AJ494" s="12" t="s">
        <v>1300</v>
      </c>
      <c r="AK494" s="12" t="s">
        <v>1785</v>
      </c>
      <c r="AL494" s="12"/>
      <c r="AM494" s="12" t="s">
        <v>1369</v>
      </c>
      <c r="AN494" s="12" t="s">
        <v>1786</v>
      </c>
      <c r="AO494" s="12" t="s">
        <v>1786</v>
      </c>
      <c r="AP494" s="12"/>
    </row>
    <row r="495" spans="1:42">
      <c r="A495" t="s">
        <v>1787</v>
      </c>
      <c r="B495" s="8"/>
      <c r="C495" s="8" t="s">
        <v>1788</v>
      </c>
      <c r="D495" s="8" t="s">
        <v>264</v>
      </c>
      <c r="E495" s="8" t="s">
        <v>94</v>
      </c>
      <c r="F495" s="8" t="s">
        <v>852</v>
      </c>
      <c r="G495" s="8" t="s">
        <v>852</v>
      </c>
      <c r="H495" s="9">
        <v>900000</v>
      </c>
      <c r="I495" s="9">
        <f>[1]!Tabel1[[#This Row],[Honorar]]*[1]!Tabel1[[#This Row],[Sandsynlighed]]</f>
        <v>150000</v>
      </c>
      <c r="J495" s="10" t="s">
        <v>622</v>
      </c>
      <c r="K495" s="10" t="s">
        <v>328</v>
      </c>
      <c r="L495" s="17"/>
      <c r="M495" s="11">
        <v>0.85</v>
      </c>
      <c r="N495" s="1"/>
      <c r="O495" s="10">
        <v>46279.611111111109</v>
      </c>
      <c r="P495" s="1" t="s">
        <v>72</v>
      </c>
      <c r="Q495" s="1" t="s">
        <v>46</v>
      </c>
      <c r="R495" s="8" t="s">
        <v>47</v>
      </c>
      <c r="S49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9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9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9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9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9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9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9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9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9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9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9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9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95" s="12">
        <f ca="1">[1]!Tabel1[[#This Row],[Vægtet Honorar]]*([1]!Tabel1[[#This Row],[Sidst redigeret]]&gt;TODAY()-40)*([1]!Tabel1[[#This Row],[Er i resplan?]]&lt;&gt;"Ja")*([1]!Tabel1[[#This Row],[Status]]="Pågår")</f>
        <v>0</v>
      </c>
      <c r="AG495" s="12">
        <f ca="1">[1]!Tabel1[[#This Row],[Vægtet Honorar]]*([1]!Tabel1[[#This Row],[Sidst redigeret]]&gt;TODAY()-40)*([1]!Tabel1[[#This Row],[Status]]="Pågår")</f>
        <v>0</v>
      </c>
      <c r="AH495" s="13"/>
      <c r="AI495" s="12"/>
      <c r="AJ495" s="12"/>
      <c r="AK495" s="12"/>
      <c r="AL495" s="12"/>
      <c r="AM495" s="12"/>
      <c r="AN495" s="12"/>
      <c r="AO495" s="12"/>
      <c r="AP495" s="12"/>
    </row>
    <row r="496" spans="1:42">
      <c r="A496" t="s">
        <v>1789</v>
      </c>
      <c r="B496" s="8"/>
      <c r="C496" s="8" t="s">
        <v>1790</v>
      </c>
      <c r="D496" s="8" t="s">
        <v>720</v>
      </c>
      <c r="E496" s="8" t="s">
        <v>71</v>
      </c>
      <c r="F496" s="8" t="s">
        <v>1791</v>
      </c>
      <c r="G496" s="8" t="s">
        <v>1100</v>
      </c>
      <c r="H496" s="9">
        <v>3800000</v>
      </c>
      <c r="I496" s="9">
        <f>[1]!Tabel1[[#This Row],[Honorar]]*[1]!Tabel1[[#This Row],[Sandsynlighed]]</f>
        <v>20000</v>
      </c>
      <c r="J496" s="10" t="s">
        <v>329</v>
      </c>
      <c r="K496" s="10" t="s">
        <v>1062</v>
      </c>
      <c r="L496" s="17"/>
      <c r="M496" s="11">
        <v>1</v>
      </c>
      <c r="N496" s="1">
        <v>5000</v>
      </c>
      <c r="O496" s="10">
        <v>46279.611111111109</v>
      </c>
      <c r="P496" s="10"/>
      <c r="Q496" s="1" t="s">
        <v>46</v>
      </c>
      <c r="R496" s="8" t="s">
        <v>47</v>
      </c>
      <c r="S49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1114.1636141636141</v>
      </c>
      <c r="T49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9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9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9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9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9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9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9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9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9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9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9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96" s="12">
        <f ca="1">[1]!Tabel1[[#This Row],[Vægtet Honorar]]*([1]!Tabel1[[#This Row],[Sidst redigeret]]&gt;TODAY()-40)*([1]!Tabel1[[#This Row],[Er i resplan?]]&lt;&gt;"Ja")*([1]!Tabel1[[#This Row],[Status]]="Pågår")</f>
        <v>0</v>
      </c>
      <c r="AG496" s="12">
        <f ca="1">[1]!Tabel1[[#This Row],[Vægtet Honorar]]*([1]!Tabel1[[#This Row],[Sidst redigeret]]&gt;TODAY()-40)*([1]!Tabel1[[#This Row],[Status]]="Pågår")</f>
        <v>0</v>
      </c>
      <c r="AH496" s="13"/>
      <c r="AI496" s="12"/>
      <c r="AJ496" s="12"/>
      <c r="AK496" s="12"/>
      <c r="AL496" s="12"/>
      <c r="AM496" s="12"/>
      <c r="AN496" s="12"/>
      <c r="AO496" s="12"/>
      <c r="AP496" s="12"/>
    </row>
    <row r="497" spans="1:42">
      <c r="A497" t="s">
        <v>1792</v>
      </c>
      <c r="B497" s="8"/>
      <c r="C497" s="8" t="s">
        <v>1793</v>
      </c>
      <c r="D497" s="8" t="s">
        <v>119</v>
      </c>
      <c r="E497" s="8" t="s">
        <v>120</v>
      </c>
      <c r="F497" s="8" t="s">
        <v>726</v>
      </c>
      <c r="G497" s="8" t="s">
        <v>726</v>
      </c>
      <c r="H497" s="9">
        <v>300000</v>
      </c>
      <c r="I497" s="9">
        <f>[1]!Tabel1[[#This Row],[Honorar]]*[1]!Tabel1[[#This Row],[Sandsynlighed]]</f>
        <v>2000</v>
      </c>
      <c r="J497" s="10" t="s">
        <v>452</v>
      </c>
      <c r="K497" s="10" t="s">
        <v>1061</v>
      </c>
      <c r="L497" s="17"/>
      <c r="M497" s="11">
        <v>0.05</v>
      </c>
      <c r="N497" s="1"/>
      <c r="O497" s="10">
        <v>46279.611111111109</v>
      </c>
      <c r="P497" s="10"/>
      <c r="Q497" s="1" t="s">
        <v>72</v>
      </c>
      <c r="R497" s="8" t="s">
        <v>75</v>
      </c>
      <c r="S49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83.44764517604024</v>
      </c>
      <c r="T49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9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9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9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9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9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9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9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9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9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9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9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97" s="12">
        <f ca="1">[1]!Tabel1[[#This Row],[Vægtet Honorar]]*([1]!Tabel1[[#This Row],[Sidst redigeret]]&gt;TODAY()-40)*([1]!Tabel1[[#This Row],[Er i resplan?]]&lt;&gt;"Ja")*([1]!Tabel1[[#This Row],[Status]]="Pågår")</f>
        <v>2000</v>
      </c>
      <c r="AG497" s="12">
        <f ca="1">[1]!Tabel1[[#This Row],[Vægtet Honorar]]*([1]!Tabel1[[#This Row],[Sidst redigeret]]&gt;TODAY()-40)*([1]!Tabel1[[#This Row],[Status]]="Pågår")</f>
        <v>2000</v>
      </c>
      <c r="AH497" s="13"/>
      <c r="AI497" s="12"/>
      <c r="AJ497" s="12"/>
      <c r="AK497" s="12"/>
      <c r="AL497" s="12"/>
      <c r="AM497" s="12"/>
      <c r="AN497" s="12"/>
      <c r="AO497" s="12"/>
      <c r="AP497" s="12"/>
    </row>
    <row r="498" spans="1:42">
      <c r="A498" t="s">
        <v>1794</v>
      </c>
      <c r="B498" s="8"/>
      <c r="C498" s="8" t="s">
        <v>1795</v>
      </c>
      <c r="D498" s="8" t="s">
        <v>200</v>
      </c>
      <c r="E498" s="8" t="s">
        <v>120</v>
      </c>
      <c r="F498" s="8" t="s">
        <v>691</v>
      </c>
      <c r="G498" s="8" t="s">
        <v>1796</v>
      </c>
      <c r="H498" s="9">
        <v>5000000</v>
      </c>
      <c r="I498" s="9">
        <f>[1]!Tabel1[[#This Row],[Honorar]]*[1]!Tabel1[[#This Row],[Sandsynlighed]]</f>
        <v>0</v>
      </c>
      <c r="J498" s="10" t="s">
        <v>584</v>
      </c>
      <c r="K498" s="10" t="s">
        <v>585</v>
      </c>
      <c r="L498" s="17"/>
      <c r="M498" s="11">
        <v>0.05</v>
      </c>
      <c r="N498" s="1"/>
      <c r="O498" s="10">
        <v>46279.611111111109</v>
      </c>
      <c r="P498" s="10"/>
      <c r="Q498" s="1"/>
      <c r="R498" s="8" t="s">
        <v>75</v>
      </c>
      <c r="S49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49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9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9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9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9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9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9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9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9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9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9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9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98" s="12">
        <f ca="1">[1]!Tabel1[[#This Row],[Vægtet Honorar]]*([1]!Tabel1[[#This Row],[Sidst redigeret]]&gt;TODAY()-40)*([1]!Tabel1[[#This Row],[Er i resplan?]]&lt;&gt;"Ja")*([1]!Tabel1[[#This Row],[Status]]="Pågår")</f>
        <v>0</v>
      </c>
      <c r="AG498" s="12">
        <f ca="1">[1]!Tabel1[[#This Row],[Vægtet Honorar]]*([1]!Tabel1[[#This Row],[Sidst redigeret]]&gt;TODAY()-40)*([1]!Tabel1[[#This Row],[Status]]="Pågår")</f>
        <v>0</v>
      </c>
      <c r="AH498" s="13"/>
      <c r="AI498" s="12"/>
      <c r="AJ498" s="12"/>
      <c r="AK498" s="12"/>
      <c r="AL498" s="12" t="s">
        <v>1797</v>
      </c>
      <c r="AM498" s="12"/>
      <c r="AN498" s="12" t="s">
        <v>1218</v>
      </c>
      <c r="AO498" s="12"/>
      <c r="AP498" s="12"/>
    </row>
    <row r="499" spans="1:42" ht="75">
      <c r="A499" t="s">
        <v>1798</v>
      </c>
      <c r="B499" s="8"/>
      <c r="C499" s="8" t="s">
        <v>1799</v>
      </c>
      <c r="D499" s="8" t="s">
        <v>134</v>
      </c>
      <c r="E499" s="8" t="s">
        <v>94</v>
      </c>
      <c r="F499" s="8" t="s">
        <v>1800</v>
      </c>
      <c r="G499" s="8" t="s">
        <v>756</v>
      </c>
      <c r="H499" s="9">
        <v>75000</v>
      </c>
      <c r="I499" s="9">
        <f>[1]!Tabel1[[#This Row],[Honorar]]*[1]!Tabel1[[#This Row],[Sandsynlighed]]</f>
        <v>160000</v>
      </c>
      <c r="J499" s="10" t="s">
        <v>622</v>
      </c>
      <c r="K499" s="10" t="s">
        <v>622</v>
      </c>
      <c r="L499" s="17" t="s">
        <v>1801</v>
      </c>
      <c r="M499" s="11">
        <v>0.5</v>
      </c>
      <c r="N499" s="1"/>
      <c r="O499" s="10">
        <v>46279.611111111109</v>
      </c>
      <c r="P499" s="1" t="s">
        <v>72</v>
      </c>
      <c r="Q499" s="1"/>
      <c r="R499" s="8" t="s">
        <v>47</v>
      </c>
      <c r="S49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8913.3089133089125</v>
      </c>
      <c r="T49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49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49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49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49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49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49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49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49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49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49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49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499" s="12">
        <f ca="1">[1]!Tabel1[[#This Row],[Vægtet Honorar]]*([1]!Tabel1[[#This Row],[Sidst redigeret]]&gt;TODAY()-40)*([1]!Tabel1[[#This Row],[Er i resplan?]]&lt;&gt;"Ja")*([1]!Tabel1[[#This Row],[Status]]="Pågår")</f>
        <v>0</v>
      </c>
      <c r="AG499" s="12">
        <f ca="1">[1]!Tabel1[[#This Row],[Vægtet Honorar]]*([1]!Tabel1[[#This Row],[Sidst redigeret]]&gt;TODAY()-40)*([1]!Tabel1[[#This Row],[Status]]="Pågår")</f>
        <v>0</v>
      </c>
      <c r="AH499" s="13"/>
      <c r="AI499" s="12"/>
      <c r="AJ499" s="12"/>
      <c r="AK499" s="12"/>
      <c r="AL499" s="12"/>
      <c r="AM499" s="12"/>
      <c r="AN499" s="12"/>
      <c r="AO499" s="12"/>
      <c r="AP499" s="12"/>
    </row>
    <row r="500" spans="1:42" ht="75">
      <c r="A500" t="s">
        <v>1802</v>
      </c>
      <c r="B500" s="8"/>
      <c r="C500" s="8" t="s">
        <v>1803</v>
      </c>
      <c r="D500" s="8" t="s">
        <v>134</v>
      </c>
      <c r="E500" s="8" t="s">
        <v>94</v>
      </c>
      <c r="F500" s="8" t="s">
        <v>1804</v>
      </c>
      <c r="G500" s="8" t="s">
        <v>756</v>
      </c>
      <c r="H500" s="9">
        <v>75000</v>
      </c>
      <c r="I500" s="9">
        <f>[1]!Tabel1[[#This Row],[Honorar]]*[1]!Tabel1[[#This Row],[Sandsynlighed]]</f>
        <v>765000</v>
      </c>
      <c r="J500" s="10" t="s">
        <v>622</v>
      </c>
      <c r="K500" s="10" t="s">
        <v>584</v>
      </c>
      <c r="L500" s="17" t="s">
        <v>1801</v>
      </c>
      <c r="M500" s="11">
        <v>0.5</v>
      </c>
      <c r="N500" s="1"/>
      <c r="O500" s="10">
        <v>46279.611111111109</v>
      </c>
      <c r="P500" s="1" t="s">
        <v>72</v>
      </c>
      <c r="Q500" s="1"/>
      <c r="R500" s="8" t="s">
        <v>49</v>
      </c>
      <c r="S50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0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0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0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0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0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0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0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0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0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0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0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0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00" s="12">
        <f ca="1">[1]!Tabel1[[#This Row],[Vægtet Honorar]]*([1]!Tabel1[[#This Row],[Sidst redigeret]]&gt;TODAY()-40)*([1]!Tabel1[[#This Row],[Er i resplan?]]&lt;&gt;"Ja")*([1]!Tabel1[[#This Row],[Status]]="Pågår")</f>
        <v>0</v>
      </c>
      <c r="AG500" s="12">
        <f ca="1">[1]!Tabel1[[#This Row],[Vægtet Honorar]]*([1]!Tabel1[[#This Row],[Sidst redigeret]]&gt;TODAY()-40)*([1]!Tabel1[[#This Row],[Status]]="Pågår")</f>
        <v>0</v>
      </c>
      <c r="AH500" s="13"/>
      <c r="AI500" s="12"/>
      <c r="AJ500" s="12"/>
      <c r="AK500" s="12"/>
      <c r="AL500" s="12"/>
      <c r="AM500" s="12"/>
      <c r="AN500" s="12"/>
      <c r="AO500" s="12"/>
      <c r="AP500" s="12"/>
    </row>
    <row r="501" spans="1:42">
      <c r="A501" t="s">
        <v>1805</v>
      </c>
      <c r="B501" s="8"/>
      <c r="C501" s="8" t="s">
        <v>1806</v>
      </c>
      <c r="D501" s="8" t="s">
        <v>1807</v>
      </c>
      <c r="E501" s="8" t="s">
        <v>120</v>
      </c>
      <c r="F501" s="8" t="s">
        <v>1808</v>
      </c>
      <c r="G501" s="8" t="s">
        <v>1809</v>
      </c>
      <c r="H501" s="9">
        <v>3000000</v>
      </c>
      <c r="I501" s="9">
        <f>[1]!Tabel1[[#This Row],[Honorar]]*[1]!Tabel1[[#This Row],[Sandsynlighed]]</f>
        <v>3800000</v>
      </c>
      <c r="J501" s="10" t="s">
        <v>1287</v>
      </c>
      <c r="K501" s="10" t="s">
        <v>898</v>
      </c>
      <c r="L501" s="17"/>
      <c r="M501" s="11">
        <v>0.05</v>
      </c>
      <c r="N501" s="1">
        <v>4500</v>
      </c>
      <c r="O501" s="10">
        <v>46279.611111111109</v>
      </c>
      <c r="P501" s="10"/>
      <c r="Q501" s="1" t="s">
        <v>72</v>
      </c>
      <c r="R501" s="8" t="s">
        <v>75</v>
      </c>
      <c r="S50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0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0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0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0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0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0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0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0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0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0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0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0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01" s="12">
        <f ca="1">[1]!Tabel1[[#This Row],[Vægtet Honorar]]*([1]!Tabel1[[#This Row],[Sidst redigeret]]&gt;TODAY()-40)*([1]!Tabel1[[#This Row],[Er i resplan?]]&lt;&gt;"Ja")*([1]!Tabel1[[#This Row],[Status]]="Pågår")</f>
        <v>0</v>
      </c>
      <c r="AG501" s="12">
        <f ca="1">[1]!Tabel1[[#This Row],[Vægtet Honorar]]*([1]!Tabel1[[#This Row],[Sidst redigeret]]&gt;TODAY()-40)*([1]!Tabel1[[#This Row],[Status]]="Pågår")</f>
        <v>0</v>
      </c>
      <c r="AH501" s="13"/>
      <c r="AI501" s="12" t="s">
        <v>1154</v>
      </c>
      <c r="AJ501" s="12" t="s">
        <v>1810</v>
      </c>
      <c r="AK501" s="12"/>
      <c r="AL501" s="12" t="s">
        <v>906</v>
      </c>
      <c r="AM501" s="12" t="s">
        <v>1191</v>
      </c>
      <c r="AN501" s="12" t="s">
        <v>1811</v>
      </c>
      <c r="AO501" s="12"/>
      <c r="AP501" s="12"/>
    </row>
    <row r="502" spans="1:42">
      <c r="A502" t="s">
        <v>1812</v>
      </c>
      <c r="B502" s="8"/>
      <c r="C502" s="8" t="s">
        <v>1813</v>
      </c>
      <c r="D502" s="8" t="s">
        <v>581</v>
      </c>
      <c r="E502" s="8" t="s">
        <v>94</v>
      </c>
      <c r="F502" s="8" t="s">
        <v>844</v>
      </c>
      <c r="G502" s="8" t="s">
        <v>844</v>
      </c>
      <c r="H502" s="9">
        <v>380000</v>
      </c>
      <c r="I502" s="9">
        <f>[1]!Tabel1[[#This Row],[Honorar]]*[1]!Tabel1[[#This Row],[Sandsynlighed]]</f>
        <v>15000</v>
      </c>
      <c r="J502" s="10" t="s">
        <v>622</v>
      </c>
      <c r="K502" s="10" t="s">
        <v>612</v>
      </c>
      <c r="L502" s="17"/>
      <c r="M502" s="11">
        <v>1</v>
      </c>
      <c r="N502" s="1">
        <v>35000</v>
      </c>
      <c r="O502" s="10">
        <v>46279.611111111109</v>
      </c>
      <c r="P502" s="1" t="s">
        <v>72</v>
      </c>
      <c r="Q502" s="1" t="s">
        <v>46</v>
      </c>
      <c r="R502" s="8" t="s">
        <v>47</v>
      </c>
      <c r="S50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0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0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0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0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0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0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0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0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0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0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0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0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02" s="12">
        <f ca="1">[1]!Tabel1[[#This Row],[Vægtet Honorar]]*([1]!Tabel1[[#This Row],[Sidst redigeret]]&gt;TODAY()-40)*([1]!Tabel1[[#This Row],[Er i resplan?]]&lt;&gt;"Ja")*([1]!Tabel1[[#This Row],[Status]]="Pågår")</f>
        <v>0</v>
      </c>
      <c r="AG502" s="12">
        <f ca="1">[1]!Tabel1[[#This Row],[Vægtet Honorar]]*([1]!Tabel1[[#This Row],[Sidst redigeret]]&gt;TODAY()-40)*([1]!Tabel1[[#This Row],[Status]]="Pågår")</f>
        <v>0</v>
      </c>
      <c r="AH502" s="13"/>
      <c r="AI502" s="12"/>
      <c r="AJ502" s="12"/>
      <c r="AK502" s="12"/>
      <c r="AL502" s="12"/>
      <c r="AM502" s="12"/>
      <c r="AN502" s="12"/>
      <c r="AO502" s="12"/>
      <c r="AP502" s="12"/>
    </row>
    <row r="503" spans="1:42" ht="45">
      <c r="A503" t="s">
        <v>1814</v>
      </c>
      <c r="B503" s="8"/>
      <c r="C503" s="8" t="s">
        <v>1815</v>
      </c>
      <c r="D503" s="8" t="s">
        <v>707</v>
      </c>
      <c r="E503" s="8" t="s">
        <v>94</v>
      </c>
      <c r="F503" s="8" t="s">
        <v>1816</v>
      </c>
      <c r="G503" s="8" t="s">
        <v>1816</v>
      </c>
      <c r="H503" s="9">
        <v>50000</v>
      </c>
      <c r="I503" s="9">
        <f>[1]!Tabel1[[#This Row],[Honorar]]*[1]!Tabel1[[#This Row],[Sandsynlighed]]</f>
        <v>250000</v>
      </c>
      <c r="J503" s="10" t="s">
        <v>622</v>
      </c>
      <c r="K503" s="10" t="s">
        <v>612</v>
      </c>
      <c r="L503" s="17" t="s">
        <v>1817</v>
      </c>
      <c r="M503" s="11">
        <v>0.8</v>
      </c>
      <c r="N503" s="1">
        <v>5000</v>
      </c>
      <c r="O503" s="10">
        <v>46279.611111111109</v>
      </c>
      <c r="P503" s="1" t="s">
        <v>72</v>
      </c>
      <c r="Q503" s="1"/>
      <c r="R503" s="8" t="s">
        <v>47</v>
      </c>
      <c r="S50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0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0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0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0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0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0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0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0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0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0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0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0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03" s="12">
        <f ca="1">[1]!Tabel1[[#This Row],[Vægtet Honorar]]*([1]!Tabel1[[#This Row],[Sidst redigeret]]&gt;TODAY()-40)*([1]!Tabel1[[#This Row],[Er i resplan?]]&lt;&gt;"Ja")*([1]!Tabel1[[#This Row],[Status]]="Pågår")</f>
        <v>0</v>
      </c>
      <c r="AG503" s="12">
        <f ca="1">[1]!Tabel1[[#This Row],[Vægtet Honorar]]*([1]!Tabel1[[#This Row],[Sidst redigeret]]&gt;TODAY()-40)*([1]!Tabel1[[#This Row],[Status]]="Pågår")</f>
        <v>0</v>
      </c>
      <c r="AH503" s="13"/>
      <c r="AI503" s="12"/>
      <c r="AJ503" s="12"/>
      <c r="AK503" s="12"/>
      <c r="AL503" s="12"/>
      <c r="AM503" s="12"/>
      <c r="AN503" s="12"/>
      <c r="AO503" s="12"/>
      <c r="AP503" s="12"/>
    </row>
    <row r="504" spans="1:42" ht="30">
      <c r="A504" t="s">
        <v>1818</v>
      </c>
      <c r="B504" s="8"/>
      <c r="C504" s="8" t="s">
        <v>1819</v>
      </c>
      <c r="D504" s="8" t="s">
        <v>1819</v>
      </c>
      <c r="E504" s="8" t="s">
        <v>167</v>
      </c>
      <c r="F504" s="8" t="s">
        <v>1819</v>
      </c>
      <c r="G504" s="8" t="s">
        <v>1819</v>
      </c>
      <c r="H504" s="9">
        <v>1</v>
      </c>
      <c r="I504" s="9">
        <f>[1]!Tabel1[[#This Row],[Honorar]]*[1]!Tabel1[[#This Row],[Sandsynlighed]]</f>
        <v>37500</v>
      </c>
      <c r="J504" s="10" t="s">
        <v>622</v>
      </c>
      <c r="K504" s="10" t="s">
        <v>612</v>
      </c>
      <c r="L504" s="17" t="s">
        <v>1819</v>
      </c>
      <c r="M504" s="11">
        <v>0.01</v>
      </c>
      <c r="N504" s="1">
        <v>1</v>
      </c>
      <c r="O504" s="10">
        <v>46279.611111111109</v>
      </c>
      <c r="P504" s="10"/>
      <c r="Q504" s="1"/>
      <c r="R504" s="8" t="s">
        <v>49</v>
      </c>
      <c r="S50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12534.34065934066</v>
      </c>
      <c r="T50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0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0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0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0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0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0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0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0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0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0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0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04" s="12">
        <f ca="1">[1]!Tabel1[[#This Row],[Vægtet Honorar]]*([1]!Tabel1[[#This Row],[Sidst redigeret]]&gt;TODAY()-40)*([1]!Tabel1[[#This Row],[Er i resplan?]]&lt;&gt;"Ja")*([1]!Tabel1[[#This Row],[Status]]="Pågår")</f>
        <v>0</v>
      </c>
      <c r="AG504" s="12">
        <f ca="1">[1]!Tabel1[[#This Row],[Vægtet Honorar]]*([1]!Tabel1[[#This Row],[Sidst redigeret]]&gt;TODAY()-40)*([1]!Tabel1[[#This Row],[Status]]="Pågår")</f>
        <v>0</v>
      </c>
      <c r="AH504" s="13"/>
      <c r="AI504" s="12"/>
      <c r="AJ504" s="12"/>
      <c r="AK504" s="12"/>
      <c r="AL504" s="12"/>
      <c r="AM504" s="12"/>
      <c r="AN504" s="12"/>
      <c r="AO504" s="12"/>
      <c r="AP504" s="12"/>
    </row>
    <row r="505" spans="1:42">
      <c r="A505" t="s">
        <v>1820</v>
      </c>
      <c r="B505" s="8"/>
      <c r="C505" s="8" t="s">
        <v>1740</v>
      </c>
      <c r="D505" s="8" t="s">
        <v>70</v>
      </c>
      <c r="E505" s="8" t="s">
        <v>102</v>
      </c>
      <c r="F505" s="8" t="s">
        <v>919</v>
      </c>
      <c r="G505" s="8" t="s">
        <v>919</v>
      </c>
      <c r="H505" s="9">
        <v>20000000</v>
      </c>
      <c r="I505" s="9">
        <f>[1]!Tabel1[[#This Row],[Honorar]]*[1]!Tabel1[[#This Row],[Sandsynlighed]]</f>
        <v>37500</v>
      </c>
      <c r="J505" s="10" t="s">
        <v>584</v>
      </c>
      <c r="K505" s="10" t="s">
        <v>342</v>
      </c>
      <c r="L505" s="17"/>
      <c r="M505" s="11">
        <v>0.1</v>
      </c>
      <c r="N505" s="1" t="s">
        <v>919</v>
      </c>
      <c r="O505" s="10">
        <v>46279.611111111109</v>
      </c>
      <c r="P505" s="10"/>
      <c r="Q505" s="1" t="s">
        <v>46</v>
      </c>
      <c r="R505" s="8" t="s">
        <v>75</v>
      </c>
      <c r="S50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6267.1703296703299</v>
      </c>
      <c r="T50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0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0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0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0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0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0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0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0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0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0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0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05" s="12">
        <f ca="1">[1]!Tabel1[[#This Row],[Vægtet Honorar]]*([1]!Tabel1[[#This Row],[Sidst redigeret]]&gt;TODAY()-40)*([1]!Tabel1[[#This Row],[Er i resplan?]]&lt;&gt;"Ja")*([1]!Tabel1[[#This Row],[Status]]="Pågår")</f>
        <v>0</v>
      </c>
      <c r="AG505" s="12">
        <f ca="1">[1]!Tabel1[[#This Row],[Vægtet Honorar]]*([1]!Tabel1[[#This Row],[Sidst redigeret]]&gt;TODAY()-40)*([1]!Tabel1[[#This Row],[Status]]="Pågår")</f>
        <v>0</v>
      </c>
      <c r="AH505" s="13"/>
      <c r="AI505" s="12"/>
      <c r="AJ505" s="12"/>
      <c r="AK505" s="12"/>
      <c r="AL505" s="12"/>
      <c r="AM505" s="12"/>
      <c r="AN505" s="12"/>
      <c r="AO505" s="12"/>
      <c r="AP505" s="12"/>
    </row>
    <row r="506" spans="1:42" ht="105">
      <c r="A506" t="s">
        <v>1821</v>
      </c>
      <c r="B506" s="8"/>
      <c r="C506" s="8" t="s">
        <v>1822</v>
      </c>
      <c r="D506" s="8" t="s">
        <v>1623</v>
      </c>
      <c r="E506" s="8" t="s">
        <v>102</v>
      </c>
      <c r="F506" s="8" t="s">
        <v>919</v>
      </c>
      <c r="G506" s="8" t="s">
        <v>919</v>
      </c>
      <c r="H506" s="9">
        <v>20000000</v>
      </c>
      <c r="I506" s="9">
        <f>[1]!Tabel1[[#This Row],[Honorar]]*[1]!Tabel1[[#This Row],[Sandsynlighed]]</f>
        <v>150000</v>
      </c>
      <c r="J506" s="10" t="s">
        <v>1191</v>
      </c>
      <c r="K506" s="10" t="s">
        <v>1709</v>
      </c>
      <c r="L506" s="17" t="s">
        <v>1823</v>
      </c>
      <c r="M506" s="11">
        <v>0.02</v>
      </c>
      <c r="N506" s="1" t="s">
        <v>919</v>
      </c>
      <c r="O506" s="10">
        <v>46279.611111111109</v>
      </c>
      <c r="P506" s="10"/>
      <c r="Q506" s="1" t="s">
        <v>72</v>
      </c>
      <c r="R506" s="8" t="s">
        <v>49</v>
      </c>
      <c r="S50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0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0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0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0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0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0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0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0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0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0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0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0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06" s="12">
        <f ca="1">[1]!Tabel1[[#This Row],[Vægtet Honorar]]*([1]!Tabel1[[#This Row],[Sidst redigeret]]&gt;TODAY()-40)*([1]!Tabel1[[#This Row],[Er i resplan?]]&lt;&gt;"Ja")*([1]!Tabel1[[#This Row],[Status]]="Pågår")</f>
        <v>0</v>
      </c>
      <c r="AG506" s="12">
        <f ca="1">[1]!Tabel1[[#This Row],[Vægtet Honorar]]*([1]!Tabel1[[#This Row],[Sidst redigeret]]&gt;TODAY()-40)*([1]!Tabel1[[#This Row],[Status]]="Pågår")</f>
        <v>0</v>
      </c>
      <c r="AH506" s="13"/>
      <c r="AI506" s="12"/>
      <c r="AJ506" s="12"/>
      <c r="AK506" s="12"/>
      <c r="AL506" s="12"/>
      <c r="AM506" s="12"/>
      <c r="AN506" s="12"/>
      <c r="AO506" s="12"/>
      <c r="AP506" s="12"/>
    </row>
    <row r="507" spans="1:42">
      <c r="A507" t="s">
        <v>1824</v>
      </c>
      <c r="B507" s="8"/>
      <c r="C507" s="8" t="s">
        <v>1825</v>
      </c>
      <c r="D507" s="8" t="s">
        <v>70</v>
      </c>
      <c r="E507" s="8" t="s">
        <v>102</v>
      </c>
      <c r="F507" s="8" t="s">
        <v>1119</v>
      </c>
      <c r="G507" s="8" t="s">
        <v>1119</v>
      </c>
      <c r="H507" s="9">
        <v>3000000</v>
      </c>
      <c r="I507" s="9">
        <f>[1]!Tabel1[[#This Row],[Honorar]]*[1]!Tabel1[[#This Row],[Sandsynlighed]]</f>
        <v>380000</v>
      </c>
      <c r="J507" s="10" t="s">
        <v>328</v>
      </c>
      <c r="K507" s="10" t="s">
        <v>1310</v>
      </c>
      <c r="L507" s="17"/>
      <c r="M507" s="11">
        <v>0.25</v>
      </c>
      <c r="N507" s="1">
        <v>4500</v>
      </c>
      <c r="O507" s="10">
        <v>46279.611111111109</v>
      </c>
      <c r="P507" s="10"/>
      <c r="Q507" s="1" t="s">
        <v>46</v>
      </c>
      <c r="R507" s="8" t="s">
        <v>49</v>
      </c>
      <c r="S50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0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0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0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0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0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0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0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0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0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0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0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0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07" s="12">
        <f ca="1">[1]!Tabel1[[#This Row],[Vægtet Honorar]]*([1]!Tabel1[[#This Row],[Sidst redigeret]]&gt;TODAY()-40)*([1]!Tabel1[[#This Row],[Er i resplan?]]&lt;&gt;"Ja")*([1]!Tabel1[[#This Row],[Status]]="Pågår")</f>
        <v>0</v>
      </c>
      <c r="AG507" s="12">
        <f ca="1">[1]!Tabel1[[#This Row],[Vægtet Honorar]]*([1]!Tabel1[[#This Row],[Sidst redigeret]]&gt;TODAY()-40)*([1]!Tabel1[[#This Row],[Status]]="Pågår")</f>
        <v>0</v>
      </c>
      <c r="AH507" s="13"/>
      <c r="AI507" s="12"/>
      <c r="AJ507" s="12"/>
      <c r="AK507" s="12"/>
      <c r="AL507" s="12"/>
      <c r="AM507" s="12"/>
      <c r="AN507" s="12"/>
      <c r="AO507" s="12"/>
      <c r="AP507" s="12"/>
    </row>
    <row r="508" spans="1:42" ht="30">
      <c r="A508" t="s">
        <v>1826</v>
      </c>
      <c r="B508" s="8"/>
      <c r="C508" s="8" t="s">
        <v>1827</v>
      </c>
      <c r="D508" s="8" t="s">
        <v>134</v>
      </c>
      <c r="E508" s="8" t="s">
        <v>94</v>
      </c>
      <c r="F508" s="8" t="s">
        <v>1800</v>
      </c>
      <c r="G508" s="8" t="s">
        <v>756</v>
      </c>
      <c r="H508" s="9">
        <v>100000</v>
      </c>
      <c r="I508" s="9">
        <f>[1]!Tabel1[[#This Row],[Honorar]]*[1]!Tabel1[[#This Row],[Sandsynlighed]]</f>
        <v>40000</v>
      </c>
      <c r="J508" s="10" t="s">
        <v>622</v>
      </c>
      <c r="K508" s="10" t="s">
        <v>328</v>
      </c>
      <c r="L508" s="17" t="s">
        <v>1828</v>
      </c>
      <c r="M508" s="11">
        <v>0.5</v>
      </c>
      <c r="N508" s="1"/>
      <c r="O508" s="10">
        <v>46279.611111111109</v>
      </c>
      <c r="P508" s="1" t="s">
        <v>72</v>
      </c>
      <c r="Q508" s="1" t="s">
        <v>46</v>
      </c>
      <c r="R508" s="8" t="s">
        <v>49</v>
      </c>
      <c r="S50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2662.2902990517873</v>
      </c>
      <c r="T50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0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0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0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0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0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0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0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0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0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0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0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08" s="12">
        <f ca="1">[1]!Tabel1[[#This Row],[Vægtet Honorar]]*([1]!Tabel1[[#This Row],[Sidst redigeret]]&gt;TODAY()-40)*([1]!Tabel1[[#This Row],[Er i resplan?]]&lt;&gt;"Ja")*([1]!Tabel1[[#This Row],[Status]]="Pågår")</f>
        <v>0</v>
      </c>
      <c r="AG508" s="12">
        <f ca="1">[1]!Tabel1[[#This Row],[Vægtet Honorar]]*([1]!Tabel1[[#This Row],[Sidst redigeret]]&gt;TODAY()-40)*([1]!Tabel1[[#This Row],[Status]]="Pågår")</f>
        <v>0</v>
      </c>
      <c r="AH508" s="13"/>
      <c r="AI508" s="12"/>
      <c r="AJ508" s="12"/>
      <c r="AK508" s="12"/>
      <c r="AL508" s="12"/>
      <c r="AM508" s="12"/>
      <c r="AN508" s="12"/>
      <c r="AO508" s="12"/>
      <c r="AP508" s="12"/>
    </row>
    <row r="509" spans="1:42" ht="30">
      <c r="A509" t="s">
        <v>1829</v>
      </c>
      <c r="B509" s="8"/>
      <c r="C509" s="8" t="s">
        <v>1830</v>
      </c>
      <c r="D509" s="8" t="s">
        <v>134</v>
      </c>
      <c r="E509" s="8" t="s">
        <v>94</v>
      </c>
      <c r="F509" s="8" t="s">
        <v>1804</v>
      </c>
      <c r="G509" s="8" t="s">
        <v>756</v>
      </c>
      <c r="H509" s="9">
        <v>150000</v>
      </c>
      <c r="I509" s="9">
        <f>[1]!Tabel1[[#This Row],[Honorar]]*[1]!Tabel1[[#This Row],[Sandsynlighed]]</f>
        <v>0.01</v>
      </c>
      <c r="J509" s="10" t="s">
        <v>584</v>
      </c>
      <c r="K509" s="10" t="s">
        <v>328</v>
      </c>
      <c r="L509" s="17" t="s">
        <v>1828</v>
      </c>
      <c r="M509" s="11">
        <v>0.5</v>
      </c>
      <c r="N509" s="1"/>
      <c r="O509" s="10">
        <v>46279.611111111109</v>
      </c>
      <c r="P509" s="1" t="s">
        <v>72</v>
      </c>
      <c r="Q509" s="1" t="s">
        <v>46</v>
      </c>
      <c r="R509" s="8" t="s">
        <v>49</v>
      </c>
      <c r="S50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6.6557257476294667E-4</v>
      </c>
      <c r="T50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0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0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0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0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0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0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0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0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0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0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0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09" s="12">
        <f ca="1">[1]!Tabel1[[#This Row],[Vægtet Honorar]]*([1]!Tabel1[[#This Row],[Sidst redigeret]]&gt;TODAY()-40)*([1]!Tabel1[[#This Row],[Er i resplan?]]&lt;&gt;"Ja")*([1]!Tabel1[[#This Row],[Status]]="Pågår")</f>
        <v>0</v>
      </c>
      <c r="AG509" s="12">
        <f ca="1">[1]!Tabel1[[#This Row],[Vægtet Honorar]]*([1]!Tabel1[[#This Row],[Sidst redigeret]]&gt;TODAY()-40)*([1]!Tabel1[[#This Row],[Status]]="Pågår")</f>
        <v>0</v>
      </c>
      <c r="AH509" s="13"/>
      <c r="AI509" s="12"/>
      <c r="AJ509" s="12"/>
      <c r="AK509" s="12"/>
      <c r="AL509" s="12"/>
      <c r="AM509" s="12"/>
      <c r="AN509" s="12"/>
      <c r="AO509" s="12"/>
      <c r="AP509" s="12"/>
    </row>
    <row r="510" spans="1:42">
      <c r="A510" t="s">
        <v>1831</v>
      </c>
      <c r="B510" s="8"/>
      <c r="C510" s="8" t="s">
        <v>1832</v>
      </c>
      <c r="D510" s="8" t="s">
        <v>859</v>
      </c>
      <c r="E510" s="8" t="s">
        <v>71</v>
      </c>
      <c r="F510" s="8" t="s">
        <v>1833</v>
      </c>
      <c r="G510" s="8" t="s">
        <v>1833</v>
      </c>
      <c r="H510" s="9">
        <v>420000</v>
      </c>
      <c r="I510" s="9">
        <f>[1]!Tabel1[[#This Row],[Honorar]]*[1]!Tabel1[[#This Row],[Sandsynlighed]]</f>
        <v>2000000</v>
      </c>
      <c r="J510" s="10" t="s">
        <v>612</v>
      </c>
      <c r="K510" s="10" t="s">
        <v>452</v>
      </c>
      <c r="L510" s="17"/>
      <c r="M510" s="11">
        <v>1</v>
      </c>
      <c r="N510" s="1"/>
      <c r="O510" s="10">
        <v>46279.611111111109</v>
      </c>
      <c r="P510" s="10"/>
      <c r="Q510" s="1" t="s">
        <v>46</v>
      </c>
      <c r="R510" s="8" t="s">
        <v>47</v>
      </c>
      <c r="S51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1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1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1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1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1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1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1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1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1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1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1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1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10" s="12">
        <f ca="1">[1]!Tabel1[[#This Row],[Vægtet Honorar]]*([1]!Tabel1[[#This Row],[Sidst redigeret]]&gt;TODAY()-40)*([1]!Tabel1[[#This Row],[Er i resplan?]]&lt;&gt;"Ja")*([1]!Tabel1[[#This Row],[Status]]="Pågår")</f>
        <v>0</v>
      </c>
      <c r="AG510" s="12">
        <f ca="1">[1]!Tabel1[[#This Row],[Vægtet Honorar]]*([1]!Tabel1[[#This Row],[Sidst redigeret]]&gt;TODAY()-40)*([1]!Tabel1[[#This Row],[Status]]="Pågår")</f>
        <v>0</v>
      </c>
      <c r="AH510" s="13"/>
      <c r="AI510" s="12"/>
      <c r="AJ510" s="12"/>
      <c r="AK510" s="12"/>
      <c r="AL510" s="12"/>
      <c r="AM510" s="12"/>
      <c r="AN510" s="12"/>
      <c r="AO510" s="12"/>
      <c r="AP510" s="12"/>
    </row>
    <row r="511" spans="1:42">
      <c r="A511" t="s">
        <v>1834</v>
      </c>
      <c r="B511" s="8"/>
      <c r="C511" s="8" t="s">
        <v>1835</v>
      </c>
      <c r="D511" s="8" t="s">
        <v>57</v>
      </c>
      <c r="E511" s="8" t="s">
        <v>167</v>
      </c>
      <c r="F511" s="8" t="s">
        <v>1357</v>
      </c>
      <c r="G511" s="8" t="s">
        <v>1357</v>
      </c>
      <c r="H511" s="9">
        <v>2000000</v>
      </c>
      <c r="I511" s="9">
        <f>[1]!Tabel1[[#This Row],[Honorar]]*[1]!Tabel1[[#This Row],[Sandsynlighed]]</f>
        <v>400000</v>
      </c>
      <c r="J511" s="10" t="s">
        <v>584</v>
      </c>
      <c r="K511" s="10" t="s">
        <v>1287</v>
      </c>
      <c r="L511" s="17" t="s">
        <v>1836</v>
      </c>
      <c r="M511" s="11">
        <v>0</v>
      </c>
      <c r="N511" s="1">
        <v>5800</v>
      </c>
      <c r="O511" s="10">
        <v>46279.611111111109</v>
      </c>
      <c r="P511" s="10"/>
      <c r="Q511" s="1" t="s">
        <v>72</v>
      </c>
      <c r="R511" s="8" t="s">
        <v>75</v>
      </c>
      <c r="S51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12130.275839149219</v>
      </c>
      <c r="T51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12130.275839149219</v>
      </c>
      <c r="U51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12130.275839149219</v>
      </c>
      <c r="V51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12130.275839149219</v>
      </c>
      <c r="W51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12130.275839149219</v>
      </c>
      <c r="X51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12130.275839149219</v>
      </c>
      <c r="Y51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12130.275839149219</v>
      </c>
      <c r="Z51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12130.275839149219</v>
      </c>
      <c r="AA51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12130.275839149219</v>
      </c>
      <c r="AB51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12130.275839149219</v>
      </c>
      <c r="AC51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12130.275839149219</v>
      </c>
      <c r="AD51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12130.275839149219</v>
      </c>
      <c r="AE51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12130.275839149219</v>
      </c>
      <c r="AF511" s="12">
        <f ca="1">[1]!Tabel1[[#This Row],[Vægtet Honorar]]*([1]!Tabel1[[#This Row],[Sidst redigeret]]&gt;TODAY()-40)*([1]!Tabel1[[#This Row],[Er i resplan?]]&lt;&gt;"Ja")*([1]!Tabel1[[#This Row],[Status]]="Pågår")</f>
        <v>0</v>
      </c>
      <c r="AG511" s="12">
        <f ca="1">[1]!Tabel1[[#This Row],[Vægtet Honorar]]*([1]!Tabel1[[#This Row],[Sidst redigeret]]&gt;TODAY()-40)*([1]!Tabel1[[#This Row],[Status]]="Pågår")</f>
        <v>0</v>
      </c>
      <c r="AH511" s="13"/>
      <c r="AI511" s="12"/>
      <c r="AJ511" s="12" t="s">
        <v>384</v>
      </c>
      <c r="AK511" s="12" t="s">
        <v>1837</v>
      </c>
      <c r="AL511" s="12"/>
      <c r="AM511" s="12"/>
      <c r="AN511" s="12"/>
      <c r="AO511" s="12"/>
      <c r="AP511" s="12"/>
    </row>
    <row r="512" spans="1:42" ht="45">
      <c r="A512" t="s">
        <v>1838</v>
      </c>
      <c r="B512" s="8"/>
      <c r="C512" s="8" t="s">
        <v>1839</v>
      </c>
      <c r="D512" s="8" t="s">
        <v>581</v>
      </c>
      <c r="E512" s="8" t="s">
        <v>94</v>
      </c>
      <c r="F512" s="8" t="s">
        <v>1840</v>
      </c>
      <c r="G512" s="8" t="s">
        <v>1840</v>
      </c>
      <c r="H512" s="9">
        <v>970000</v>
      </c>
      <c r="I512" s="9">
        <f>[1]!Tabel1[[#This Row],[Honorar]]*[1]!Tabel1[[#This Row],[Sandsynlighed]]</f>
        <v>750000</v>
      </c>
      <c r="J512" s="10" t="s">
        <v>622</v>
      </c>
      <c r="K512" s="10" t="s">
        <v>1287</v>
      </c>
      <c r="L512" s="17" t="s">
        <v>252</v>
      </c>
      <c r="M512" s="11">
        <v>1</v>
      </c>
      <c r="N512" s="1">
        <v>11000</v>
      </c>
      <c r="O512" s="10">
        <v>46279.611111111109</v>
      </c>
      <c r="P512" s="1" t="s">
        <v>72</v>
      </c>
      <c r="Q512" s="1" t="s">
        <v>46</v>
      </c>
      <c r="R512" s="8" t="s">
        <v>47</v>
      </c>
      <c r="S51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1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1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1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1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1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1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1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1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1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1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1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1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12" s="12">
        <f ca="1">[1]!Tabel1[[#This Row],[Vægtet Honorar]]*([1]!Tabel1[[#This Row],[Sidst redigeret]]&gt;TODAY()-40)*([1]!Tabel1[[#This Row],[Er i resplan?]]&lt;&gt;"Ja")*([1]!Tabel1[[#This Row],[Status]]="Pågår")</f>
        <v>0</v>
      </c>
      <c r="AG512" s="12">
        <f ca="1">[1]!Tabel1[[#This Row],[Vægtet Honorar]]*([1]!Tabel1[[#This Row],[Sidst redigeret]]&gt;TODAY()-40)*([1]!Tabel1[[#This Row],[Status]]="Pågår")</f>
        <v>0</v>
      </c>
      <c r="AH512" s="13"/>
      <c r="AI512" s="12"/>
      <c r="AJ512" s="12"/>
      <c r="AK512" s="12"/>
      <c r="AL512" s="12"/>
      <c r="AM512" s="12"/>
      <c r="AN512" s="12"/>
      <c r="AO512" s="12"/>
      <c r="AP512" s="12"/>
    </row>
    <row r="513" spans="1:42">
      <c r="A513" t="s">
        <v>1841</v>
      </c>
      <c r="B513" s="8"/>
      <c r="C513" s="8" t="s">
        <v>1842</v>
      </c>
      <c r="D513" s="8" t="s">
        <v>707</v>
      </c>
      <c r="E513" s="8" t="s">
        <v>94</v>
      </c>
      <c r="F513" s="8" t="s">
        <v>1843</v>
      </c>
      <c r="G513" s="8" t="s">
        <v>1844</v>
      </c>
      <c r="H513" s="9">
        <v>100000</v>
      </c>
      <c r="I513" s="9">
        <f>[1]!Tabel1[[#This Row],[Honorar]]*[1]!Tabel1[[#This Row],[Sandsynlighed]]</f>
        <v>50000</v>
      </c>
      <c r="J513" s="10" t="s">
        <v>622</v>
      </c>
      <c r="K513" s="10" t="s">
        <v>584</v>
      </c>
      <c r="L513" s="17"/>
      <c r="M513" s="11">
        <v>0.35</v>
      </c>
      <c r="N513" s="1">
        <v>50</v>
      </c>
      <c r="O513" s="10">
        <v>46279.611111111109</v>
      </c>
      <c r="P513" s="1" t="s">
        <v>46</v>
      </c>
      <c r="Q513" s="1" t="s">
        <v>72</v>
      </c>
      <c r="R513" s="8" t="s">
        <v>47</v>
      </c>
      <c r="S51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1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1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1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1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1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1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1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1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1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1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1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1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13" s="12">
        <f ca="1">[1]!Tabel1[[#This Row],[Vægtet Honorar]]*([1]!Tabel1[[#This Row],[Sidst redigeret]]&gt;TODAY()-40)*([1]!Tabel1[[#This Row],[Er i resplan?]]&lt;&gt;"Ja")*([1]!Tabel1[[#This Row],[Status]]="Pågår")</f>
        <v>0</v>
      </c>
      <c r="AG513" s="12">
        <f ca="1">[1]!Tabel1[[#This Row],[Vægtet Honorar]]*([1]!Tabel1[[#This Row],[Sidst redigeret]]&gt;TODAY()-40)*([1]!Tabel1[[#This Row],[Status]]="Pågår")</f>
        <v>0</v>
      </c>
      <c r="AH513" s="13"/>
      <c r="AI513" s="12"/>
      <c r="AJ513" s="12"/>
      <c r="AK513" s="12"/>
      <c r="AL513" s="12"/>
      <c r="AM513" s="12"/>
      <c r="AN513" s="12"/>
      <c r="AO513" s="12"/>
      <c r="AP513" s="12"/>
    </row>
    <row r="514" spans="1:42" ht="45">
      <c r="A514" t="s">
        <v>1845</v>
      </c>
      <c r="B514" s="8"/>
      <c r="C514" s="8" t="s">
        <v>1846</v>
      </c>
      <c r="D514" s="8" t="s">
        <v>707</v>
      </c>
      <c r="E514" s="8" t="s">
        <v>94</v>
      </c>
      <c r="F514" s="8" t="s">
        <v>1843</v>
      </c>
      <c r="G514" s="8" t="s">
        <v>1844</v>
      </c>
      <c r="H514" s="9">
        <v>200000</v>
      </c>
      <c r="I514" s="9">
        <f>[1]!Tabel1[[#This Row],[Honorar]]*[1]!Tabel1[[#This Row],[Sandsynlighed]]</f>
        <v>75000</v>
      </c>
      <c r="J514" s="10" t="s">
        <v>584</v>
      </c>
      <c r="K514" s="10" t="s">
        <v>328</v>
      </c>
      <c r="L514" s="17" t="s">
        <v>1847</v>
      </c>
      <c r="M514" s="11">
        <v>0.3</v>
      </c>
      <c r="N514" s="1">
        <v>6000</v>
      </c>
      <c r="O514" s="10">
        <v>46279.611111111109</v>
      </c>
      <c r="P514" s="1" t="s">
        <v>46</v>
      </c>
      <c r="Q514" s="1" t="s">
        <v>72</v>
      </c>
      <c r="R514" s="8" t="s">
        <v>47</v>
      </c>
      <c r="S51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1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1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1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1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1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1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1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1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1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1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1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1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14" s="12">
        <f ca="1">[1]!Tabel1[[#This Row],[Vægtet Honorar]]*([1]!Tabel1[[#This Row],[Sidst redigeret]]&gt;TODAY()-40)*([1]!Tabel1[[#This Row],[Er i resplan?]]&lt;&gt;"Ja")*([1]!Tabel1[[#This Row],[Status]]="Pågår")</f>
        <v>0</v>
      </c>
      <c r="AG514" s="12">
        <f ca="1">[1]!Tabel1[[#This Row],[Vægtet Honorar]]*([1]!Tabel1[[#This Row],[Sidst redigeret]]&gt;TODAY()-40)*([1]!Tabel1[[#This Row],[Status]]="Pågår")</f>
        <v>0</v>
      </c>
      <c r="AH514" s="13"/>
      <c r="AI514" s="12"/>
      <c r="AJ514" s="12"/>
      <c r="AK514" s="12"/>
      <c r="AL514" s="12"/>
      <c r="AM514" s="12"/>
      <c r="AN514" s="12"/>
      <c r="AO514" s="12"/>
      <c r="AP514" s="12"/>
    </row>
    <row r="515" spans="1:42" ht="60">
      <c r="A515" t="s">
        <v>1848</v>
      </c>
      <c r="B515" s="8"/>
      <c r="C515" s="8" t="s">
        <v>1849</v>
      </c>
      <c r="D515" s="8" t="s">
        <v>707</v>
      </c>
      <c r="E515" s="8" t="s">
        <v>94</v>
      </c>
      <c r="F515" s="8"/>
      <c r="G515" s="8" t="s">
        <v>1850</v>
      </c>
      <c r="H515" s="9">
        <v>80000</v>
      </c>
      <c r="I515" s="9">
        <f>[1]!Tabel1[[#This Row],[Honorar]]*[1]!Tabel1[[#This Row],[Sandsynlighed]]</f>
        <v>420000</v>
      </c>
      <c r="J515" s="10" t="s">
        <v>328</v>
      </c>
      <c r="K515" s="10" t="s">
        <v>452</v>
      </c>
      <c r="L515" s="17" t="s">
        <v>1851</v>
      </c>
      <c r="M515" s="11">
        <v>0.5</v>
      </c>
      <c r="N515" s="1"/>
      <c r="O515" s="10">
        <v>46279.611111111109</v>
      </c>
      <c r="P515" s="1" t="s">
        <v>72</v>
      </c>
      <c r="Q515" s="1" t="s">
        <v>72</v>
      </c>
      <c r="R515" s="8" t="s">
        <v>49</v>
      </c>
      <c r="S51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1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1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1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1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1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1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1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1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1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1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1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1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15" s="12">
        <f ca="1">[1]!Tabel1[[#This Row],[Vægtet Honorar]]*([1]!Tabel1[[#This Row],[Sidst redigeret]]&gt;TODAY()-40)*([1]!Tabel1[[#This Row],[Er i resplan?]]&lt;&gt;"Ja")*([1]!Tabel1[[#This Row],[Status]]="Pågår")</f>
        <v>0</v>
      </c>
      <c r="AG515" s="12">
        <f ca="1">[1]!Tabel1[[#This Row],[Vægtet Honorar]]*([1]!Tabel1[[#This Row],[Sidst redigeret]]&gt;TODAY()-40)*([1]!Tabel1[[#This Row],[Status]]="Pågår")</f>
        <v>0</v>
      </c>
      <c r="AH515" s="13"/>
      <c r="AI515" s="12"/>
      <c r="AJ515" s="12"/>
      <c r="AK515" s="12"/>
      <c r="AL515" s="12"/>
      <c r="AM515" s="12"/>
      <c r="AN515" s="12"/>
      <c r="AO515" s="12"/>
      <c r="AP515" s="12"/>
    </row>
    <row r="516" spans="1:42" ht="75">
      <c r="A516" t="s">
        <v>1852</v>
      </c>
      <c r="B516" s="8"/>
      <c r="C516" s="8" t="s">
        <v>1853</v>
      </c>
      <c r="D516" s="8" t="s">
        <v>57</v>
      </c>
      <c r="E516" s="8" t="s">
        <v>94</v>
      </c>
      <c r="F516" s="8" t="s">
        <v>1198</v>
      </c>
      <c r="G516" s="8" t="s">
        <v>1854</v>
      </c>
      <c r="H516" s="9">
        <v>4000000</v>
      </c>
      <c r="I516" s="9">
        <f>[1]!Tabel1[[#This Row],[Honorar]]*[1]!Tabel1[[#This Row],[Sandsynlighed]]</f>
        <v>0</v>
      </c>
      <c r="J516" s="10" t="s">
        <v>622</v>
      </c>
      <c r="K516" s="10" t="s">
        <v>1191</v>
      </c>
      <c r="L516" s="17" t="s">
        <v>1855</v>
      </c>
      <c r="M516" s="11">
        <v>0</v>
      </c>
      <c r="N516" s="1"/>
      <c r="O516" s="10">
        <v>46279.611111111109</v>
      </c>
      <c r="P516" s="1" t="s">
        <v>72</v>
      </c>
      <c r="Q516" s="1" t="s">
        <v>72</v>
      </c>
      <c r="R516" s="8" t="s">
        <v>49</v>
      </c>
      <c r="S51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1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1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1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1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1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1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1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1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1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1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1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1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16" s="12">
        <f ca="1">[1]!Tabel1[[#This Row],[Vægtet Honorar]]*([1]!Tabel1[[#This Row],[Sidst redigeret]]&gt;TODAY()-40)*([1]!Tabel1[[#This Row],[Er i resplan?]]&lt;&gt;"Ja")*([1]!Tabel1[[#This Row],[Status]]="Pågår")</f>
        <v>0</v>
      </c>
      <c r="AG516" s="12">
        <f ca="1">[1]!Tabel1[[#This Row],[Vægtet Honorar]]*([1]!Tabel1[[#This Row],[Sidst redigeret]]&gt;TODAY()-40)*([1]!Tabel1[[#This Row],[Status]]="Pågår")</f>
        <v>0</v>
      </c>
      <c r="AH516" s="13"/>
      <c r="AI516" s="12"/>
      <c r="AJ516" s="12" t="s">
        <v>1856</v>
      </c>
      <c r="AK516" s="12" t="s">
        <v>1857</v>
      </c>
      <c r="AL516" s="12"/>
      <c r="AM516" s="12"/>
      <c r="AN516" s="12" t="s">
        <v>1858</v>
      </c>
      <c r="AO516" s="12"/>
      <c r="AP516" s="12"/>
    </row>
    <row r="517" spans="1:42" ht="45">
      <c r="A517" t="s">
        <v>1859</v>
      </c>
      <c r="B517" s="8"/>
      <c r="C517" s="8" t="s">
        <v>1860</v>
      </c>
      <c r="D517" s="8" t="s">
        <v>197</v>
      </c>
      <c r="E517" s="8" t="s">
        <v>167</v>
      </c>
      <c r="F517" s="8" t="s">
        <v>671</v>
      </c>
      <c r="G517" s="8" t="s">
        <v>1691</v>
      </c>
      <c r="H517" s="9">
        <v>12000000</v>
      </c>
      <c r="I517" s="9">
        <f>[1]!Tabel1[[#This Row],[Honorar]]*[1]!Tabel1[[#This Row],[Sandsynlighed]]</f>
        <v>970000</v>
      </c>
      <c r="J517" s="10" t="s">
        <v>328</v>
      </c>
      <c r="K517" s="10" t="s">
        <v>1861</v>
      </c>
      <c r="L517" s="17" t="s">
        <v>1862</v>
      </c>
      <c r="M517" s="11">
        <v>0.02</v>
      </c>
      <c r="N517" s="1"/>
      <c r="O517" s="10">
        <v>46279.611111111109</v>
      </c>
      <c r="P517" s="10"/>
      <c r="Q517" s="1" t="s">
        <v>72</v>
      </c>
      <c r="R517" s="8" t="s">
        <v>47</v>
      </c>
      <c r="S51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1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1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1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1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1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1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1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1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1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1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1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1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17" s="12">
        <f ca="1">[1]!Tabel1[[#This Row],[Vægtet Honorar]]*([1]!Tabel1[[#This Row],[Sidst redigeret]]&gt;TODAY()-40)*([1]!Tabel1[[#This Row],[Er i resplan?]]&lt;&gt;"Ja")*([1]!Tabel1[[#This Row],[Status]]="Pågår")</f>
        <v>0</v>
      </c>
      <c r="AG517" s="12">
        <f ca="1">[1]!Tabel1[[#This Row],[Vægtet Honorar]]*([1]!Tabel1[[#This Row],[Sidst redigeret]]&gt;TODAY()-40)*([1]!Tabel1[[#This Row],[Status]]="Pågår")</f>
        <v>0</v>
      </c>
      <c r="AH517" s="13"/>
      <c r="AI517" s="12" t="s">
        <v>1863</v>
      </c>
      <c r="AJ517" s="12" t="s">
        <v>1864</v>
      </c>
      <c r="AK517" s="12"/>
      <c r="AL517" s="12" t="s">
        <v>1865</v>
      </c>
      <c r="AM517" s="12"/>
      <c r="AN517" s="12" t="s">
        <v>1866</v>
      </c>
      <c r="AO517" s="12"/>
      <c r="AP517" s="12"/>
    </row>
    <row r="518" spans="1:42" ht="90">
      <c r="A518" t="s">
        <v>1867</v>
      </c>
      <c r="B518" s="8"/>
      <c r="C518" s="8" t="s">
        <v>1868</v>
      </c>
      <c r="D518" s="8" t="s">
        <v>197</v>
      </c>
      <c r="E518" s="8" t="s">
        <v>167</v>
      </c>
      <c r="F518" s="8" t="s">
        <v>671</v>
      </c>
      <c r="G518" s="8" t="s">
        <v>1691</v>
      </c>
      <c r="H518" s="9">
        <v>2000000</v>
      </c>
      <c r="I518" s="9">
        <f>[1]!Tabel1[[#This Row],[Honorar]]*[1]!Tabel1[[#This Row],[Sandsynlighed]]</f>
        <v>35000</v>
      </c>
      <c r="J518" s="10" t="s">
        <v>584</v>
      </c>
      <c r="K518" s="10" t="s">
        <v>329</v>
      </c>
      <c r="L518" s="17" t="s">
        <v>1869</v>
      </c>
      <c r="M518" s="11">
        <v>0.9</v>
      </c>
      <c r="N518" s="1"/>
      <c r="O518" s="10">
        <v>46279.611111111109</v>
      </c>
      <c r="P518" s="10"/>
      <c r="Q518" s="1" t="s">
        <v>72</v>
      </c>
      <c r="R518" s="8" t="s">
        <v>47</v>
      </c>
      <c r="S51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5849.3589743589755</v>
      </c>
      <c r="T51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1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1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1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1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1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1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1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1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1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1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1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18" s="12">
        <f ca="1">[1]!Tabel1[[#This Row],[Vægtet Honorar]]*([1]!Tabel1[[#This Row],[Sidst redigeret]]&gt;TODAY()-40)*([1]!Tabel1[[#This Row],[Er i resplan?]]&lt;&gt;"Ja")*([1]!Tabel1[[#This Row],[Status]]="Pågår")</f>
        <v>0</v>
      </c>
      <c r="AG518" s="12">
        <f ca="1">[1]!Tabel1[[#This Row],[Vægtet Honorar]]*([1]!Tabel1[[#This Row],[Sidst redigeret]]&gt;TODAY()-40)*([1]!Tabel1[[#This Row],[Status]]="Pågår")</f>
        <v>0</v>
      </c>
      <c r="AH518" s="13"/>
      <c r="AI518" s="12"/>
      <c r="AJ518" s="12" t="s">
        <v>1864</v>
      </c>
      <c r="AK518" s="12"/>
      <c r="AL518" s="12" t="s">
        <v>1865</v>
      </c>
      <c r="AM518" s="12"/>
      <c r="AN518" s="12" t="s">
        <v>1870</v>
      </c>
      <c r="AO518" s="12"/>
      <c r="AP518" s="12"/>
    </row>
    <row r="519" spans="1:42" ht="105">
      <c r="A519" t="s">
        <v>1871</v>
      </c>
      <c r="B519" s="8"/>
      <c r="C519" s="8" t="s">
        <v>1872</v>
      </c>
      <c r="D519" s="8" t="s">
        <v>197</v>
      </c>
      <c r="E519" s="8" t="s">
        <v>167</v>
      </c>
      <c r="F519" s="8" t="s">
        <v>671</v>
      </c>
      <c r="G519" s="8" t="s">
        <v>767</v>
      </c>
      <c r="H519" s="9">
        <v>3500000</v>
      </c>
      <c r="I519" s="9">
        <f>[1]!Tabel1[[#This Row],[Honorar]]*[1]!Tabel1[[#This Row],[Sandsynlighed]]</f>
        <v>60000</v>
      </c>
      <c r="J519" s="10" t="s">
        <v>1061</v>
      </c>
      <c r="K519" s="10" t="s">
        <v>1062</v>
      </c>
      <c r="L519" s="17" t="s">
        <v>1873</v>
      </c>
      <c r="M519" s="11">
        <v>0.1</v>
      </c>
      <c r="N519" s="1" t="s">
        <v>1874</v>
      </c>
      <c r="O519" s="10">
        <v>46279.611111111109</v>
      </c>
      <c r="P519" s="10"/>
      <c r="Q519" s="1" t="s">
        <v>72</v>
      </c>
      <c r="R519" s="8" t="s">
        <v>343</v>
      </c>
      <c r="S51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10082.872928176796</v>
      </c>
      <c r="T51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1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1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1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1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1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1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1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1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1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1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1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19" s="12">
        <f ca="1">[1]!Tabel1[[#This Row],[Vægtet Honorar]]*([1]!Tabel1[[#This Row],[Sidst redigeret]]&gt;TODAY()-40)*([1]!Tabel1[[#This Row],[Er i resplan?]]&lt;&gt;"Ja")*([1]!Tabel1[[#This Row],[Status]]="Pågår")</f>
        <v>0</v>
      </c>
      <c r="AG519" s="12">
        <f ca="1">[1]!Tabel1[[#This Row],[Vægtet Honorar]]*([1]!Tabel1[[#This Row],[Sidst redigeret]]&gt;TODAY()-40)*([1]!Tabel1[[#This Row],[Status]]="Pågår")</f>
        <v>0</v>
      </c>
      <c r="AH519" s="13"/>
      <c r="AI519" s="12"/>
      <c r="AJ519" s="12" t="s">
        <v>767</v>
      </c>
      <c r="AK519" s="12"/>
      <c r="AL519" s="12" t="s">
        <v>1875</v>
      </c>
      <c r="AM519" s="12">
        <v>2024</v>
      </c>
      <c r="AN519" s="12" t="s">
        <v>1876</v>
      </c>
      <c r="AO519" s="12"/>
      <c r="AP519" s="12"/>
    </row>
    <row r="520" spans="1:42" ht="75">
      <c r="A520" t="s">
        <v>1877</v>
      </c>
      <c r="B520" s="8"/>
      <c r="C520" s="8" t="s">
        <v>1878</v>
      </c>
      <c r="D520" s="8" t="s">
        <v>197</v>
      </c>
      <c r="E520" s="8" t="s">
        <v>167</v>
      </c>
      <c r="F520" s="8" t="s">
        <v>671</v>
      </c>
      <c r="G520" s="8" t="s">
        <v>671</v>
      </c>
      <c r="H520" s="9">
        <v>300000</v>
      </c>
      <c r="I520" s="9">
        <f>[1]!Tabel1[[#This Row],[Honorar]]*[1]!Tabel1[[#This Row],[Sandsynlighed]]</f>
        <v>40000</v>
      </c>
      <c r="J520" s="10" t="s">
        <v>584</v>
      </c>
      <c r="K520" s="10" t="s">
        <v>1061</v>
      </c>
      <c r="L520" s="17" t="s">
        <v>1879</v>
      </c>
      <c r="M520" s="11">
        <v>1</v>
      </c>
      <c r="N520" s="1"/>
      <c r="O520" s="10">
        <v>46279.611111111109</v>
      </c>
      <c r="P520" s="10"/>
      <c r="Q520" s="1" t="s">
        <v>72</v>
      </c>
      <c r="R520" s="8" t="s">
        <v>47</v>
      </c>
      <c r="S52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6684.9816849816843</v>
      </c>
      <c r="T52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2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2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2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2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2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2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2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2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2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2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2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20" s="12">
        <f ca="1">[1]!Tabel1[[#This Row],[Vægtet Honorar]]*([1]!Tabel1[[#This Row],[Sidst redigeret]]&gt;TODAY()-40)*([1]!Tabel1[[#This Row],[Er i resplan?]]&lt;&gt;"Ja")*([1]!Tabel1[[#This Row],[Status]]="Pågår")</f>
        <v>0</v>
      </c>
      <c r="AG520" s="12">
        <f ca="1">[1]!Tabel1[[#This Row],[Vægtet Honorar]]*([1]!Tabel1[[#This Row],[Sidst redigeret]]&gt;TODAY()-40)*([1]!Tabel1[[#This Row],[Status]]="Pågår")</f>
        <v>0</v>
      </c>
      <c r="AH520" s="13"/>
      <c r="AI520" s="12"/>
      <c r="AJ520" s="12"/>
      <c r="AK520" s="12"/>
      <c r="AL520" s="12"/>
      <c r="AM520" s="12"/>
      <c r="AN520" s="12" t="s">
        <v>1880</v>
      </c>
      <c r="AO520" s="12"/>
      <c r="AP520" s="12"/>
    </row>
    <row r="521" spans="1:42">
      <c r="A521" t="s">
        <v>1881</v>
      </c>
      <c r="B521" s="8"/>
      <c r="C521" s="8" t="s">
        <v>1882</v>
      </c>
      <c r="D521" s="8" t="s">
        <v>1883</v>
      </c>
      <c r="E521" s="8" t="s">
        <v>71</v>
      </c>
      <c r="F521" s="8" t="s">
        <v>1477</v>
      </c>
      <c r="G521" s="8" t="s">
        <v>1477</v>
      </c>
      <c r="H521" s="9">
        <v>250000</v>
      </c>
      <c r="I521" s="9">
        <f>[1]!Tabel1[[#This Row],[Honorar]]*[1]!Tabel1[[#This Row],[Sandsynlighed]]</f>
        <v>0</v>
      </c>
      <c r="J521" s="10" t="s">
        <v>622</v>
      </c>
      <c r="K521" s="10" t="s">
        <v>612</v>
      </c>
      <c r="L521" s="17"/>
      <c r="M521" s="11">
        <v>1</v>
      </c>
      <c r="N521" s="1"/>
      <c r="O521" s="10">
        <v>46279.611111111109</v>
      </c>
      <c r="P521" s="10"/>
      <c r="Q521" s="1" t="s">
        <v>46</v>
      </c>
      <c r="R521" s="8" t="s">
        <v>47</v>
      </c>
      <c r="S52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2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2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2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2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2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2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2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2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2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2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2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2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21" s="12">
        <f ca="1">[1]!Tabel1[[#This Row],[Vægtet Honorar]]*([1]!Tabel1[[#This Row],[Sidst redigeret]]&gt;TODAY()-40)*([1]!Tabel1[[#This Row],[Er i resplan?]]&lt;&gt;"Ja")*([1]!Tabel1[[#This Row],[Status]]="Pågår")</f>
        <v>0</v>
      </c>
      <c r="AG521" s="12">
        <f ca="1">[1]!Tabel1[[#This Row],[Vægtet Honorar]]*([1]!Tabel1[[#This Row],[Sidst redigeret]]&gt;TODAY()-40)*([1]!Tabel1[[#This Row],[Status]]="Pågår")</f>
        <v>0</v>
      </c>
      <c r="AH521" s="13"/>
      <c r="AI521" s="12"/>
      <c r="AJ521" s="12"/>
      <c r="AK521" s="12"/>
      <c r="AL521" s="12"/>
      <c r="AM521" s="12"/>
      <c r="AN521" s="12"/>
      <c r="AO521" s="12"/>
      <c r="AP521" s="12"/>
    </row>
    <row r="522" spans="1:42" ht="90">
      <c r="A522" t="s">
        <v>1884</v>
      </c>
      <c r="B522" s="8"/>
      <c r="C522" s="8" t="s">
        <v>1885</v>
      </c>
      <c r="D522" s="8" t="s">
        <v>1886</v>
      </c>
      <c r="E522" s="8" t="s">
        <v>94</v>
      </c>
      <c r="F522" s="8"/>
      <c r="G522" s="8" t="s">
        <v>1887</v>
      </c>
      <c r="H522" s="9">
        <v>35000</v>
      </c>
      <c r="I522" s="9">
        <f>[1]!Tabel1[[#This Row],[Honorar]]*[1]!Tabel1[[#This Row],[Sandsynlighed]]</f>
        <v>240000</v>
      </c>
      <c r="J522" s="10" t="s">
        <v>1068</v>
      </c>
      <c r="K522" s="10" t="s">
        <v>452</v>
      </c>
      <c r="L522" s="17" t="s">
        <v>1888</v>
      </c>
      <c r="M522" s="11">
        <v>0.8</v>
      </c>
      <c r="N522" s="1"/>
      <c r="O522" s="10">
        <v>46279.611111111109</v>
      </c>
      <c r="P522" s="1" t="s">
        <v>72</v>
      </c>
      <c r="Q522" s="1" t="s">
        <v>72</v>
      </c>
      <c r="R522" s="8" t="s">
        <v>47</v>
      </c>
      <c r="S52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5332.3593864134409</v>
      </c>
      <c r="T52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5332.3593864134409</v>
      </c>
      <c r="U52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5332.3593864134409</v>
      </c>
      <c r="V52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5332.3593864134409</v>
      </c>
      <c r="W52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5332.3593864134409</v>
      </c>
      <c r="X52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5332.3593864134409</v>
      </c>
      <c r="Y52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5332.3593864134409</v>
      </c>
      <c r="Z52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5332.3593864134409</v>
      </c>
      <c r="AA52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5332.3593864134409</v>
      </c>
      <c r="AB52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5332.3593864134409</v>
      </c>
      <c r="AC52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5332.3593864134409</v>
      </c>
      <c r="AD52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5332.3593864134409</v>
      </c>
      <c r="AE52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5332.3593864134409</v>
      </c>
      <c r="AF522" s="12">
        <f ca="1">[1]!Tabel1[[#This Row],[Vægtet Honorar]]*([1]!Tabel1[[#This Row],[Sidst redigeret]]&gt;TODAY()-40)*([1]!Tabel1[[#This Row],[Er i resplan?]]&lt;&gt;"Ja")*([1]!Tabel1[[#This Row],[Status]]="Pågår")</f>
        <v>0</v>
      </c>
      <c r="AG522" s="12">
        <f ca="1">[1]!Tabel1[[#This Row],[Vægtet Honorar]]*([1]!Tabel1[[#This Row],[Sidst redigeret]]&gt;TODAY()-40)*([1]!Tabel1[[#This Row],[Status]]="Pågår")</f>
        <v>0</v>
      </c>
      <c r="AH522" s="13"/>
      <c r="AI522" s="12"/>
      <c r="AJ522" s="12"/>
      <c r="AK522" s="12"/>
      <c r="AL522" s="12"/>
      <c r="AM522" s="12"/>
      <c r="AN522" s="12"/>
      <c r="AO522" s="12"/>
      <c r="AP522" s="12"/>
    </row>
    <row r="523" spans="1:42">
      <c r="A523" t="s">
        <v>1889</v>
      </c>
      <c r="B523" s="8"/>
      <c r="C523" s="8" t="s">
        <v>1890</v>
      </c>
      <c r="D523" s="8" t="s">
        <v>1886</v>
      </c>
      <c r="E523" s="8" t="s">
        <v>94</v>
      </c>
      <c r="F523" s="8" t="s">
        <v>1891</v>
      </c>
      <c r="G523" s="8"/>
      <c r="H523" s="9">
        <v>54100</v>
      </c>
      <c r="I523" s="9">
        <f>[1]!Tabel1[[#This Row],[Honorar]]*[1]!Tabel1[[#This Row],[Sandsynlighed]]</f>
        <v>1800000</v>
      </c>
      <c r="J523" s="10" t="s">
        <v>622</v>
      </c>
      <c r="K523" s="10" t="s">
        <v>612</v>
      </c>
      <c r="L523" s="17"/>
      <c r="M523" s="11">
        <v>0.4</v>
      </c>
      <c r="N523" s="1"/>
      <c r="O523" s="10">
        <v>46279.611111111109</v>
      </c>
      <c r="P523" s="1" t="s">
        <v>72</v>
      </c>
      <c r="Q523" s="1" t="s">
        <v>72</v>
      </c>
      <c r="R523" s="8" t="s">
        <v>47</v>
      </c>
      <c r="S52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100274.72527472528</v>
      </c>
      <c r="T52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2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2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2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2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2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2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2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2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2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2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2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23" s="12">
        <f ca="1">[1]!Tabel1[[#This Row],[Vægtet Honorar]]*([1]!Tabel1[[#This Row],[Sidst redigeret]]&gt;TODAY()-40)*([1]!Tabel1[[#This Row],[Er i resplan?]]&lt;&gt;"Ja")*([1]!Tabel1[[#This Row],[Status]]="Pågår")</f>
        <v>0</v>
      </c>
      <c r="AG523" s="12">
        <f ca="1">[1]!Tabel1[[#This Row],[Vægtet Honorar]]*([1]!Tabel1[[#This Row],[Sidst redigeret]]&gt;TODAY()-40)*([1]!Tabel1[[#This Row],[Status]]="Pågår")</f>
        <v>0</v>
      </c>
      <c r="AH523" s="13"/>
      <c r="AI523" s="12"/>
      <c r="AJ523" s="12"/>
      <c r="AK523" s="12"/>
      <c r="AL523" s="12"/>
      <c r="AM523" s="12"/>
      <c r="AN523" s="12"/>
      <c r="AO523" s="12"/>
      <c r="AP523" s="12"/>
    </row>
    <row r="524" spans="1:42">
      <c r="A524" t="s">
        <v>1892</v>
      </c>
      <c r="B524" s="8"/>
      <c r="C524" s="8" t="s">
        <v>1893</v>
      </c>
      <c r="D524" s="8" t="s">
        <v>670</v>
      </c>
      <c r="E524" s="8" t="s">
        <v>167</v>
      </c>
      <c r="F524" s="8" t="s">
        <v>1894</v>
      </c>
      <c r="G524" s="8"/>
      <c r="H524" s="9">
        <v>25000</v>
      </c>
      <c r="I524" s="9">
        <f>[1]!Tabel1[[#This Row],[Honorar]]*[1]!Tabel1[[#This Row],[Sandsynlighed]]</f>
        <v>350000</v>
      </c>
      <c r="J524" s="10" t="s">
        <v>622</v>
      </c>
      <c r="K524" s="10" t="s">
        <v>622</v>
      </c>
      <c r="L524" s="17"/>
      <c r="M524" s="11">
        <v>1</v>
      </c>
      <c r="N524" s="1"/>
      <c r="O524" s="10">
        <v>46279.611111111109</v>
      </c>
      <c r="P524" s="10"/>
      <c r="Q524" s="1" t="s">
        <v>46</v>
      </c>
      <c r="R524" s="8" t="s">
        <v>47</v>
      </c>
      <c r="S52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12998.575498575499</v>
      </c>
      <c r="T52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12998.575498575499</v>
      </c>
      <c r="U52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12998.575498575499</v>
      </c>
      <c r="V52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12998.575498575499</v>
      </c>
      <c r="W52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12998.575498575499</v>
      </c>
      <c r="X52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12998.575498575499</v>
      </c>
      <c r="Y52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12998.575498575499</v>
      </c>
      <c r="Z52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2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2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2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2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2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24" s="12">
        <f ca="1">[1]!Tabel1[[#This Row],[Vægtet Honorar]]*([1]!Tabel1[[#This Row],[Sidst redigeret]]&gt;TODAY()-40)*([1]!Tabel1[[#This Row],[Er i resplan?]]&lt;&gt;"Ja")*([1]!Tabel1[[#This Row],[Status]]="Pågår")</f>
        <v>350000</v>
      </c>
      <c r="AG524" s="12">
        <f ca="1">[1]!Tabel1[[#This Row],[Vægtet Honorar]]*([1]!Tabel1[[#This Row],[Sidst redigeret]]&gt;TODAY()-40)*([1]!Tabel1[[#This Row],[Status]]="Pågår")</f>
        <v>350000</v>
      </c>
      <c r="AH524" s="13"/>
      <c r="AI524" s="12"/>
      <c r="AJ524" s="12"/>
      <c r="AK524" s="12"/>
      <c r="AL524" s="12"/>
      <c r="AM524" s="12"/>
      <c r="AN524" s="12"/>
      <c r="AO524" s="12"/>
      <c r="AP524" s="12"/>
    </row>
    <row r="525" spans="1:42" ht="60">
      <c r="A525" t="s">
        <v>1895</v>
      </c>
      <c r="B525" s="8"/>
      <c r="C525" s="8" t="s">
        <v>1896</v>
      </c>
      <c r="D525" s="8" t="s">
        <v>57</v>
      </c>
      <c r="E525" s="8" t="s">
        <v>94</v>
      </c>
      <c r="F525" s="8" t="s">
        <v>1897</v>
      </c>
      <c r="G525" s="8" t="s">
        <v>1352</v>
      </c>
      <c r="H525" s="9">
        <f>+(3+3+3)*1000000</f>
        <v>9000000</v>
      </c>
      <c r="I525" s="9">
        <f>[1]!Tabel1[[#This Row],[Honorar]]*[1]!Tabel1[[#This Row],[Sandsynlighed]]</f>
        <v>300000</v>
      </c>
      <c r="J525" s="10" t="s">
        <v>1287</v>
      </c>
      <c r="K525" s="10" t="s">
        <v>342</v>
      </c>
      <c r="L525" s="17" t="s">
        <v>1898</v>
      </c>
      <c r="M525" s="11">
        <v>0.01</v>
      </c>
      <c r="N525" s="1"/>
      <c r="O525" s="10">
        <v>46279.611122685186</v>
      </c>
      <c r="P525" s="1" t="s">
        <v>72</v>
      </c>
      <c r="Q525" s="1" t="s">
        <v>72</v>
      </c>
      <c r="R525" s="8" t="s">
        <v>49</v>
      </c>
      <c r="S52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20054.945054945056</v>
      </c>
      <c r="T52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2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2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2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2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2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2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2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2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2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2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2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25" s="12">
        <f ca="1">[1]!Tabel1[[#This Row],[Vægtet Honorar]]*([1]!Tabel1[[#This Row],[Sidst redigeret]]&gt;TODAY()-40)*([1]!Tabel1[[#This Row],[Er i resplan?]]&lt;&gt;"Ja")*([1]!Tabel1[[#This Row],[Status]]="Pågår")</f>
        <v>0</v>
      </c>
      <c r="AG525" s="12">
        <f ca="1">[1]!Tabel1[[#This Row],[Vægtet Honorar]]*([1]!Tabel1[[#This Row],[Sidst redigeret]]&gt;TODAY()-40)*([1]!Tabel1[[#This Row],[Status]]="Pågår")</f>
        <v>0</v>
      </c>
      <c r="AH525" s="13"/>
      <c r="AI525" s="12"/>
      <c r="AJ525" s="12" t="s">
        <v>1352</v>
      </c>
      <c r="AK525" s="12"/>
      <c r="AL525" s="12"/>
      <c r="AM525" s="12"/>
      <c r="AN525" s="12"/>
      <c r="AO525" s="12"/>
      <c r="AP525" s="12"/>
    </row>
    <row r="526" spans="1:42" ht="45">
      <c r="A526" t="s">
        <v>1899</v>
      </c>
      <c r="B526" s="8"/>
      <c r="C526" s="8" t="s">
        <v>1900</v>
      </c>
      <c r="D526" s="8" t="s">
        <v>134</v>
      </c>
      <c r="E526" s="8" t="s">
        <v>94</v>
      </c>
      <c r="F526" s="8" t="s">
        <v>1901</v>
      </c>
      <c r="G526" s="8" t="s">
        <v>1901</v>
      </c>
      <c r="H526" s="9">
        <v>60000</v>
      </c>
      <c r="I526" s="9">
        <f>[1]!Tabel1[[#This Row],[Honorar]]*[1]!Tabel1[[#This Row],[Sandsynlighed]]</f>
        <v>250000</v>
      </c>
      <c r="J526" s="10" t="s">
        <v>622</v>
      </c>
      <c r="K526" s="10" t="s">
        <v>1061</v>
      </c>
      <c r="L526" s="17" t="s">
        <v>1902</v>
      </c>
      <c r="M526" s="11">
        <v>0.5</v>
      </c>
      <c r="N526" s="1" t="s">
        <v>1903</v>
      </c>
      <c r="O526" s="10">
        <v>46279.611122685186</v>
      </c>
      <c r="P526" s="1" t="s">
        <v>72</v>
      </c>
      <c r="Q526" s="1" t="s">
        <v>46</v>
      </c>
      <c r="R526" s="8" t="s">
        <v>75</v>
      </c>
      <c r="S52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2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2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2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2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2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2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2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2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2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2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2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2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26" s="12">
        <f ca="1">[1]!Tabel1[[#This Row],[Vægtet Honorar]]*([1]!Tabel1[[#This Row],[Sidst redigeret]]&gt;TODAY()-40)*([1]!Tabel1[[#This Row],[Er i resplan?]]&lt;&gt;"Ja")*([1]!Tabel1[[#This Row],[Status]]="Pågår")</f>
        <v>0</v>
      </c>
      <c r="AG526" s="12">
        <f ca="1">[1]!Tabel1[[#This Row],[Vægtet Honorar]]*([1]!Tabel1[[#This Row],[Sidst redigeret]]&gt;TODAY()-40)*([1]!Tabel1[[#This Row],[Status]]="Pågår")</f>
        <v>0</v>
      </c>
      <c r="AH526" s="13"/>
      <c r="AI526" s="12"/>
      <c r="AJ526" s="12"/>
      <c r="AK526" s="12"/>
      <c r="AL526" s="12"/>
      <c r="AM526" s="12"/>
      <c r="AN526" s="12"/>
      <c r="AO526" s="12"/>
      <c r="AP526" s="12"/>
    </row>
    <row r="527" spans="1:42" ht="45">
      <c r="A527" t="s">
        <v>1904</v>
      </c>
      <c r="B527" s="8"/>
      <c r="C527" s="8" t="s">
        <v>1905</v>
      </c>
      <c r="D527" s="8" t="s">
        <v>57</v>
      </c>
      <c r="E527" s="8" t="s">
        <v>167</v>
      </c>
      <c r="F527" s="8" t="s">
        <v>1906</v>
      </c>
      <c r="G527" s="8" t="s">
        <v>1906</v>
      </c>
      <c r="H527" s="9">
        <v>9000000</v>
      </c>
      <c r="I527" s="9">
        <f>[1]!Tabel1[[#This Row],[Honorar]]*[1]!Tabel1[[#This Row],[Sandsynlighed]]</f>
        <v>28000</v>
      </c>
      <c r="J527" s="10" t="s">
        <v>612</v>
      </c>
      <c r="K527" s="10" t="s">
        <v>1061</v>
      </c>
      <c r="L527" s="17" t="s">
        <v>1907</v>
      </c>
      <c r="M527" s="11">
        <v>0.01</v>
      </c>
      <c r="N527" s="1">
        <v>1600000</v>
      </c>
      <c r="O527" s="10">
        <v>46279.611122685186</v>
      </c>
      <c r="P527" s="10"/>
      <c r="Q527" s="1" t="s">
        <v>72</v>
      </c>
      <c r="R527" s="8" t="s">
        <v>49</v>
      </c>
      <c r="S52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1863.603209336251</v>
      </c>
      <c r="T52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2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2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2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2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2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2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2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2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2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2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2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27" s="12">
        <f ca="1">[1]!Tabel1[[#This Row],[Vægtet Honorar]]*([1]!Tabel1[[#This Row],[Sidst redigeret]]&gt;TODAY()-40)*([1]!Tabel1[[#This Row],[Er i resplan?]]&lt;&gt;"Ja")*([1]!Tabel1[[#This Row],[Status]]="Pågår")</f>
        <v>0</v>
      </c>
      <c r="AG527" s="12">
        <f ca="1">[1]!Tabel1[[#This Row],[Vægtet Honorar]]*([1]!Tabel1[[#This Row],[Sidst redigeret]]&gt;TODAY()-40)*([1]!Tabel1[[#This Row],[Status]]="Pågår")</f>
        <v>0</v>
      </c>
      <c r="AH527" s="13"/>
      <c r="AI527" s="12"/>
      <c r="AJ527" s="12"/>
      <c r="AK527" s="12"/>
      <c r="AL527" s="12"/>
      <c r="AM527" s="12"/>
      <c r="AN527" s="12"/>
      <c r="AO527" s="12"/>
      <c r="AP527" s="12"/>
    </row>
    <row r="528" spans="1:42" ht="30">
      <c r="A528" t="s">
        <v>1908</v>
      </c>
      <c r="B528" s="8"/>
      <c r="C528" s="8" t="s">
        <v>1909</v>
      </c>
      <c r="D528" s="8" t="s">
        <v>119</v>
      </c>
      <c r="E528" s="8" t="s">
        <v>71</v>
      </c>
      <c r="F528" s="8" t="s">
        <v>1910</v>
      </c>
      <c r="G528" s="8" t="s">
        <v>803</v>
      </c>
      <c r="H528" s="9">
        <v>100000</v>
      </c>
      <c r="I528" s="9">
        <f>[1]!Tabel1[[#This Row],[Honorar]]*[1]!Tabel1[[#This Row],[Sandsynlighed]]</f>
        <v>21640</v>
      </c>
      <c r="J528" s="10" t="s">
        <v>328</v>
      </c>
      <c r="K528" s="10" t="s">
        <v>452</v>
      </c>
      <c r="L528" s="17" t="s">
        <v>750</v>
      </c>
      <c r="M528" s="11">
        <v>1</v>
      </c>
      <c r="N528" s="1"/>
      <c r="O528" s="10">
        <v>46279.611122685186</v>
      </c>
      <c r="P528" s="10"/>
      <c r="Q528" s="1" t="s">
        <v>46</v>
      </c>
      <c r="R528" s="8" t="s">
        <v>47</v>
      </c>
      <c r="S52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1440.2990517870169</v>
      </c>
      <c r="T52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2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2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2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2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2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2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2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2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2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2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2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28" s="12">
        <f ca="1">[1]!Tabel1[[#This Row],[Vægtet Honorar]]*([1]!Tabel1[[#This Row],[Sidst redigeret]]&gt;TODAY()-40)*([1]!Tabel1[[#This Row],[Er i resplan?]]&lt;&gt;"Ja")*([1]!Tabel1[[#This Row],[Status]]="Pågår")</f>
        <v>0</v>
      </c>
      <c r="AG528" s="12">
        <f ca="1">[1]!Tabel1[[#This Row],[Vægtet Honorar]]*([1]!Tabel1[[#This Row],[Sidst redigeret]]&gt;TODAY()-40)*([1]!Tabel1[[#This Row],[Status]]="Pågår")</f>
        <v>0</v>
      </c>
      <c r="AH528" s="13"/>
      <c r="AI528" s="12"/>
      <c r="AJ528" s="12"/>
      <c r="AK528" s="12"/>
      <c r="AL528" s="12"/>
      <c r="AM528" s="12"/>
      <c r="AN528" s="12"/>
      <c r="AO528" s="12"/>
      <c r="AP528" s="12"/>
    </row>
    <row r="529" spans="1:42" ht="255">
      <c r="A529" t="s">
        <v>1911</v>
      </c>
      <c r="B529" s="8"/>
      <c r="C529" s="8" t="s">
        <v>1912</v>
      </c>
      <c r="D529" s="8" t="s">
        <v>206</v>
      </c>
      <c r="E529" s="8" t="s">
        <v>94</v>
      </c>
      <c r="F529" s="8" t="s">
        <v>460</v>
      </c>
      <c r="G529" s="8" t="s">
        <v>1352</v>
      </c>
      <c r="H529" s="9">
        <v>5000000</v>
      </c>
      <c r="I529" s="9">
        <f>[1]!Tabel1[[#This Row],[Honorar]]*[1]!Tabel1[[#This Row],[Sandsynlighed]]</f>
        <v>25000</v>
      </c>
      <c r="J529" s="10" t="s">
        <v>584</v>
      </c>
      <c r="K529" s="10" t="s">
        <v>1191</v>
      </c>
      <c r="L529" s="17" t="s">
        <v>1913</v>
      </c>
      <c r="M529" s="11">
        <v>0.8</v>
      </c>
      <c r="N529" s="1">
        <v>1000</v>
      </c>
      <c r="O529" s="10">
        <v>46279.611122685186</v>
      </c>
      <c r="P529" s="1" t="s">
        <v>72</v>
      </c>
      <c r="Q529" s="1" t="s">
        <v>46</v>
      </c>
      <c r="R529" s="8" t="s">
        <v>47</v>
      </c>
      <c r="S52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2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2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2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2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2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2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2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2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2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2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2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2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29" s="12">
        <f ca="1">[1]!Tabel1[[#This Row],[Vægtet Honorar]]*([1]!Tabel1[[#This Row],[Sidst redigeret]]&gt;TODAY()-40)*([1]!Tabel1[[#This Row],[Er i resplan?]]&lt;&gt;"Ja")*([1]!Tabel1[[#This Row],[Status]]="Pågår")</f>
        <v>0</v>
      </c>
      <c r="AG529" s="12">
        <f ca="1">[1]!Tabel1[[#This Row],[Vægtet Honorar]]*([1]!Tabel1[[#This Row],[Sidst redigeret]]&gt;TODAY()-40)*([1]!Tabel1[[#This Row],[Status]]="Pågår")</f>
        <v>0</v>
      </c>
      <c r="AH529" s="13"/>
      <c r="AI529" s="12"/>
      <c r="AJ529" s="12"/>
      <c r="AK529" s="12"/>
      <c r="AL529" s="12"/>
      <c r="AM529" s="12"/>
      <c r="AN529" s="12"/>
      <c r="AO529" s="12"/>
      <c r="AP529" s="12"/>
    </row>
    <row r="530" spans="1:42">
      <c r="A530" t="s">
        <v>1914</v>
      </c>
      <c r="B530" s="8"/>
      <c r="C530" s="8" t="s">
        <v>1915</v>
      </c>
      <c r="D530" s="8" t="s">
        <v>720</v>
      </c>
      <c r="E530" s="8" t="s">
        <v>71</v>
      </c>
      <c r="F530" s="8" t="s">
        <v>1915</v>
      </c>
      <c r="G530" s="8" t="s">
        <v>1100</v>
      </c>
      <c r="H530" s="9">
        <v>13700000</v>
      </c>
      <c r="I530" s="9">
        <f>[1]!Tabel1[[#This Row],[Honorar]]*[1]!Tabel1[[#This Row],[Sandsynlighed]]</f>
        <v>90000</v>
      </c>
      <c r="J530" s="10" t="s">
        <v>452</v>
      </c>
      <c r="K530" s="10" t="s">
        <v>329</v>
      </c>
      <c r="L530" s="17"/>
      <c r="M530" s="11">
        <v>0</v>
      </c>
      <c r="N530" s="1">
        <v>12000</v>
      </c>
      <c r="O530" s="10">
        <v>46279.611122685186</v>
      </c>
      <c r="P530" s="10"/>
      <c r="Q530" s="1" t="s">
        <v>46</v>
      </c>
      <c r="R530" s="8" t="s">
        <v>75</v>
      </c>
      <c r="S53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4995.4379562043796</v>
      </c>
      <c r="T53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4995.4379562043796</v>
      </c>
      <c r="U53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4995.4379562043796</v>
      </c>
      <c r="V53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4995.4379562043796</v>
      </c>
      <c r="W53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3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3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3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3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3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3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3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3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30" s="12">
        <f ca="1">[1]!Tabel1[[#This Row],[Vægtet Honorar]]*([1]!Tabel1[[#This Row],[Sidst redigeret]]&gt;TODAY()-40)*([1]!Tabel1[[#This Row],[Er i resplan?]]&lt;&gt;"Ja")*([1]!Tabel1[[#This Row],[Status]]="Pågår")</f>
        <v>0</v>
      </c>
      <c r="AG530" s="12">
        <f ca="1">[1]!Tabel1[[#This Row],[Vægtet Honorar]]*([1]!Tabel1[[#This Row],[Sidst redigeret]]&gt;TODAY()-40)*([1]!Tabel1[[#This Row],[Status]]="Pågår")</f>
        <v>0</v>
      </c>
      <c r="AH530" s="13"/>
      <c r="AI530" s="12"/>
      <c r="AJ530" s="12"/>
      <c r="AK530" s="12"/>
      <c r="AL530" s="12"/>
      <c r="AM530" s="12"/>
      <c r="AN530" s="12"/>
      <c r="AO530" s="12"/>
      <c r="AP530" s="12"/>
    </row>
    <row r="531" spans="1:42" ht="75">
      <c r="A531" t="s">
        <v>1916</v>
      </c>
      <c r="B531" s="8"/>
      <c r="C531" s="8" t="s">
        <v>1917</v>
      </c>
      <c r="D531" s="8" t="s">
        <v>581</v>
      </c>
      <c r="E531" s="8" t="s">
        <v>94</v>
      </c>
      <c r="F531" s="8" t="s">
        <v>844</v>
      </c>
      <c r="G531" s="8" t="s">
        <v>844</v>
      </c>
      <c r="H531" s="9">
        <v>800000</v>
      </c>
      <c r="I531" s="9">
        <f>[1]!Tabel1[[#This Row],[Honorar]]*[1]!Tabel1[[#This Row],[Sandsynlighed]]</f>
        <v>30000</v>
      </c>
      <c r="J531" s="10" t="s">
        <v>452</v>
      </c>
      <c r="K531" s="10" t="s">
        <v>612</v>
      </c>
      <c r="L531" s="17" t="s">
        <v>1918</v>
      </c>
      <c r="M531" s="11">
        <v>0.3</v>
      </c>
      <c r="N531" s="1" t="s">
        <v>1919</v>
      </c>
      <c r="O531" s="10">
        <v>46279.611122685186</v>
      </c>
      <c r="P531" s="1" t="s">
        <v>72</v>
      </c>
      <c r="Q531" s="1" t="s">
        <v>72</v>
      </c>
      <c r="R531" s="8" t="s">
        <v>75</v>
      </c>
      <c r="S53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3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3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3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3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3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3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3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3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3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3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3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3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31" s="12">
        <f ca="1">[1]!Tabel1[[#This Row],[Vægtet Honorar]]*([1]!Tabel1[[#This Row],[Sidst redigeret]]&gt;TODAY()-40)*([1]!Tabel1[[#This Row],[Er i resplan?]]&lt;&gt;"Ja")*([1]!Tabel1[[#This Row],[Status]]="Pågår")</f>
        <v>0</v>
      </c>
      <c r="AG531" s="12">
        <f ca="1">[1]!Tabel1[[#This Row],[Vægtet Honorar]]*([1]!Tabel1[[#This Row],[Sidst redigeret]]&gt;TODAY()-40)*([1]!Tabel1[[#This Row],[Status]]="Pågår")</f>
        <v>0</v>
      </c>
      <c r="AH531" s="13"/>
      <c r="AI531" s="12"/>
      <c r="AJ531" s="12"/>
      <c r="AK531" s="12"/>
      <c r="AL531" s="12"/>
      <c r="AM531" s="12"/>
      <c r="AN531" s="12"/>
      <c r="AO531" s="12"/>
      <c r="AP531" s="12"/>
    </row>
    <row r="532" spans="1:42" ht="30">
      <c r="A532" t="s">
        <v>1920</v>
      </c>
      <c r="B532" s="8"/>
      <c r="C532" s="8" t="s">
        <v>1921</v>
      </c>
      <c r="D532" s="8" t="s">
        <v>158</v>
      </c>
      <c r="E532" s="8" t="s">
        <v>167</v>
      </c>
      <c r="F532" s="8" t="s">
        <v>671</v>
      </c>
      <c r="G532" s="8" t="s">
        <v>671</v>
      </c>
      <c r="H532" s="9">
        <v>400000</v>
      </c>
      <c r="I532" s="9">
        <f>[1]!Tabel1[[#This Row],[Honorar]]*[1]!Tabel1[[#This Row],[Sandsynlighed]]</f>
        <v>90000</v>
      </c>
      <c r="J532" s="10" t="s">
        <v>612</v>
      </c>
      <c r="K532" s="10" t="s">
        <v>329</v>
      </c>
      <c r="L532" s="17" t="s">
        <v>1922</v>
      </c>
      <c r="M532" s="11">
        <v>0</v>
      </c>
      <c r="N532" s="1" t="s">
        <v>1923</v>
      </c>
      <c r="O532" s="10">
        <v>46279.611122685186</v>
      </c>
      <c r="P532" s="10"/>
      <c r="Q532" s="1" t="s">
        <v>72</v>
      </c>
      <c r="R532" s="8" t="s">
        <v>343</v>
      </c>
      <c r="S53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15124.309392265191</v>
      </c>
      <c r="T53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3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3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3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3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3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3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3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3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3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3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3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32" s="12">
        <f ca="1">[1]!Tabel1[[#This Row],[Vægtet Honorar]]*([1]!Tabel1[[#This Row],[Sidst redigeret]]&gt;TODAY()-40)*([1]!Tabel1[[#This Row],[Er i resplan?]]&lt;&gt;"Ja")*([1]!Tabel1[[#This Row],[Status]]="Pågår")</f>
        <v>0</v>
      </c>
      <c r="AG532" s="12">
        <f ca="1">[1]!Tabel1[[#This Row],[Vægtet Honorar]]*([1]!Tabel1[[#This Row],[Sidst redigeret]]&gt;TODAY()-40)*([1]!Tabel1[[#This Row],[Status]]="Pågår")</f>
        <v>0</v>
      </c>
      <c r="AH532" s="13"/>
      <c r="AI532" s="12"/>
      <c r="AJ532" s="12"/>
      <c r="AK532" s="12"/>
      <c r="AL532" s="12"/>
      <c r="AM532" s="12"/>
      <c r="AN532" s="12"/>
      <c r="AO532" s="12"/>
      <c r="AP532" s="12"/>
    </row>
    <row r="533" spans="1:42" ht="45">
      <c r="A533" t="s">
        <v>1924</v>
      </c>
      <c r="B533" s="8"/>
      <c r="C533" s="8" t="s">
        <v>1925</v>
      </c>
      <c r="D533" s="8" t="s">
        <v>158</v>
      </c>
      <c r="E533" s="8" t="s">
        <v>167</v>
      </c>
      <c r="F533" s="8" t="s">
        <v>671</v>
      </c>
      <c r="G533" s="8" t="s">
        <v>671</v>
      </c>
      <c r="H533" s="9">
        <v>400000</v>
      </c>
      <c r="I533" s="9">
        <f>[1]!Tabel1[[#This Row],[Honorar]]*[1]!Tabel1[[#This Row],[Sandsynlighed]]</f>
        <v>100000</v>
      </c>
      <c r="J533" s="10" t="s">
        <v>328</v>
      </c>
      <c r="K533" s="10" t="s">
        <v>612</v>
      </c>
      <c r="L533" s="17" t="s">
        <v>1926</v>
      </c>
      <c r="M533" s="11">
        <v>0</v>
      </c>
      <c r="N533" s="1" t="s">
        <v>1927</v>
      </c>
      <c r="O533" s="10">
        <v>46279.611122685186</v>
      </c>
      <c r="P533" s="10"/>
      <c r="Q533" s="1" t="s">
        <v>72</v>
      </c>
      <c r="R533" s="8" t="s">
        <v>49</v>
      </c>
      <c r="S53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3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3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3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3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3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3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3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3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3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3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3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3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33" s="12">
        <f ca="1">[1]!Tabel1[[#This Row],[Vægtet Honorar]]*([1]!Tabel1[[#This Row],[Sidst redigeret]]&gt;TODAY()-40)*([1]!Tabel1[[#This Row],[Er i resplan?]]&lt;&gt;"Ja")*([1]!Tabel1[[#This Row],[Status]]="Pågår")</f>
        <v>0</v>
      </c>
      <c r="AG533" s="12">
        <f ca="1">[1]!Tabel1[[#This Row],[Vægtet Honorar]]*([1]!Tabel1[[#This Row],[Sidst redigeret]]&gt;TODAY()-40)*([1]!Tabel1[[#This Row],[Status]]="Pågår")</f>
        <v>0</v>
      </c>
      <c r="AH533" s="13"/>
      <c r="AI533" s="12"/>
      <c r="AJ533" s="12"/>
      <c r="AK533" s="12"/>
      <c r="AL533" s="12"/>
      <c r="AM533" s="12"/>
      <c r="AN533" s="12"/>
      <c r="AO533" s="12"/>
      <c r="AP533" s="12"/>
    </row>
    <row r="534" spans="1:42" ht="45">
      <c r="A534" t="s">
        <v>1924</v>
      </c>
      <c r="B534" s="8"/>
      <c r="C534" s="8" t="s">
        <v>1928</v>
      </c>
      <c r="D534" s="8" t="s">
        <v>1886</v>
      </c>
      <c r="E534" s="8" t="s">
        <v>94</v>
      </c>
      <c r="F534" s="8" t="s">
        <v>1844</v>
      </c>
      <c r="G534" s="8" t="s">
        <v>1929</v>
      </c>
      <c r="H534" s="9">
        <v>50000</v>
      </c>
      <c r="I534" s="9">
        <f>[1]!Tabel1[[#This Row],[Honorar]]*[1]!Tabel1[[#This Row],[Sandsynlighed]]</f>
        <v>4000000</v>
      </c>
      <c r="J534" s="10" t="s">
        <v>622</v>
      </c>
      <c r="K534" s="10" t="s">
        <v>612</v>
      </c>
      <c r="L534" s="17" t="s">
        <v>1930</v>
      </c>
      <c r="M534" s="11">
        <v>0.35</v>
      </c>
      <c r="N534" s="1">
        <v>1000</v>
      </c>
      <c r="O534" s="10">
        <v>46279.611122685186</v>
      </c>
      <c r="P534" s="1" t="s">
        <v>72</v>
      </c>
      <c r="Q534" s="1" t="s">
        <v>72</v>
      </c>
      <c r="R534" s="8" t="s">
        <v>75</v>
      </c>
      <c r="S53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3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3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3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3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3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3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3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3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3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3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3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3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34" s="12">
        <f ca="1">[1]!Tabel1[[#This Row],[Vægtet Honorar]]*([1]!Tabel1[[#This Row],[Sidst redigeret]]&gt;TODAY()-40)*([1]!Tabel1[[#This Row],[Er i resplan?]]&lt;&gt;"Ja")*([1]!Tabel1[[#This Row],[Status]]="Pågår")</f>
        <v>0</v>
      </c>
      <c r="AG534" s="12">
        <f ca="1">[1]!Tabel1[[#This Row],[Vægtet Honorar]]*([1]!Tabel1[[#This Row],[Sidst redigeret]]&gt;TODAY()-40)*([1]!Tabel1[[#This Row],[Status]]="Pågår")</f>
        <v>0</v>
      </c>
      <c r="AH534" s="13"/>
      <c r="AI534" s="12"/>
      <c r="AJ534" s="12"/>
      <c r="AK534" s="12"/>
      <c r="AL534" s="12"/>
      <c r="AM534" s="12"/>
      <c r="AN534" s="12"/>
      <c r="AO534" s="12"/>
      <c r="AP534" s="12"/>
    </row>
    <row r="535" spans="1:42" ht="285">
      <c r="A535" t="s">
        <v>1931</v>
      </c>
      <c r="B535" s="8"/>
      <c r="C535" s="8" t="s">
        <v>1932</v>
      </c>
      <c r="D535" s="8" t="s">
        <v>206</v>
      </c>
      <c r="E535" s="8" t="s">
        <v>94</v>
      </c>
      <c r="F535" s="8" t="s">
        <v>460</v>
      </c>
      <c r="G535" s="8" t="s">
        <v>1352</v>
      </c>
      <c r="H535" s="9">
        <v>2500000</v>
      </c>
      <c r="I535" s="9">
        <f>[1]!Tabel1[[#This Row],[Honorar]]*[1]!Tabel1[[#This Row],[Sandsynlighed]]</f>
        <v>0</v>
      </c>
      <c r="J535" s="10" t="s">
        <v>328</v>
      </c>
      <c r="K535" s="10" t="s">
        <v>329</v>
      </c>
      <c r="L535" s="17" t="s">
        <v>1933</v>
      </c>
      <c r="M535" s="11">
        <v>1</v>
      </c>
      <c r="N535" s="1">
        <v>800</v>
      </c>
      <c r="O535" s="10">
        <v>46279.611122685186</v>
      </c>
      <c r="P535" s="1" t="s">
        <v>72</v>
      </c>
      <c r="Q535" s="1" t="s">
        <v>46</v>
      </c>
      <c r="R535" s="8" t="s">
        <v>47</v>
      </c>
      <c r="S53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3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3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3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3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3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3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3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3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3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3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3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3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35" s="12">
        <f ca="1">[1]!Tabel1[[#This Row],[Vægtet Honorar]]*([1]!Tabel1[[#This Row],[Sidst redigeret]]&gt;TODAY()-40)*([1]!Tabel1[[#This Row],[Er i resplan?]]&lt;&gt;"Ja")*([1]!Tabel1[[#This Row],[Status]]="Pågår")</f>
        <v>0</v>
      </c>
      <c r="AG535" s="12">
        <f ca="1">[1]!Tabel1[[#This Row],[Vægtet Honorar]]*([1]!Tabel1[[#This Row],[Sidst redigeret]]&gt;TODAY()-40)*([1]!Tabel1[[#This Row],[Status]]="Pågår")</f>
        <v>0</v>
      </c>
      <c r="AH535" s="13"/>
      <c r="AI535" s="12"/>
      <c r="AJ535" s="12"/>
      <c r="AK535" s="12" t="s">
        <v>1934</v>
      </c>
      <c r="AL535" s="12"/>
      <c r="AM535" s="12"/>
      <c r="AN535" s="12"/>
      <c r="AO535" s="12"/>
      <c r="AP535" s="12"/>
    </row>
    <row r="536" spans="1:42" ht="60">
      <c r="A536" t="s">
        <v>1935</v>
      </c>
      <c r="B536" s="8"/>
      <c r="C536" s="8" t="s">
        <v>1936</v>
      </c>
      <c r="D536" s="8" t="s">
        <v>57</v>
      </c>
      <c r="E536" s="8" t="s">
        <v>167</v>
      </c>
      <c r="F536" s="8" t="s">
        <v>1936</v>
      </c>
      <c r="G536" s="8" t="s">
        <v>1937</v>
      </c>
      <c r="H536" s="9">
        <v>750000</v>
      </c>
      <c r="I536" s="9">
        <f>[1]!Tabel1[[#This Row],[Honorar]]*[1]!Tabel1[[#This Row],[Sandsynlighed]]</f>
        <v>240000</v>
      </c>
      <c r="J536" s="10" t="s">
        <v>622</v>
      </c>
      <c r="K536" s="10" t="s">
        <v>329</v>
      </c>
      <c r="L536" s="17" t="s">
        <v>1938</v>
      </c>
      <c r="M536" s="11">
        <v>0</v>
      </c>
      <c r="N536" s="1">
        <v>800</v>
      </c>
      <c r="O536" s="10">
        <v>46279.611122685186</v>
      </c>
      <c r="P536" s="10"/>
      <c r="Q536" s="1" t="s">
        <v>72</v>
      </c>
      <c r="R536" s="8" t="s">
        <v>49</v>
      </c>
      <c r="S53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3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3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3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3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3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3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3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3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3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3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3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3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36" s="12">
        <f ca="1">[1]!Tabel1[[#This Row],[Vægtet Honorar]]*([1]!Tabel1[[#This Row],[Sidst redigeret]]&gt;TODAY()-40)*([1]!Tabel1[[#This Row],[Er i resplan?]]&lt;&gt;"Ja")*([1]!Tabel1[[#This Row],[Status]]="Pågår")</f>
        <v>0</v>
      </c>
      <c r="AG536" s="12">
        <f ca="1">[1]!Tabel1[[#This Row],[Vægtet Honorar]]*([1]!Tabel1[[#This Row],[Sidst redigeret]]&gt;TODAY()-40)*([1]!Tabel1[[#This Row],[Status]]="Pågår")</f>
        <v>0</v>
      </c>
      <c r="AH536" s="13"/>
      <c r="AI536" s="12"/>
      <c r="AJ536" s="12"/>
      <c r="AK536" s="12"/>
      <c r="AL536" s="12"/>
      <c r="AM536" s="12"/>
      <c r="AN536" s="12"/>
      <c r="AO536" s="12"/>
      <c r="AP536" s="12"/>
    </row>
    <row r="537" spans="1:42" ht="30">
      <c r="A537" t="s">
        <v>1939</v>
      </c>
      <c r="B537" s="8"/>
      <c r="C537" s="8" t="s">
        <v>1940</v>
      </c>
      <c r="D537" s="8" t="s">
        <v>57</v>
      </c>
      <c r="E537" s="8" t="s">
        <v>167</v>
      </c>
      <c r="F537" s="8" t="s">
        <v>1941</v>
      </c>
      <c r="G537" s="8" t="s">
        <v>1941</v>
      </c>
      <c r="H537" s="9">
        <v>50000</v>
      </c>
      <c r="I537" s="9">
        <f>[1]!Tabel1[[#This Row],[Honorar]]*[1]!Tabel1[[#This Row],[Sandsynlighed]]</f>
        <v>0</v>
      </c>
      <c r="J537" s="10" t="s">
        <v>622</v>
      </c>
      <c r="K537" s="10" t="s">
        <v>584</v>
      </c>
      <c r="L537" s="17" t="s">
        <v>1942</v>
      </c>
      <c r="M537" s="11">
        <v>1</v>
      </c>
      <c r="N537" s="1"/>
      <c r="O537" s="10">
        <v>46279.611122685186</v>
      </c>
      <c r="P537" s="10"/>
      <c r="Q537" s="1" t="s">
        <v>46</v>
      </c>
      <c r="R537" s="8" t="s">
        <v>47</v>
      </c>
      <c r="S53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3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3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3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3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3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3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3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3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3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3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3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3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37" s="12">
        <f ca="1">[1]!Tabel1[[#This Row],[Vægtet Honorar]]*([1]!Tabel1[[#This Row],[Sidst redigeret]]&gt;TODAY()-40)*([1]!Tabel1[[#This Row],[Er i resplan?]]&lt;&gt;"Ja")*([1]!Tabel1[[#This Row],[Status]]="Pågår")</f>
        <v>0</v>
      </c>
      <c r="AG537" s="12">
        <f ca="1">[1]!Tabel1[[#This Row],[Vægtet Honorar]]*([1]!Tabel1[[#This Row],[Sidst redigeret]]&gt;TODAY()-40)*([1]!Tabel1[[#This Row],[Status]]="Pågår")</f>
        <v>0</v>
      </c>
      <c r="AH537" s="13"/>
      <c r="AI537" s="12"/>
      <c r="AJ537" s="12"/>
      <c r="AK537" s="12"/>
      <c r="AL537" s="12"/>
      <c r="AM537" s="12"/>
      <c r="AN537" s="12"/>
      <c r="AO537" s="12"/>
      <c r="AP537" s="12"/>
    </row>
    <row r="538" spans="1:42" ht="75">
      <c r="A538" t="s">
        <v>1943</v>
      </c>
      <c r="B538" s="8"/>
      <c r="C538" s="8" t="s">
        <v>1944</v>
      </c>
      <c r="D538" s="8" t="s">
        <v>1623</v>
      </c>
      <c r="E538" s="8" t="s">
        <v>102</v>
      </c>
      <c r="F538" s="8" t="s">
        <v>1945</v>
      </c>
      <c r="G538" s="8" t="s">
        <v>1945</v>
      </c>
      <c r="H538" s="9">
        <v>4000000</v>
      </c>
      <c r="I538" s="9">
        <f>[1]!Tabel1[[#This Row],[Honorar]]*[1]!Tabel1[[#This Row],[Sandsynlighed]]</f>
        <v>0</v>
      </c>
      <c r="J538" s="10" t="s">
        <v>584</v>
      </c>
      <c r="K538" s="10" t="s">
        <v>342</v>
      </c>
      <c r="L538" s="17" t="s">
        <v>1946</v>
      </c>
      <c r="M538" s="11">
        <v>0.1</v>
      </c>
      <c r="N538" s="1">
        <v>4500</v>
      </c>
      <c r="O538" s="10">
        <v>46279.611122685186</v>
      </c>
      <c r="P538" s="10"/>
      <c r="Q538" s="1" t="s">
        <v>72</v>
      </c>
      <c r="R538" s="8" t="s">
        <v>75</v>
      </c>
      <c r="S53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3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3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3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3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3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3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3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3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3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3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3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3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38" s="12">
        <f ca="1">[1]!Tabel1[[#This Row],[Vægtet Honorar]]*([1]!Tabel1[[#This Row],[Sidst redigeret]]&gt;TODAY()-40)*([1]!Tabel1[[#This Row],[Er i resplan?]]&lt;&gt;"Ja")*([1]!Tabel1[[#This Row],[Status]]="Pågår")</f>
        <v>0</v>
      </c>
      <c r="AG538" s="12">
        <f ca="1">[1]!Tabel1[[#This Row],[Vægtet Honorar]]*([1]!Tabel1[[#This Row],[Sidst redigeret]]&gt;TODAY()-40)*([1]!Tabel1[[#This Row],[Status]]="Pågår")</f>
        <v>0</v>
      </c>
      <c r="AH538" s="13"/>
      <c r="AI538" s="12"/>
      <c r="AJ538" s="12"/>
      <c r="AK538" s="12"/>
      <c r="AL538" s="12"/>
      <c r="AM538" s="12"/>
      <c r="AN538" s="12"/>
      <c r="AO538" s="12"/>
      <c r="AP538" s="12"/>
    </row>
    <row r="539" spans="1:42" ht="105">
      <c r="A539" t="s">
        <v>1947</v>
      </c>
      <c r="B539" s="8"/>
      <c r="C539" s="8" t="s">
        <v>1948</v>
      </c>
      <c r="D539" s="8" t="s">
        <v>707</v>
      </c>
      <c r="E539" s="8" t="s">
        <v>94</v>
      </c>
      <c r="F539" s="8" t="s">
        <v>1949</v>
      </c>
      <c r="G539" s="8" t="s">
        <v>1950</v>
      </c>
      <c r="H539" s="9">
        <v>33000</v>
      </c>
      <c r="I539" s="9">
        <f>[1]!Tabel1[[#This Row],[Honorar]]*[1]!Tabel1[[#This Row],[Sandsynlighed]]</f>
        <v>17500</v>
      </c>
      <c r="J539" s="10" t="s">
        <v>622</v>
      </c>
      <c r="K539" s="10" t="s">
        <v>622</v>
      </c>
      <c r="L539" s="17" t="s">
        <v>1951</v>
      </c>
      <c r="M539" s="11">
        <v>0.55000000000000004</v>
      </c>
      <c r="N539" s="1">
        <v>90</v>
      </c>
      <c r="O539" s="10">
        <v>46279.611122685186</v>
      </c>
      <c r="P539" s="1" t="s">
        <v>72</v>
      </c>
      <c r="Q539" s="1" t="s">
        <v>46</v>
      </c>
      <c r="R539" s="8" t="s">
        <v>49</v>
      </c>
      <c r="S53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3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3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3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3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3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3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3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3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3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3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3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3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39" s="12">
        <f ca="1">[1]!Tabel1[[#This Row],[Vægtet Honorar]]*([1]!Tabel1[[#This Row],[Sidst redigeret]]&gt;TODAY()-40)*([1]!Tabel1[[#This Row],[Er i resplan?]]&lt;&gt;"Ja")*([1]!Tabel1[[#This Row],[Status]]="Pågår")</f>
        <v>0</v>
      </c>
      <c r="AG539" s="12">
        <f ca="1">[1]!Tabel1[[#This Row],[Vægtet Honorar]]*([1]!Tabel1[[#This Row],[Sidst redigeret]]&gt;TODAY()-40)*([1]!Tabel1[[#This Row],[Status]]="Pågår")</f>
        <v>0</v>
      </c>
      <c r="AH539" s="13"/>
      <c r="AI539" s="12"/>
      <c r="AJ539" s="12"/>
      <c r="AK539" s="12"/>
      <c r="AL539" s="12"/>
      <c r="AM539" s="12"/>
      <c r="AN539" s="12"/>
      <c r="AO539" s="12"/>
      <c r="AP539" s="12"/>
    </row>
    <row r="540" spans="1:42">
      <c r="A540" t="s">
        <v>1952</v>
      </c>
      <c r="B540" s="8"/>
      <c r="C540" s="8" t="s">
        <v>1953</v>
      </c>
      <c r="D540" s="8" t="s">
        <v>1468</v>
      </c>
      <c r="E540" s="8" t="s">
        <v>167</v>
      </c>
      <c r="F540" s="8" t="s">
        <v>1954</v>
      </c>
      <c r="G540" s="8" t="s">
        <v>1955</v>
      </c>
      <c r="H540" s="9">
        <v>75000</v>
      </c>
      <c r="I540" s="9">
        <f>[1]!Tabel1[[#This Row],[Honorar]]*[1]!Tabel1[[#This Row],[Sandsynlighed]]</f>
        <v>2500000</v>
      </c>
      <c r="J540" s="10" t="s">
        <v>622</v>
      </c>
      <c r="K540" s="10" t="s">
        <v>328</v>
      </c>
      <c r="L540" s="17"/>
      <c r="M540" s="11">
        <v>1</v>
      </c>
      <c r="N540" s="1"/>
      <c r="O540" s="10">
        <v>46279.611122685186</v>
      </c>
      <c r="P540" s="10" t="s">
        <v>46</v>
      </c>
      <c r="Q540" s="1" t="s">
        <v>46</v>
      </c>
      <c r="R540" s="8" t="s">
        <v>47</v>
      </c>
      <c r="S54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4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4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4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4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4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4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4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4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4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4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4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4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40" s="12">
        <f ca="1">[1]!Tabel1[[#This Row],[Vægtet Honorar]]*([1]!Tabel1[[#This Row],[Sidst redigeret]]&gt;TODAY()-40)*([1]!Tabel1[[#This Row],[Er i resplan?]]&lt;&gt;"Ja")*([1]!Tabel1[[#This Row],[Status]]="Pågår")</f>
        <v>0</v>
      </c>
      <c r="AG540" s="12">
        <f ca="1">[1]!Tabel1[[#This Row],[Vægtet Honorar]]*([1]!Tabel1[[#This Row],[Sidst redigeret]]&gt;TODAY()-40)*([1]!Tabel1[[#This Row],[Status]]="Pågår")</f>
        <v>0</v>
      </c>
      <c r="AH540" s="13"/>
      <c r="AI540" s="12"/>
      <c r="AJ540" s="12"/>
      <c r="AK540" s="12"/>
      <c r="AL540" s="12"/>
      <c r="AM540" s="12"/>
      <c r="AN540" s="12"/>
      <c r="AO540" s="12"/>
      <c r="AP540" s="12"/>
    </row>
    <row r="541" spans="1:42">
      <c r="A541" t="s">
        <v>1956</v>
      </c>
      <c r="B541" s="8"/>
      <c r="C541" s="8" t="s">
        <v>1957</v>
      </c>
      <c r="D541" s="8" t="s">
        <v>203</v>
      </c>
      <c r="E541" s="8" t="s">
        <v>167</v>
      </c>
      <c r="F541" s="8" t="s">
        <v>812</v>
      </c>
      <c r="G541" s="8" t="s">
        <v>1958</v>
      </c>
      <c r="H541" s="9">
        <v>250000</v>
      </c>
      <c r="I541" s="9">
        <f>[1]!Tabel1[[#This Row],[Honorar]]*[1]!Tabel1[[#This Row],[Sandsynlighed]]</f>
        <v>0</v>
      </c>
      <c r="J541" s="10" t="s">
        <v>452</v>
      </c>
      <c r="K541" s="10" t="s">
        <v>612</v>
      </c>
      <c r="L541" s="17"/>
      <c r="M541" s="11">
        <v>0.5</v>
      </c>
      <c r="N541" s="1"/>
      <c r="O541" s="10">
        <v>46279.611122685186</v>
      </c>
      <c r="P541" s="10"/>
      <c r="Q541" s="1" t="s">
        <v>72</v>
      </c>
      <c r="R541" s="8" t="s">
        <v>49</v>
      </c>
      <c r="S54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4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4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4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4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4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4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4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4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4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4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4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4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41" s="12">
        <f ca="1">[1]!Tabel1[[#This Row],[Vægtet Honorar]]*([1]!Tabel1[[#This Row],[Sidst redigeret]]&gt;TODAY()-40)*([1]!Tabel1[[#This Row],[Er i resplan?]]&lt;&gt;"Ja")*([1]!Tabel1[[#This Row],[Status]]="Pågår")</f>
        <v>0</v>
      </c>
      <c r="AG541" s="12">
        <f ca="1">[1]!Tabel1[[#This Row],[Vægtet Honorar]]*([1]!Tabel1[[#This Row],[Sidst redigeret]]&gt;TODAY()-40)*([1]!Tabel1[[#This Row],[Status]]="Pågår")</f>
        <v>0</v>
      </c>
      <c r="AH541" s="13"/>
      <c r="AI541" s="12"/>
      <c r="AJ541" s="12"/>
      <c r="AK541" s="12"/>
      <c r="AL541" s="12"/>
      <c r="AM541" s="12"/>
      <c r="AN541" s="12"/>
      <c r="AO541" s="12"/>
      <c r="AP541" s="12"/>
    </row>
    <row r="542" spans="1:42">
      <c r="A542" t="s">
        <v>1959</v>
      </c>
      <c r="B542" s="8"/>
      <c r="C542" s="8" t="s">
        <v>1960</v>
      </c>
      <c r="D542" s="8" t="s">
        <v>203</v>
      </c>
      <c r="E542" s="8" t="s">
        <v>167</v>
      </c>
      <c r="F542" s="8" t="s">
        <v>812</v>
      </c>
      <c r="G542" s="8" t="s">
        <v>1958</v>
      </c>
      <c r="H542" s="9">
        <v>250000</v>
      </c>
      <c r="I542" s="9">
        <f>[1]!Tabel1[[#This Row],[Honorar]]*[1]!Tabel1[[#This Row],[Sandsynlighed]]</f>
        <v>50000</v>
      </c>
      <c r="J542" s="10" t="s">
        <v>584</v>
      </c>
      <c r="K542" s="10" t="s">
        <v>328</v>
      </c>
      <c r="L542" s="17" t="s">
        <v>1961</v>
      </c>
      <c r="M542" s="11">
        <v>0.5</v>
      </c>
      <c r="N542" s="1"/>
      <c r="O542" s="10">
        <v>46279.611122685186</v>
      </c>
      <c r="P542" s="10"/>
      <c r="Q542" s="1" t="s">
        <v>72</v>
      </c>
      <c r="R542" s="8" t="s">
        <v>49</v>
      </c>
      <c r="S54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4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4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4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4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4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4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4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4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4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4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4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4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42" s="12">
        <f ca="1">[1]!Tabel1[[#This Row],[Vægtet Honorar]]*([1]!Tabel1[[#This Row],[Sidst redigeret]]&gt;TODAY()-40)*([1]!Tabel1[[#This Row],[Er i resplan?]]&lt;&gt;"Ja")*([1]!Tabel1[[#This Row],[Status]]="Pågår")</f>
        <v>0</v>
      </c>
      <c r="AG542" s="12">
        <f ca="1">[1]!Tabel1[[#This Row],[Vægtet Honorar]]*([1]!Tabel1[[#This Row],[Sidst redigeret]]&gt;TODAY()-40)*([1]!Tabel1[[#This Row],[Status]]="Pågår")</f>
        <v>0</v>
      </c>
      <c r="AH542" s="13"/>
      <c r="AI542" s="12"/>
      <c r="AJ542" s="12"/>
      <c r="AK542" s="12"/>
      <c r="AL542" s="12"/>
      <c r="AM542" s="12"/>
      <c r="AN542" s="12"/>
      <c r="AO542" s="12"/>
      <c r="AP542" s="12"/>
    </row>
    <row r="543" spans="1:42" ht="30">
      <c r="A543" t="s">
        <v>1962</v>
      </c>
      <c r="B543" s="8"/>
      <c r="C543" s="8" t="s">
        <v>1963</v>
      </c>
      <c r="D543" s="8" t="s">
        <v>44</v>
      </c>
      <c r="E543" s="8" t="s">
        <v>71</v>
      </c>
      <c r="F543" s="8" t="s">
        <v>1963</v>
      </c>
      <c r="G543" s="8" t="s">
        <v>1964</v>
      </c>
      <c r="H543" s="9">
        <v>250000</v>
      </c>
      <c r="I543" s="9">
        <f>[1]!Tabel1[[#This Row],[Honorar]]*[1]!Tabel1[[#This Row],[Sandsynlighed]]</f>
        <v>400000</v>
      </c>
      <c r="J543" s="10" t="s">
        <v>622</v>
      </c>
      <c r="K543" s="10" t="s">
        <v>328</v>
      </c>
      <c r="L543" s="17" t="s">
        <v>1965</v>
      </c>
      <c r="M543" s="11">
        <v>1</v>
      </c>
      <c r="N543" s="1">
        <v>1000</v>
      </c>
      <c r="O543" s="10">
        <v>46279.611122685186</v>
      </c>
      <c r="P543" s="10"/>
      <c r="Q543" s="1" t="s">
        <v>46</v>
      </c>
      <c r="R543" s="8" t="s">
        <v>47</v>
      </c>
      <c r="S54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4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4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4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4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4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4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4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4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4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4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4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4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43" s="12">
        <f ca="1">[1]!Tabel1[[#This Row],[Vægtet Honorar]]*([1]!Tabel1[[#This Row],[Sidst redigeret]]&gt;TODAY()-40)*([1]!Tabel1[[#This Row],[Er i resplan?]]&lt;&gt;"Ja")*([1]!Tabel1[[#This Row],[Status]]="Pågår")</f>
        <v>0</v>
      </c>
      <c r="AG543" s="12">
        <f ca="1">[1]!Tabel1[[#This Row],[Vægtet Honorar]]*([1]!Tabel1[[#This Row],[Sidst redigeret]]&gt;TODAY()-40)*([1]!Tabel1[[#This Row],[Status]]="Pågår")</f>
        <v>0</v>
      </c>
      <c r="AH543" s="13"/>
      <c r="AI543" s="12"/>
      <c r="AJ543" s="12"/>
      <c r="AK543" s="12"/>
      <c r="AL543" s="12"/>
      <c r="AM543" s="12"/>
      <c r="AN543" s="12"/>
      <c r="AO543" s="12"/>
      <c r="AP543" s="12"/>
    </row>
    <row r="544" spans="1:42">
      <c r="A544" t="s">
        <v>1966</v>
      </c>
      <c r="B544" s="8"/>
      <c r="C544" s="8" t="s">
        <v>1882</v>
      </c>
      <c r="D544" s="8" t="s">
        <v>859</v>
      </c>
      <c r="E544" s="8" t="s">
        <v>71</v>
      </c>
      <c r="F544" s="8" t="s">
        <v>1477</v>
      </c>
      <c r="G544" s="8" t="s">
        <v>1477</v>
      </c>
      <c r="H544" s="9">
        <v>380000</v>
      </c>
      <c r="I544" s="9">
        <f>[1]!Tabel1[[#This Row],[Honorar]]*[1]!Tabel1[[#This Row],[Sandsynlighed]]</f>
        <v>18150</v>
      </c>
      <c r="J544" s="10" t="s">
        <v>622</v>
      </c>
      <c r="K544" s="10" t="s">
        <v>452</v>
      </c>
      <c r="L544" s="17"/>
      <c r="M544" s="11">
        <v>1</v>
      </c>
      <c r="N544" s="1"/>
      <c r="O544" s="10">
        <v>46279.611122685186</v>
      </c>
      <c r="P544" s="10"/>
      <c r="Q544" s="1" t="s">
        <v>46</v>
      </c>
      <c r="R544" s="8" t="s">
        <v>47</v>
      </c>
      <c r="S54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4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4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4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4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4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4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4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4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4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4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4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4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44" s="12">
        <f ca="1">[1]!Tabel1[[#This Row],[Vægtet Honorar]]*([1]!Tabel1[[#This Row],[Sidst redigeret]]&gt;TODAY()-40)*([1]!Tabel1[[#This Row],[Er i resplan?]]&lt;&gt;"Ja")*([1]!Tabel1[[#This Row],[Status]]="Pågår")</f>
        <v>0</v>
      </c>
      <c r="AG544" s="12">
        <f ca="1">[1]!Tabel1[[#This Row],[Vægtet Honorar]]*([1]!Tabel1[[#This Row],[Sidst redigeret]]&gt;TODAY()-40)*([1]!Tabel1[[#This Row],[Status]]="Pågår")</f>
        <v>0</v>
      </c>
      <c r="AH544" s="13"/>
      <c r="AI544" s="12"/>
      <c r="AJ544" s="12"/>
      <c r="AK544" s="12"/>
      <c r="AL544" s="12"/>
      <c r="AM544" s="12"/>
      <c r="AN544" s="12"/>
      <c r="AO544" s="12"/>
      <c r="AP544" s="12"/>
    </row>
    <row r="545" spans="1:42" ht="75">
      <c r="A545" t="s">
        <v>1967</v>
      </c>
      <c r="B545" s="8"/>
      <c r="C545" s="8" t="s">
        <v>1968</v>
      </c>
      <c r="D545" s="8" t="s">
        <v>707</v>
      </c>
      <c r="E545" s="8" t="s">
        <v>94</v>
      </c>
      <c r="F545" s="8" t="s">
        <v>1969</v>
      </c>
      <c r="G545" s="8" t="s">
        <v>1970</v>
      </c>
      <c r="H545" s="9">
        <v>50000</v>
      </c>
      <c r="I545" s="9">
        <f>[1]!Tabel1[[#This Row],[Honorar]]*[1]!Tabel1[[#This Row],[Sandsynlighed]]</f>
        <v>75000</v>
      </c>
      <c r="J545" s="10" t="s">
        <v>622</v>
      </c>
      <c r="K545" s="10" t="s">
        <v>584</v>
      </c>
      <c r="L545" s="17" t="s">
        <v>1971</v>
      </c>
      <c r="M545" s="11">
        <v>0.2</v>
      </c>
      <c r="N545" s="1">
        <v>1000</v>
      </c>
      <c r="O545" s="10">
        <v>46279.611122685186</v>
      </c>
      <c r="P545" s="1" t="s">
        <v>46</v>
      </c>
      <c r="Q545" s="1" t="s">
        <v>72</v>
      </c>
      <c r="R545" s="8" t="s">
        <v>47</v>
      </c>
      <c r="S54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4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4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4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4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4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4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4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4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4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4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4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4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45" s="12">
        <f ca="1">[1]!Tabel1[[#This Row],[Vægtet Honorar]]*([1]!Tabel1[[#This Row],[Sidst redigeret]]&gt;TODAY()-40)*([1]!Tabel1[[#This Row],[Er i resplan?]]&lt;&gt;"Ja")*([1]!Tabel1[[#This Row],[Status]]="Pågår")</f>
        <v>0</v>
      </c>
      <c r="AG545" s="12">
        <f ca="1">[1]!Tabel1[[#This Row],[Vægtet Honorar]]*([1]!Tabel1[[#This Row],[Sidst redigeret]]&gt;TODAY()-40)*([1]!Tabel1[[#This Row],[Status]]="Pågår")</f>
        <v>0</v>
      </c>
      <c r="AH545" s="13"/>
      <c r="AI545" s="12"/>
      <c r="AJ545" s="12"/>
      <c r="AK545" s="12"/>
      <c r="AL545" s="12"/>
      <c r="AM545" s="12"/>
      <c r="AN545" s="12"/>
      <c r="AO545" s="12"/>
      <c r="AP545" s="12"/>
    </row>
    <row r="546" spans="1:42" ht="75">
      <c r="A546" t="s">
        <v>1972</v>
      </c>
      <c r="B546" s="8"/>
      <c r="C546" s="8" t="s">
        <v>1973</v>
      </c>
      <c r="D546" s="8" t="s">
        <v>203</v>
      </c>
      <c r="E546" s="8" t="s">
        <v>167</v>
      </c>
      <c r="F546" s="8" t="s">
        <v>1974</v>
      </c>
      <c r="G546" s="8" t="s">
        <v>1975</v>
      </c>
      <c r="H546" s="9">
        <v>10000000</v>
      </c>
      <c r="I546" s="9">
        <f>[1]!Tabel1[[#This Row],[Honorar]]*[1]!Tabel1[[#This Row],[Sandsynlighed]]</f>
        <v>125000</v>
      </c>
      <c r="J546" s="10" t="s">
        <v>622</v>
      </c>
      <c r="K546" s="10" t="s">
        <v>452</v>
      </c>
      <c r="L546" s="17" t="s">
        <v>1971</v>
      </c>
      <c r="M546" s="11">
        <v>0</v>
      </c>
      <c r="N546" s="1">
        <v>20000</v>
      </c>
      <c r="O546" s="10">
        <v>46279.611122685186</v>
      </c>
      <c r="P546" s="10"/>
      <c r="Q546" s="1" t="s">
        <v>72</v>
      </c>
      <c r="R546" s="8" t="s">
        <v>75</v>
      </c>
      <c r="S54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20776.411657559198</v>
      </c>
      <c r="T54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4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4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4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4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4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4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4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4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4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4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4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46" s="12">
        <f ca="1">[1]!Tabel1[[#This Row],[Vægtet Honorar]]*([1]!Tabel1[[#This Row],[Sidst redigeret]]&gt;TODAY()-40)*([1]!Tabel1[[#This Row],[Er i resplan?]]&lt;&gt;"Ja")*([1]!Tabel1[[#This Row],[Status]]="Pågår")</f>
        <v>0</v>
      </c>
      <c r="AG546" s="12">
        <f ca="1">[1]!Tabel1[[#This Row],[Vægtet Honorar]]*([1]!Tabel1[[#This Row],[Sidst redigeret]]&gt;TODAY()-40)*([1]!Tabel1[[#This Row],[Status]]="Pågår")</f>
        <v>0</v>
      </c>
      <c r="AH546" s="13"/>
      <c r="AI546" s="12"/>
      <c r="AJ546" s="12"/>
      <c r="AK546" s="12"/>
      <c r="AL546" s="12"/>
      <c r="AM546" s="12"/>
      <c r="AN546" s="12"/>
      <c r="AO546" s="12"/>
      <c r="AP546" s="12"/>
    </row>
    <row r="547" spans="1:42" ht="60">
      <c r="A547" t="s">
        <v>1976</v>
      </c>
      <c r="B547" s="8"/>
      <c r="C547" s="8" t="s">
        <v>1977</v>
      </c>
      <c r="D547" s="8" t="s">
        <v>158</v>
      </c>
      <c r="E547" s="8" t="s">
        <v>167</v>
      </c>
      <c r="F547" s="8" t="s">
        <v>671</v>
      </c>
      <c r="G547" s="8" t="s">
        <v>671</v>
      </c>
      <c r="H547" s="9">
        <v>2000000</v>
      </c>
      <c r="I547" s="9">
        <f>[1]!Tabel1[[#This Row],[Honorar]]*[1]!Tabel1[[#This Row],[Sandsynlighed]]</f>
        <v>125000</v>
      </c>
      <c r="J547" s="10" t="s">
        <v>584</v>
      </c>
      <c r="K547" s="10" t="s">
        <v>1191</v>
      </c>
      <c r="L547" s="17" t="s">
        <v>1978</v>
      </c>
      <c r="M547" s="11">
        <v>0.25</v>
      </c>
      <c r="N547" s="1" t="s">
        <v>1979</v>
      </c>
      <c r="O547" s="10">
        <v>46279.611122685186</v>
      </c>
      <c r="P547" s="10"/>
      <c r="Q547" s="1" t="s">
        <v>72</v>
      </c>
      <c r="R547" s="8" t="s">
        <v>75</v>
      </c>
      <c r="S54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21005.98526703499</v>
      </c>
      <c r="T54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4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4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4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4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4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4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4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4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4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4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4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47" s="12">
        <f ca="1">[1]!Tabel1[[#This Row],[Vægtet Honorar]]*([1]!Tabel1[[#This Row],[Sidst redigeret]]&gt;TODAY()-40)*([1]!Tabel1[[#This Row],[Er i resplan?]]&lt;&gt;"Ja")*([1]!Tabel1[[#This Row],[Status]]="Pågår")</f>
        <v>0</v>
      </c>
      <c r="AG547" s="12">
        <f ca="1">[1]!Tabel1[[#This Row],[Vægtet Honorar]]*([1]!Tabel1[[#This Row],[Sidst redigeret]]&gt;TODAY()-40)*([1]!Tabel1[[#This Row],[Status]]="Pågår")</f>
        <v>0</v>
      </c>
      <c r="AH547" s="13"/>
      <c r="AI547" s="12"/>
      <c r="AJ547" s="12" t="s">
        <v>1363</v>
      </c>
      <c r="AK547" s="12"/>
      <c r="AL547" s="12"/>
      <c r="AM547" s="12"/>
      <c r="AN547" s="12" t="s">
        <v>75</v>
      </c>
      <c r="AO547" s="12"/>
      <c r="AP547" s="12"/>
    </row>
    <row r="548" spans="1:42">
      <c r="A548" t="s">
        <v>1980</v>
      </c>
      <c r="B548" s="8"/>
      <c r="C548" s="8" t="s">
        <v>1981</v>
      </c>
      <c r="D548" s="8" t="s">
        <v>200</v>
      </c>
      <c r="E548" s="8" t="s">
        <v>120</v>
      </c>
      <c r="F548" s="8" t="s">
        <v>691</v>
      </c>
      <c r="G548" s="8" t="s">
        <v>691</v>
      </c>
      <c r="H548" s="9">
        <v>1500000</v>
      </c>
      <c r="I548" s="9">
        <f>[1]!Tabel1[[#This Row],[Honorar]]*[1]!Tabel1[[#This Row],[Sandsynlighed]]</f>
        <v>250000</v>
      </c>
      <c r="J548" s="10" t="s">
        <v>584</v>
      </c>
      <c r="K548" s="10" t="s">
        <v>1191</v>
      </c>
      <c r="L548" s="17"/>
      <c r="M548" s="11">
        <v>0.05</v>
      </c>
      <c r="N548" s="1"/>
      <c r="O548" s="10">
        <v>46279.611122685186</v>
      </c>
      <c r="P548" s="10"/>
      <c r="Q548" s="1" t="s">
        <v>72</v>
      </c>
      <c r="R548" s="8" t="s">
        <v>75</v>
      </c>
      <c r="S54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4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4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4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4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4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4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4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4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4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4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4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4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48" s="12">
        <f ca="1">[1]!Tabel1[[#This Row],[Vægtet Honorar]]*([1]!Tabel1[[#This Row],[Sidst redigeret]]&gt;TODAY()-40)*([1]!Tabel1[[#This Row],[Er i resplan?]]&lt;&gt;"Ja")*([1]!Tabel1[[#This Row],[Status]]="Pågår")</f>
        <v>0</v>
      </c>
      <c r="AG548" s="12">
        <f ca="1">[1]!Tabel1[[#This Row],[Vægtet Honorar]]*([1]!Tabel1[[#This Row],[Sidst redigeret]]&gt;TODAY()-40)*([1]!Tabel1[[#This Row],[Status]]="Pågår")</f>
        <v>0</v>
      </c>
      <c r="AH548" s="13"/>
      <c r="AI548" s="12"/>
      <c r="AJ548" s="12" t="s">
        <v>1982</v>
      </c>
      <c r="AK548" s="12" t="s">
        <v>1983</v>
      </c>
      <c r="AL548" s="12"/>
      <c r="AM548" s="12"/>
      <c r="AN548" s="12" t="s">
        <v>1218</v>
      </c>
      <c r="AO548" s="12"/>
      <c r="AP548" s="12"/>
    </row>
    <row r="549" spans="1:42" ht="75">
      <c r="A549" t="s">
        <v>1984</v>
      </c>
      <c r="B549" s="8"/>
      <c r="C549" s="8" t="s">
        <v>1985</v>
      </c>
      <c r="D549" s="8" t="s">
        <v>1986</v>
      </c>
      <c r="E549" s="8" t="s">
        <v>120</v>
      </c>
      <c r="F549" s="8" t="s">
        <v>756</v>
      </c>
      <c r="G549" s="8" t="s">
        <v>754</v>
      </c>
      <c r="H549" s="9">
        <v>800000</v>
      </c>
      <c r="I549" s="9">
        <f>[1]!Tabel1[[#This Row],[Honorar]]*[1]!Tabel1[[#This Row],[Sandsynlighed]]</f>
        <v>380000</v>
      </c>
      <c r="J549" s="10" t="s">
        <v>584</v>
      </c>
      <c r="K549" s="10" t="s">
        <v>612</v>
      </c>
      <c r="L549" s="17" t="s">
        <v>1987</v>
      </c>
      <c r="M549" s="11">
        <v>1</v>
      </c>
      <c r="N549" s="1">
        <v>2000</v>
      </c>
      <c r="O549" s="10">
        <v>46279.611122685186</v>
      </c>
      <c r="P549" s="10"/>
      <c r="Q549" s="1" t="s">
        <v>46</v>
      </c>
      <c r="R549" s="8" t="s">
        <v>47</v>
      </c>
      <c r="S54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4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4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4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4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4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4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4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4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4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4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4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4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49" s="12">
        <f ca="1">[1]!Tabel1[[#This Row],[Vægtet Honorar]]*([1]!Tabel1[[#This Row],[Sidst redigeret]]&gt;TODAY()-40)*([1]!Tabel1[[#This Row],[Er i resplan?]]&lt;&gt;"Ja")*([1]!Tabel1[[#This Row],[Status]]="Pågår")</f>
        <v>0</v>
      </c>
      <c r="AG549" s="12">
        <f ca="1">[1]!Tabel1[[#This Row],[Vægtet Honorar]]*([1]!Tabel1[[#This Row],[Sidst redigeret]]&gt;TODAY()-40)*([1]!Tabel1[[#This Row],[Status]]="Pågår")</f>
        <v>0</v>
      </c>
      <c r="AH549" s="13"/>
      <c r="AI549" s="12"/>
      <c r="AJ549" s="12"/>
      <c r="AK549" s="12"/>
      <c r="AL549" s="12"/>
      <c r="AM549" s="12"/>
      <c r="AN549" s="12"/>
      <c r="AO549" s="12"/>
      <c r="AP549" s="12"/>
    </row>
    <row r="550" spans="1:42" ht="45">
      <c r="A550" t="s">
        <v>1988</v>
      </c>
      <c r="B550" s="8"/>
      <c r="C550" s="8" t="s">
        <v>1989</v>
      </c>
      <c r="D550" s="8" t="s">
        <v>70</v>
      </c>
      <c r="E550" s="8" t="s">
        <v>102</v>
      </c>
      <c r="F550" s="8" t="s">
        <v>339</v>
      </c>
      <c r="G550" s="8" t="s">
        <v>339</v>
      </c>
      <c r="H550" s="9">
        <v>850000</v>
      </c>
      <c r="I550" s="9">
        <f>[1]!Tabel1[[#This Row],[Honorar]]*[1]!Tabel1[[#This Row],[Sandsynlighed]]</f>
        <v>10000</v>
      </c>
      <c r="J550" s="10" t="s">
        <v>328</v>
      </c>
      <c r="K550" s="10" t="s">
        <v>1310</v>
      </c>
      <c r="L550" s="17" t="s">
        <v>1990</v>
      </c>
      <c r="M550" s="11">
        <v>1</v>
      </c>
      <c r="N550" s="1">
        <v>3000</v>
      </c>
      <c r="O550" s="10">
        <v>46279.611122685186</v>
      </c>
      <c r="P550" s="10"/>
      <c r="Q550" s="1" t="s">
        <v>46</v>
      </c>
      <c r="R550" s="8" t="s">
        <v>47</v>
      </c>
      <c r="S55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1671.2454212454211</v>
      </c>
      <c r="T55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5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5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5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5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5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5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5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5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5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5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5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50" s="12">
        <f ca="1">[1]!Tabel1[[#This Row],[Vægtet Honorar]]*([1]!Tabel1[[#This Row],[Sidst redigeret]]&gt;TODAY()-40)*([1]!Tabel1[[#This Row],[Er i resplan?]]&lt;&gt;"Ja")*([1]!Tabel1[[#This Row],[Status]]="Pågår")</f>
        <v>0</v>
      </c>
      <c r="AG550" s="12">
        <f ca="1">[1]!Tabel1[[#This Row],[Vægtet Honorar]]*([1]!Tabel1[[#This Row],[Sidst redigeret]]&gt;TODAY()-40)*([1]!Tabel1[[#This Row],[Status]]="Pågår")</f>
        <v>0</v>
      </c>
      <c r="AH550" s="13"/>
      <c r="AI550" s="12"/>
      <c r="AJ550" s="12"/>
      <c r="AK550" s="12"/>
      <c r="AL550" s="12"/>
      <c r="AM550" s="12"/>
      <c r="AN550" s="12"/>
      <c r="AO550" s="12"/>
      <c r="AP550" s="12"/>
    </row>
    <row r="551" spans="1:42">
      <c r="A551" t="s">
        <v>1991</v>
      </c>
      <c r="B551" s="8"/>
      <c r="C551" s="8" t="s">
        <v>1992</v>
      </c>
      <c r="D551" s="8" t="s">
        <v>720</v>
      </c>
      <c r="E551" s="8" t="s">
        <v>71</v>
      </c>
      <c r="F551" s="8" t="s">
        <v>902</v>
      </c>
      <c r="G551" s="8" t="s">
        <v>1993</v>
      </c>
      <c r="H551" s="9">
        <v>2000000</v>
      </c>
      <c r="I551" s="9">
        <f>[1]!Tabel1[[#This Row],[Honorar]]*[1]!Tabel1[[#This Row],[Sandsynlighed]]</f>
        <v>0</v>
      </c>
      <c r="J551" s="10" t="s">
        <v>584</v>
      </c>
      <c r="K551" s="10" t="s">
        <v>1310</v>
      </c>
      <c r="L551" s="17"/>
      <c r="M551" s="11">
        <v>0.05</v>
      </c>
      <c r="N551" s="1">
        <v>3000</v>
      </c>
      <c r="O551" s="10">
        <v>46279.611122685186</v>
      </c>
      <c r="P551" s="10"/>
      <c r="Q551" s="1" t="s">
        <v>72</v>
      </c>
      <c r="R551" s="8" t="s">
        <v>75</v>
      </c>
      <c r="S55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5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5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5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5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5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5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5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5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5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5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5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5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51" s="12">
        <f ca="1">[1]!Tabel1[[#This Row],[Vægtet Honorar]]*([1]!Tabel1[[#This Row],[Sidst redigeret]]&gt;TODAY()-40)*([1]!Tabel1[[#This Row],[Er i resplan?]]&lt;&gt;"Ja")*([1]!Tabel1[[#This Row],[Status]]="Pågår")</f>
        <v>0</v>
      </c>
      <c r="AG551" s="12">
        <f ca="1">[1]!Tabel1[[#This Row],[Vægtet Honorar]]*([1]!Tabel1[[#This Row],[Sidst redigeret]]&gt;TODAY()-40)*([1]!Tabel1[[#This Row],[Status]]="Pågår")</f>
        <v>0</v>
      </c>
      <c r="AH551" s="13"/>
      <c r="AI551" s="12"/>
      <c r="AJ551" s="12" t="s">
        <v>1993</v>
      </c>
      <c r="AK551" s="12"/>
      <c r="AL551" s="12"/>
      <c r="AM551" s="12"/>
      <c r="AN551" s="12"/>
      <c r="AO551" s="12"/>
      <c r="AP551" s="12"/>
    </row>
    <row r="552" spans="1:42">
      <c r="A552" t="s">
        <v>1994</v>
      </c>
      <c r="B552" s="8"/>
      <c r="C552" s="8" t="s">
        <v>1995</v>
      </c>
      <c r="D552" s="8" t="s">
        <v>158</v>
      </c>
      <c r="E552" s="8" t="s">
        <v>167</v>
      </c>
      <c r="F552" s="8" t="s">
        <v>1996</v>
      </c>
      <c r="G552" s="8" t="s">
        <v>828</v>
      </c>
      <c r="H552" s="9">
        <v>400000</v>
      </c>
      <c r="I552" s="9">
        <f>[1]!Tabel1[[#This Row],[Honorar]]*[1]!Tabel1[[#This Row],[Sandsynlighed]]</f>
        <v>500000</v>
      </c>
      <c r="J552" s="10" t="s">
        <v>584</v>
      </c>
      <c r="K552" s="10" t="s">
        <v>612</v>
      </c>
      <c r="L552" s="17"/>
      <c r="M552" s="11">
        <v>0.33</v>
      </c>
      <c r="N552" s="1"/>
      <c r="O552" s="10">
        <v>46279.611122685186</v>
      </c>
      <c r="P552" s="10"/>
      <c r="Q552" s="1" t="s">
        <v>46</v>
      </c>
      <c r="R552" s="8" t="s">
        <v>75</v>
      </c>
      <c r="S55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5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5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5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5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5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5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5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5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5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5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5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5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52" s="12">
        <f ca="1">[1]!Tabel1[[#This Row],[Vægtet Honorar]]*([1]!Tabel1[[#This Row],[Sidst redigeret]]&gt;TODAY()-40)*([1]!Tabel1[[#This Row],[Er i resplan?]]&lt;&gt;"Ja")*([1]!Tabel1[[#This Row],[Status]]="Pågår")</f>
        <v>0</v>
      </c>
      <c r="AG552" s="12">
        <f ca="1">[1]!Tabel1[[#This Row],[Vægtet Honorar]]*([1]!Tabel1[[#This Row],[Sidst redigeret]]&gt;TODAY()-40)*([1]!Tabel1[[#This Row],[Status]]="Pågår")</f>
        <v>0</v>
      </c>
      <c r="AH552" s="13"/>
      <c r="AI552" s="12"/>
      <c r="AJ552" s="12"/>
      <c r="AK552" s="12"/>
      <c r="AL552" s="12"/>
      <c r="AM552" s="12"/>
      <c r="AN552" s="12"/>
      <c r="AO552" s="12"/>
      <c r="AP552" s="12"/>
    </row>
    <row r="553" spans="1:42">
      <c r="A553" t="s">
        <v>1997</v>
      </c>
      <c r="B553" s="8"/>
      <c r="C553" s="8" t="s">
        <v>1998</v>
      </c>
      <c r="D553" s="8" t="s">
        <v>1883</v>
      </c>
      <c r="E553" s="8" t="s">
        <v>71</v>
      </c>
      <c r="F553" s="8" t="s">
        <v>721</v>
      </c>
      <c r="G553" s="8" t="s">
        <v>1999</v>
      </c>
      <c r="H553" s="9">
        <v>10000</v>
      </c>
      <c r="I553" s="9">
        <f>[1]!Tabel1[[#This Row],[Honorar]]*[1]!Tabel1[[#This Row],[Sandsynlighed]]</f>
        <v>75000</v>
      </c>
      <c r="J553" s="10" t="s">
        <v>584</v>
      </c>
      <c r="K553" s="10" t="s">
        <v>584</v>
      </c>
      <c r="L553" s="17" t="s">
        <v>2000</v>
      </c>
      <c r="M553" s="11">
        <v>1</v>
      </c>
      <c r="N553" s="1"/>
      <c r="O553" s="10">
        <v>46279.611122685186</v>
      </c>
      <c r="P553" s="10"/>
      <c r="Q553" s="1" t="s">
        <v>46</v>
      </c>
      <c r="R553" s="8" t="s">
        <v>47</v>
      </c>
      <c r="S55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5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5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5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5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5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5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5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5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5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5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5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5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53" s="12">
        <f ca="1">[1]!Tabel1[[#This Row],[Vægtet Honorar]]*([1]!Tabel1[[#This Row],[Sidst redigeret]]&gt;TODAY()-40)*([1]!Tabel1[[#This Row],[Er i resplan?]]&lt;&gt;"Ja")*([1]!Tabel1[[#This Row],[Status]]="Pågår")</f>
        <v>0</v>
      </c>
      <c r="AG553" s="12">
        <f ca="1">[1]!Tabel1[[#This Row],[Vægtet Honorar]]*([1]!Tabel1[[#This Row],[Sidst redigeret]]&gt;TODAY()-40)*([1]!Tabel1[[#This Row],[Status]]="Pågår")</f>
        <v>0</v>
      </c>
      <c r="AH553" s="13"/>
      <c r="AI553" s="12"/>
      <c r="AJ553" s="12"/>
      <c r="AK553" s="12"/>
      <c r="AL553" s="12"/>
      <c r="AM553" s="12"/>
      <c r="AN553" s="12"/>
      <c r="AO553" s="12"/>
      <c r="AP553" s="12"/>
    </row>
    <row r="554" spans="1:42" ht="45">
      <c r="A554" t="s">
        <v>2001</v>
      </c>
      <c r="B554" s="8"/>
      <c r="C554" s="8" t="s">
        <v>2002</v>
      </c>
      <c r="D554" s="8" t="s">
        <v>93</v>
      </c>
      <c r="E554" s="8" t="s">
        <v>94</v>
      </c>
      <c r="F554" s="8" t="s">
        <v>2003</v>
      </c>
      <c r="G554" s="8" t="s">
        <v>2003</v>
      </c>
      <c r="H554" s="9">
        <v>1000000</v>
      </c>
      <c r="I554" s="9">
        <f>[1]!Tabel1[[#This Row],[Honorar]]*[1]!Tabel1[[#This Row],[Sandsynlighed]]</f>
        <v>800000</v>
      </c>
      <c r="J554" s="10" t="s">
        <v>328</v>
      </c>
      <c r="K554" s="10" t="s">
        <v>341</v>
      </c>
      <c r="L554" s="17" t="s">
        <v>2004</v>
      </c>
      <c r="M554" s="11">
        <v>0.15</v>
      </c>
      <c r="N554" s="1">
        <v>1500</v>
      </c>
      <c r="O554" s="10">
        <v>46279.611122685186</v>
      </c>
      <c r="P554" s="1" t="s">
        <v>72</v>
      </c>
      <c r="Q554" s="1" t="s">
        <v>72</v>
      </c>
      <c r="R554" s="8" t="s">
        <v>49</v>
      </c>
      <c r="S55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5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5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5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5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5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5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5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5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5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5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5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5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54" s="12">
        <f ca="1">[1]!Tabel1[[#This Row],[Vægtet Honorar]]*([1]!Tabel1[[#This Row],[Sidst redigeret]]&gt;TODAY()-40)*([1]!Tabel1[[#This Row],[Er i resplan?]]&lt;&gt;"Ja")*([1]!Tabel1[[#This Row],[Status]]="Pågår")</f>
        <v>0</v>
      </c>
      <c r="AG554" s="12">
        <f ca="1">[1]!Tabel1[[#This Row],[Vægtet Honorar]]*([1]!Tabel1[[#This Row],[Sidst redigeret]]&gt;TODAY()-40)*([1]!Tabel1[[#This Row],[Status]]="Pågår")</f>
        <v>0</v>
      </c>
      <c r="AH554" s="13"/>
      <c r="AI554" s="12"/>
      <c r="AJ554" s="12" t="s">
        <v>2005</v>
      </c>
      <c r="AK554" s="12"/>
      <c r="AL554" s="12"/>
      <c r="AM554" s="12"/>
      <c r="AN554" s="12"/>
      <c r="AO554" s="12"/>
      <c r="AP554" s="12"/>
    </row>
    <row r="555" spans="1:42" ht="60">
      <c r="A555" t="s">
        <v>2006</v>
      </c>
      <c r="B555" s="8"/>
      <c r="C555" s="8" t="s">
        <v>2007</v>
      </c>
      <c r="D555" s="8" t="s">
        <v>57</v>
      </c>
      <c r="E555" s="8" t="s">
        <v>167</v>
      </c>
      <c r="F555" s="8" t="s">
        <v>2008</v>
      </c>
      <c r="G555" s="8" t="s">
        <v>2008</v>
      </c>
      <c r="H555" s="9">
        <v>5000000</v>
      </c>
      <c r="I555" s="9">
        <f>[1]!Tabel1[[#This Row],[Honorar]]*[1]!Tabel1[[#This Row],[Sandsynlighed]]</f>
        <v>850000</v>
      </c>
      <c r="J555" s="10" t="s">
        <v>612</v>
      </c>
      <c r="K555" s="10" t="s">
        <v>341</v>
      </c>
      <c r="L555" s="17" t="s">
        <v>2009</v>
      </c>
      <c r="M555" s="11">
        <v>0.01</v>
      </c>
      <c r="N555" s="1"/>
      <c r="O555" s="10">
        <v>46279.611122685186</v>
      </c>
      <c r="P555" s="10"/>
      <c r="Q555" s="1" t="s">
        <v>72</v>
      </c>
      <c r="R555" s="8" t="s">
        <v>49</v>
      </c>
      <c r="S55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5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5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5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5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5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5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5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5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5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5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5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5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55" s="12">
        <f ca="1">[1]!Tabel1[[#This Row],[Vægtet Honorar]]*([1]!Tabel1[[#This Row],[Sidst redigeret]]&gt;TODAY()-40)*([1]!Tabel1[[#This Row],[Er i resplan?]]&lt;&gt;"Ja")*([1]!Tabel1[[#This Row],[Status]]="Pågår")</f>
        <v>0</v>
      </c>
      <c r="AG555" s="12">
        <f ca="1">[1]!Tabel1[[#This Row],[Vægtet Honorar]]*([1]!Tabel1[[#This Row],[Sidst redigeret]]&gt;TODAY()-40)*([1]!Tabel1[[#This Row],[Status]]="Pågår")</f>
        <v>0</v>
      </c>
      <c r="AH555" s="13"/>
      <c r="AI555" s="12"/>
      <c r="AJ555" s="12" t="s">
        <v>1352</v>
      </c>
      <c r="AK555" s="12" t="s">
        <v>2010</v>
      </c>
      <c r="AL555" s="12"/>
      <c r="AM555" s="12"/>
      <c r="AN555" s="12"/>
      <c r="AO555" s="12"/>
      <c r="AP555" s="12"/>
    </row>
    <row r="556" spans="1:42" ht="165">
      <c r="A556" t="s">
        <v>2011</v>
      </c>
      <c r="B556" s="8"/>
      <c r="C556" s="8" t="s">
        <v>2012</v>
      </c>
      <c r="D556" s="8" t="s">
        <v>896</v>
      </c>
      <c r="E556" s="8" t="s">
        <v>94</v>
      </c>
      <c r="F556" s="8" t="s">
        <v>2012</v>
      </c>
      <c r="G556" s="8" t="s">
        <v>2012</v>
      </c>
      <c r="H556" s="9">
        <v>2000000</v>
      </c>
      <c r="I556" s="9">
        <f>[1]!Tabel1[[#This Row],[Honorar]]*[1]!Tabel1[[#This Row],[Sandsynlighed]]</f>
        <v>100000</v>
      </c>
      <c r="J556" s="10" t="s">
        <v>341</v>
      </c>
      <c r="K556" s="10" t="s">
        <v>342</v>
      </c>
      <c r="L556" s="17" t="s">
        <v>2013</v>
      </c>
      <c r="M556" s="11">
        <v>0.25</v>
      </c>
      <c r="N556" s="1">
        <v>2300</v>
      </c>
      <c r="O556" s="10">
        <v>46279.611122685186</v>
      </c>
      <c r="P556" s="1" t="s">
        <v>72</v>
      </c>
      <c r="Q556" s="1" t="s">
        <v>72</v>
      </c>
      <c r="R556" s="8" t="s">
        <v>75</v>
      </c>
      <c r="S55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5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5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5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5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5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5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5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5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5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5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5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5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56" s="12">
        <f ca="1">[1]!Tabel1[[#This Row],[Vægtet Honorar]]*([1]!Tabel1[[#This Row],[Sidst redigeret]]&gt;TODAY()-40)*([1]!Tabel1[[#This Row],[Er i resplan?]]&lt;&gt;"Ja")*([1]!Tabel1[[#This Row],[Status]]="Pågår")</f>
        <v>0</v>
      </c>
      <c r="AG556" s="12">
        <f ca="1">[1]!Tabel1[[#This Row],[Vægtet Honorar]]*([1]!Tabel1[[#This Row],[Sidst redigeret]]&gt;TODAY()-40)*([1]!Tabel1[[#This Row],[Status]]="Pågår")</f>
        <v>0</v>
      </c>
      <c r="AH556" s="13">
        <v>46041</v>
      </c>
      <c r="AI556" s="12"/>
      <c r="AJ556" s="12" t="s">
        <v>2014</v>
      </c>
      <c r="AK556" s="12" t="s">
        <v>1856</v>
      </c>
      <c r="AL556" s="12"/>
      <c r="AM556" s="12"/>
      <c r="AN556" s="12"/>
      <c r="AO556" s="12"/>
      <c r="AP556" s="12"/>
    </row>
    <row r="557" spans="1:42" ht="90">
      <c r="A557" t="s">
        <v>2015</v>
      </c>
      <c r="B557" s="8"/>
      <c r="C557" s="8" t="s">
        <v>2016</v>
      </c>
      <c r="D557" s="8" t="s">
        <v>134</v>
      </c>
      <c r="E557" s="8" t="s">
        <v>94</v>
      </c>
      <c r="F557" s="8" t="s">
        <v>2017</v>
      </c>
      <c r="G557" s="8" t="s">
        <v>929</v>
      </c>
      <c r="H557" s="9">
        <v>125000</v>
      </c>
      <c r="I557" s="9">
        <f>[1]!Tabel1[[#This Row],[Honorar]]*[1]!Tabel1[[#This Row],[Sandsynlighed]]</f>
        <v>132000</v>
      </c>
      <c r="J557" s="10" t="s">
        <v>622</v>
      </c>
      <c r="K557" s="10" t="s">
        <v>328</v>
      </c>
      <c r="L557" s="17" t="s">
        <v>2018</v>
      </c>
      <c r="M557" s="11">
        <v>0.5</v>
      </c>
      <c r="N557" s="1">
        <v>120</v>
      </c>
      <c r="O557" s="10">
        <v>46279.611122685186</v>
      </c>
      <c r="P557" s="1" t="s">
        <v>72</v>
      </c>
      <c r="Q557" s="1" t="s">
        <v>46</v>
      </c>
      <c r="R557" s="8" t="s">
        <v>47</v>
      </c>
      <c r="S55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5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5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5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5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5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5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5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5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5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5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5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5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57" s="12">
        <f ca="1">[1]!Tabel1[[#This Row],[Vægtet Honorar]]*([1]!Tabel1[[#This Row],[Sidst redigeret]]&gt;TODAY()-40)*([1]!Tabel1[[#This Row],[Er i resplan?]]&lt;&gt;"Ja")*([1]!Tabel1[[#This Row],[Status]]="Pågår")</f>
        <v>0</v>
      </c>
      <c r="AG557" s="12">
        <f ca="1">[1]!Tabel1[[#This Row],[Vægtet Honorar]]*([1]!Tabel1[[#This Row],[Sidst redigeret]]&gt;TODAY()-40)*([1]!Tabel1[[#This Row],[Status]]="Pågår")</f>
        <v>0</v>
      </c>
      <c r="AH557" s="13"/>
      <c r="AI557" s="12"/>
      <c r="AJ557" s="12"/>
      <c r="AK557" s="12"/>
      <c r="AL557" s="12"/>
      <c r="AM557" s="12"/>
      <c r="AN557" s="12"/>
      <c r="AO557" s="12"/>
      <c r="AP557" s="12"/>
    </row>
    <row r="558" spans="1:42" ht="45">
      <c r="A558" t="s">
        <v>2019</v>
      </c>
      <c r="B558" s="8"/>
      <c r="C558" s="8" t="s">
        <v>2020</v>
      </c>
      <c r="D558" s="8" t="s">
        <v>93</v>
      </c>
      <c r="E558" s="8" t="s">
        <v>94</v>
      </c>
      <c r="F558" s="8" t="s">
        <v>2021</v>
      </c>
      <c r="G558" s="8" t="s">
        <v>2021</v>
      </c>
      <c r="H558" s="9">
        <v>1000000</v>
      </c>
      <c r="I558" s="9">
        <f>[1]!Tabel1[[#This Row],[Honorar]]*[1]!Tabel1[[#This Row],[Sandsynlighed]]</f>
        <v>10000</v>
      </c>
      <c r="J558" s="10" t="s">
        <v>584</v>
      </c>
      <c r="K558" s="10" t="s">
        <v>612</v>
      </c>
      <c r="L558" s="17" t="s">
        <v>2022</v>
      </c>
      <c r="M558" s="11">
        <v>0.1</v>
      </c>
      <c r="N558" s="1">
        <v>600</v>
      </c>
      <c r="O558" s="10">
        <v>46279.611122685186</v>
      </c>
      <c r="P558" s="1" t="s">
        <v>72</v>
      </c>
      <c r="Q558" s="1" t="s">
        <v>72</v>
      </c>
      <c r="R558" s="8" t="s">
        <v>75</v>
      </c>
      <c r="S55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5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5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5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5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5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5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5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5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5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5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5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5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58" s="12">
        <f ca="1">[1]!Tabel1[[#This Row],[Vægtet Honorar]]*([1]!Tabel1[[#This Row],[Sidst redigeret]]&gt;TODAY()-40)*([1]!Tabel1[[#This Row],[Er i resplan?]]&lt;&gt;"Ja")*([1]!Tabel1[[#This Row],[Status]]="Pågår")</f>
        <v>0</v>
      </c>
      <c r="AG558" s="12">
        <f ca="1">[1]!Tabel1[[#This Row],[Vægtet Honorar]]*([1]!Tabel1[[#This Row],[Sidst redigeret]]&gt;TODAY()-40)*([1]!Tabel1[[#This Row],[Status]]="Pågår")</f>
        <v>0</v>
      </c>
      <c r="AH558" s="13"/>
      <c r="AI558" s="12"/>
      <c r="AJ558" s="12" t="s">
        <v>1109</v>
      </c>
      <c r="AK558" s="12" t="s">
        <v>2023</v>
      </c>
      <c r="AL558" s="12"/>
      <c r="AM558" s="12"/>
      <c r="AN558" s="12" t="s">
        <v>75</v>
      </c>
      <c r="AO558" s="12"/>
      <c r="AP558" s="12"/>
    </row>
    <row r="559" spans="1:42" ht="30">
      <c r="A559" t="s">
        <v>2024</v>
      </c>
      <c r="B559" s="8"/>
      <c r="C559" s="8" t="s">
        <v>2025</v>
      </c>
      <c r="D559" s="8" t="s">
        <v>2026</v>
      </c>
      <c r="E559" s="8" t="s">
        <v>94</v>
      </c>
      <c r="F559" s="8" t="s">
        <v>2027</v>
      </c>
      <c r="G559" s="8" t="s">
        <v>2027</v>
      </c>
      <c r="H559" s="9">
        <v>20000</v>
      </c>
      <c r="I559" s="9">
        <f>[1]!Tabel1[[#This Row],[Honorar]]*[1]!Tabel1[[#This Row],[Sandsynlighed]]</f>
        <v>150000</v>
      </c>
      <c r="J559" s="10" t="s">
        <v>584</v>
      </c>
      <c r="K559" s="10" t="s">
        <v>612</v>
      </c>
      <c r="L559" s="17" t="s">
        <v>2028</v>
      </c>
      <c r="M559" s="11">
        <v>0.75</v>
      </c>
      <c r="N559" s="1">
        <v>100</v>
      </c>
      <c r="O559" s="10">
        <v>46279.611122685186</v>
      </c>
      <c r="P559" s="1" t="s">
        <v>72</v>
      </c>
      <c r="Q559" s="1" t="s">
        <v>46</v>
      </c>
      <c r="R559" s="8" t="s">
        <v>47</v>
      </c>
      <c r="S55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6258.5733882030181</v>
      </c>
      <c r="T55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5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5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5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5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5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5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5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5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5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5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5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59" s="12">
        <f ca="1">[1]!Tabel1[[#This Row],[Vægtet Honorar]]*([1]!Tabel1[[#This Row],[Sidst redigeret]]&gt;TODAY()-40)*([1]!Tabel1[[#This Row],[Er i resplan?]]&lt;&gt;"Ja")*([1]!Tabel1[[#This Row],[Status]]="Pågår")</f>
        <v>0</v>
      </c>
      <c r="AG559" s="12">
        <f ca="1">[1]!Tabel1[[#This Row],[Vægtet Honorar]]*([1]!Tabel1[[#This Row],[Sidst redigeret]]&gt;TODAY()-40)*([1]!Tabel1[[#This Row],[Status]]="Pågår")</f>
        <v>0</v>
      </c>
      <c r="AH559" s="13"/>
      <c r="AI559" s="12"/>
      <c r="AJ559" s="12"/>
      <c r="AK559" s="12"/>
      <c r="AL559" s="12"/>
      <c r="AM559" s="12"/>
      <c r="AN559" s="12"/>
      <c r="AO559" s="12"/>
      <c r="AP559" s="12"/>
    </row>
    <row r="560" spans="1:42" ht="45">
      <c r="A560" t="s">
        <v>2029</v>
      </c>
      <c r="B560" s="8"/>
      <c r="C560" s="8" t="s">
        <v>2030</v>
      </c>
      <c r="D560" s="8" t="s">
        <v>57</v>
      </c>
      <c r="E560" s="8" t="s">
        <v>94</v>
      </c>
      <c r="F560" s="8" t="s">
        <v>2031</v>
      </c>
      <c r="G560" s="8" t="s">
        <v>2031</v>
      </c>
      <c r="H560" s="9">
        <v>50000</v>
      </c>
      <c r="I560" s="9">
        <f>[1]!Tabel1[[#This Row],[Honorar]]*[1]!Tabel1[[#This Row],[Sandsynlighed]]</f>
        <v>50000</v>
      </c>
      <c r="J560" s="10" t="s">
        <v>612</v>
      </c>
      <c r="K560" s="10" t="s">
        <v>1191</v>
      </c>
      <c r="L560" s="17" t="s">
        <v>2032</v>
      </c>
      <c r="M560" s="11">
        <v>0</v>
      </c>
      <c r="N560" s="1">
        <v>2500</v>
      </c>
      <c r="O560" s="10">
        <v>46279.611122685186</v>
      </c>
      <c r="P560" s="1" t="s">
        <v>72</v>
      </c>
      <c r="Q560" s="1" t="s">
        <v>72</v>
      </c>
      <c r="R560" s="8" t="s">
        <v>49</v>
      </c>
      <c r="S56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2785.4090354090354</v>
      </c>
      <c r="T56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6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6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6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6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6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6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6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6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6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6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6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60" s="12">
        <f ca="1">[1]!Tabel1[[#This Row],[Vægtet Honorar]]*([1]!Tabel1[[#This Row],[Sidst redigeret]]&gt;TODAY()-40)*([1]!Tabel1[[#This Row],[Er i resplan?]]&lt;&gt;"Ja")*([1]!Tabel1[[#This Row],[Status]]="Pågår")</f>
        <v>0</v>
      </c>
      <c r="AG560" s="12">
        <f ca="1">[1]!Tabel1[[#This Row],[Vægtet Honorar]]*([1]!Tabel1[[#This Row],[Sidst redigeret]]&gt;TODAY()-40)*([1]!Tabel1[[#This Row],[Status]]="Pågår")</f>
        <v>0</v>
      </c>
      <c r="AH560" s="13"/>
      <c r="AI560" s="12"/>
      <c r="AJ560" s="12"/>
      <c r="AK560" s="12"/>
      <c r="AL560" s="12"/>
      <c r="AM560" s="12"/>
      <c r="AN560" s="12"/>
      <c r="AO560" s="12"/>
      <c r="AP560" s="12"/>
    </row>
    <row r="561" spans="1:42">
      <c r="A561" t="s">
        <v>2033</v>
      </c>
      <c r="B561" s="8"/>
      <c r="C561" s="8" t="s">
        <v>2034</v>
      </c>
      <c r="D561" s="8" t="s">
        <v>1468</v>
      </c>
      <c r="E561" s="8" t="s">
        <v>167</v>
      </c>
      <c r="F561" s="8" t="s">
        <v>2035</v>
      </c>
      <c r="G561" s="8" t="s">
        <v>2035</v>
      </c>
      <c r="H561" s="9">
        <v>100000</v>
      </c>
      <c r="I561" s="9">
        <f>[1]!Tabel1[[#This Row],[Honorar]]*[1]!Tabel1[[#This Row],[Sandsynlighed]]</f>
        <v>500000</v>
      </c>
      <c r="J561" s="10" t="s">
        <v>622</v>
      </c>
      <c r="K561" s="10" t="s">
        <v>328</v>
      </c>
      <c r="L561" s="17"/>
      <c r="M561" s="11">
        <v>1</v>
      </c>
      <c r="N561" s="1"/>
      <c r="O561" s="10">
        <v>46279.611122685186</v>
      </c>
      <c r="P561" s="10" t="s">
        <v>46</v>
      </c>
      <c r="Q561" s="1" t="s">
        <v>46</v>
      </c>
      <c r="R561" s="8" t="s">
        <v>47</v>
      </c>
      <c r="S56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6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6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6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6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6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6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6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6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6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6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6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6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61" s="12">
        <f ca="1">[1]!Tabel1[[#This Row],[Vægtet Honorar]]*([1]!Tabel1[[#This Row],[Sidst redigeret]]&gt;TODAY()-40)*([1]!Tabel1[[#This Row],[Er i resplan?]]&lt;&gt;"Ja")*([1]!Tabel1[[#This Row],[Status]]="Pågår")</f>
        <v>0</v>
      </c>
      <c r="AG561" s="12">
        <f ca="1">[1]!Tabel1[[#This Row],[Vægtet Honorar]]*([1]!Tabel1[[#This Row],[Sidst redigeret]]&gt;TODAY()-40)*([1]!Tabel1[[#This Row],[Status]]="Pågår")</f>
        <v>0</v>
      </c>
      <c r="AH561" s="13"/>
      <c r="AI561" s="12"/>
      <c r="AJ561" s="12"/>
      <c r="AK561" s="12"/>
      <c r="AL561" s="12"/>
      <c r="AM561" s="12"/>
      <c r="AN561" s="12"/>
      <c r="AO561" s="12"/>
      <c r="AP561" s="12"/>
    </row>
    <row r="562" spans="1:42">
      <c r="A562" t="s">
        <v>2036</v>
      </c>
      <c r="B562" s="8"/>
      <c r="C562" s="8" t="s">
        <v>2037</v>
      </c>
      <c r="D562" s="8" t="s">
        <v>720</v>
      </c>
      <c r="E562" s="8" t="s">
        <v>71</v>
      </c>
      <c r="F562" s="8" t="s">
        <v>2038</v>
      </c>
      <c r="G562" s="8" t="s">
        <v>2038</v>
      </c>
      <c r="H562" s="9">
        <v>0</v>
      </c>
      <c r="I562" s="9">
        <f>[1]!Tabel1[[#This Row],[Honorar]]*[1]!Tabel1[[#This Row],[Sandsynlighed]]</f>
        <v>62500</v>
      </c>
      <c r="J562" s="10" t="s">
        <v>612</v>
      </c>
      <c r="K562" s="10" t="s">
        <v>2039</v>
      </c>
      <c r="L562" s="17"/>
      <c r="M562" s="11">
        <v>0.01</v>
      </c>
      <c r="N562" s="1"/>
      <c r="O562" s="10">
        <v>46279.611122685186</v>
      </c>
      <c r="P562" s="10"/>
      <c r="Q562" s="1" t="s">
        <v>72</v>
      </c>
      <c r="R562" s="8" t="s">
        <v>343</v>
      </c>
      <c r="S56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6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6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6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6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6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6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6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6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6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6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6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6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62" s="12">
        <f ca="1">[1]!Tabel1[[#This Row],[Vægtet Honorar]]*([1]!Tabel1[[#This Row],[Sidst redigeret]]&gt;TODAY()-40)*([1]!Tabel1[[#This Row],[Er i resplan?]]&lt;&gt;"Ja")*([1]!Tabel1[[#This Row],[Status]]="Pågår")</f>
        <v>0</v>
      </c>
      <c r="AG562" s="12">
        <f ca="1">[1]!Tabel1[[#This Row],[Vægtet Honorar]]*([1]!Tabel1[[#This Row],[Sidst redigeret]]&gt;TODAY()-40)*([1]!Tabel1[[#This Row],[Status]]="Pågår")</f>
        <v>0</v>
      </c>
      <c r="AH562" s="13"/>
      <c r="AI562" s="12"/>
      <c r="AJ562" s="12"/>
      <c r="AK562" s="12"/>
      <c r="AL562" s="12"/>
      <c r="AM562" s="12"/>
      <c r="AN562" s="12"/>
      <c r="AO562" s="12"/>
      <c r="AP562" s="12"/>
    </row>
    <row r="563" spans="1:42" ht="30">
      <c r="A563" t="s">
        <v>2040</v>
      </c>
      <c r="B563" s="8"/>
      <c r="C563" s="8" t="s">
        <v>2041</v>
      </c>
      <c r="D563" s="8" t="s">
        <v>93</v>
      </c>
      <c r="E563" s="8" t="s">
        <v>94</v>
      </c>
      <c r="F563" s="8" t="s">
        <v>2042</v>
      </c>
      <c r="G563" s="8" t="s">
        <v>2042</v>
      </c>
      <c r="H563" s="9">
        <v>10000000</v>
      </c>
      <c r="I563" s="9">
        <f>[1]!Tabel1[[#This Row],[Honorar]]*[1]!Tabel1[[#This Row],[Sandsynlighed]]</f>
        <v>100000</v>
      </c>
      <c r="J563" s="10" t="s">
        <v>612</v>
      </c>
      <c r="K563" s="10" t="s">
        <v>898</v>
      </c>
      <c r="L563" s="17" t="s">
        <v>1736</v>
      </c>
      <c r="M563" s="11">
        <v>0.1</v>
      </c>
      <c r="N563" s="1">
        <v>2500</v>
      </c>
      <c r="O563" s="10">
        <v>46279.611122685186</v>
      </c>
      <c r="P563" s="1" t="s">
        <v>72</v>
      </c>
      <c r="Q563" s="1" t="s">
        <v>72</v>
      </c>
      <c r="R563" s="8" t="s">
        <v>75</v>
      </c>
      <c r="S56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6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6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6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6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6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6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6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6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6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6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6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6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63" s="12">
        <f ca="1">[1]!Tabel1[[#This Row],[Vægtet Honorar]]*([1]!Tabel1[[#This Row],[Sidst redigeret]]&gt;TODAY()-40)*([1]!Tabel1[[#This Row],[Er i resplan?]]&lt;&gt;"Ja")*([1]!Tabel1[[#This Row],[Status]]="Pågår")</f>
        <v>0</v>
      </c>
      <c r="AG563" s="12">
        <f ca="1">[1]!Tabel1[[#This Row],[Vægtet Honorar]]*([1]!Tabel1[[#This Row],[Sidst redigeret]]&gt;TODAY()-40)*([1]!Tabel1[[#This Row],[Status]]="Pågår")</f>
        <v>0</v>
      </c>
      <c r="AH563" s="13"/>
      <c r="AI563" s="12"/>
      <c r="AJ563" s="12" t="s">
        <v>1737</v>
      </c>
      <c r="AK563" s="12"/>
      <c r="AL563" s="12"/>
      <c r="AM563" s="12"/>
      <c r="AN563" s="12"/>
      <c r="AO563" s="12"/>
      <c r="AP563" s="12"/>
    </row>
    <row r="564" spans="1:42">
      <c r="A564" t="s">
        <v>2043</v>
      </c>
      <c r="B564" s="8"/>
      <c r="C564" s="8" t="s">
        <v>2044</v>
      </c>
      <c r="D564" s="8" t="s">
        <v>57</v>
      </c>
      <c r="E564" s="8" t="s">
        <v>167</v>
      </c>
      <c r="F564" s="8" t="s">
        <v>2045</v>
      </c>
      <c r="G564" s="8" t="s">
        <v>2045</v>
      </c>
      <c r="H564" s="9">
        <v>12000</v>
      </c>
      <c r="I564" s="9">
        <f>[1]!Tabel1[[#This Row],[Honorar]]*[1]!Tabel1[[#This Row],[Sandsynlighed]]</f>
        <v>15000</v>
      </c>
      <c r="J564" s="10" t="s">
        <v>622</v>
      </c>
      <c r="K564" s="10" t="s">
        <v>328</v>
      </c>
      <c r="L564" s="17"/>
      <c r="M564" s="11">
        <v>1</v>
      </c>
      <c r="N564" s="1">
        <v>250</v>
      </c>
      <c r="O564" s="10">
        <v>46279.611122685186</v>
      </c>
      <c r="P564" s="10"/>
      <c r="Q564" s="1" t="s">
        <v>72</v>
      </c>
      <c r="R564" s="8" t="s">
        <v>47</v>
      </c>
      <c r="S56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6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6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6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6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6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6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6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6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6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6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6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6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64" s="12">
        <f ca="1">[1]!Tabel1[[#This Row],[Vægtet Honorar]]*([1]!Tabel1[[#This Row],[Sidst redigeret]]&gt;TODAY()-40)*([1]!Tabel1[[#This Row],[Er i resplan?]]&lt;&gt;"Ja")*([1]!Tabel1[[#This Row],[Status]]="Pågår")</f>
        <v>0</v>
      </c>
      <c r="AG564" s="12">
        <f ca="1">[1]!Tabel1[[#This Row],[Vægtet Honorar]]*([1]!Tabel1[[#This Row],[Sidst redigeret]]&gt;TODAY()-40)*([1]!Tabel1[[#This Row],[Status]]="Pågår")</f>
        <v>0</v>
      </c>
      <c r="AH564" s="13"/>
      <c r="AI564" s="12"/>
      <c r="AJ564" s="12"/>
      <c r="AK564" s="12"/>
      <c r="AL564" s="12"/>
      <c r="AM564" s="12"/>
      <c r="AN564" s="12"/>
      <c r="AO564" s="12"/>
      <c r="AP564" s="12"/>
    </row>
    <row r="565" spans="1:42">
      <c r="A565" t="s">
        <v>2046</v>
      </c>
      <c r="B565" s="8"/>
      <c r="C565" s="8" t="s">
        <v>2047</v>
      </c>
      <c r="D565" s="8" t="s">
        <v>57</v>
      </c>
      <c r="E565" s="8" t="s">
        <v>167</v>
      </c>
      <c r="F565" s="8" t="s">
        <v>2048</v>
      </c>
      <c r="G565" s="8" t="s">
        <v>2048</v>
      </c>
      <c r="H565" s="9">
        <v>6000000</v>
      </c>
      <c r="I565" s="9">
        <f>[1]!Tabel1[[#This Row],[Honorar]]*[1]!Tabel1[[#This Row],[Sandsynlighed]]</f>
        <v>0</v>
      </c>
      <c r="J565" s="10" t="s">
        <v>622</v>
      </c>
      <c r="K565" s="10" t="s">
        <v>1191</v>
      </c>
      <c r="L565" s="17" t="s">
        <v>942</v>
      </c>
      <c r="M565" s="11">
        <v>0</v>
      </c>
      <c r="N565" s="1">
        <v>19000</v>
      </c>
      <c r="O565" s="10">
        <v>46279.611122685186</v>
      </c>
      <c r="P565" s="10"/>
      <c r="Q565" s="1" t="s">
        <v>72</v>
      </c>
      <c r="R565" s="8" t="s">
        <v>75</v>
      </c>
      <c r="S56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6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6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6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6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6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6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6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6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6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6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6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6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65" s="12">
        <f ca="1">[1]!Tabel1[[#This Row],[Vægtet Honorar]]*([1]!Tabel1[[#This Row],[Sidst redigeret]]&gt;TODAY()-40)*([1]!Tabel1[[#This Row],[Er i resplan?]]&lt;&gt;"Ja")*([1]!Tabel1[[#This Row],[Status]]="Pågår")</f>
        <v>0</v>
      </c>
      <c r="AG565" s="12">
        <f ca="1">[1]!Tabel1[[#This Row],[Vægtet Honorar]]*([1]!Tabel1[[#This Row],[Sidst redigeret]]&gt;TODAY()-40)*([1]!Tabel1[[#This Row],[Status]]="Pågår")</f>
        <v>0</v>
      </c>
      <c r="AH565" s="13"/>
      <c r="AI565" s="12"/>
      <c r="AJ565" s="12" t="s">
        <v>2049</v>
      </c>
      <c r="AK565" s="12"/>
      <c r="AL565" s="12"/>
      <c r="AM565" s="12"/>
      <c r="AN565" s="12"/>
      <c r="AO565" s="12"/>
      <c r="AP565" s="12"/>
    </row>
    <row r="566" spans="1:42" ht="45">
      <c r="A566" t="s">
        <v>2050</v>
      </c>
      <c r="B566" s="8"/>
      <c r="C566" s="8" t="s">
        <v>2051</v>
      </c>
      <c r="D566" s="8" t="s">
        <v>197</v>
      </c>
      <c r="E566" s="8" t="s">
        <v>167</v>
      </c>
      <c r="F566" s="8" t="s">
        <v>671</v>
      </c>
      <c r="G566" s="8" t="s">
        <v>2052</v>
      </c>
      <c r="H566" s="9">
        <v>600000</v>
      </c>
      <c r="I566" s="9">
        <f>[1]!Tabel1[[#This Row],[Honorar]]*[1]!Tabel1[[#This Row],[Sandsynlighed]]</f>
        <v>100000</v>
      </c>
      <c r="J566" s="10" t="s">
        <v>584</v>
      </c>
      <c r="K566" s="10" t="s">
        <v>612</v>
      </c>
      <c r="L566" s="17" t="s">
        <v>2053</v>
      </c>
      <c r="M566" s="11">
        <v>0</v>
      </c>
      <c r="N566" s="1">
        <v>1000</v>
      </c>
      <c r="O566" s="10">
        <v>46279.611122685186</v>
      </c>
      <c r="P566" s="10"/>
      <c r="Q566" s="1" t="s">
        <v>72</v>
      </c>
      <c r="R566" s="8" t="s">
        <v>75</v>
      </c>
      <c r="S56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6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6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6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6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6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6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6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6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6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6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6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6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66" s="12">
        <f ca="1">[1]!Tabel1[[#This Row],[Vægtet Honorar]]*([1]!Tabel1[[#This Row],[Sidst redigeret]]&gt;TODAY()-40)*([1]!Tabel1[[#This Row],[Er i resplan?]]&lt;&gt;"Ja")*([1]!Tabel1[[#This Row],[Status]]="Pågår")</f>
        <v>0</v>
      </c>
      <c r="AG566" s="12">
        <f ca="1">[1]!Tabel1[[#This Row],[Vægtet Honorar]]*([1]!Tabel1[[#This Row],[Sidst redigeret]]&gt;TODAY()-40)*([1]!Tabel1[[#This Row],[Status]]="Pågår")</f>
        <v>0</v>
      </c>
      <c r="AH566" s="13"/>
      <c r="AI566" s="12"/>
      <c r="AJ566" s="12"/>
      <c r="AK566" s="12"/>
      <c r="AL566" s="12"/>
      <c r="AM566" s="12"/>
      <c r="AN566" s="12"/>
      <c r="AO566" s="12"/>
      <c r="AP566" s="12"/>
    </row>
    <row r="567" spans="1:42" ht="30">
      <c r="A567" t="s">
        <v>2054</v>
      </c>
      <c r="B567" s="8"/>
      <c r="C567" s="8" t="s">
        <v>2055</v>
      </c>
      <c r="D567" s="8" t="s">
        <v>1623</v>
      </c>
      <c r="E567" s="8" t="s">
        <v>102</v>
      </c>
      <c r="F567" s="8" t="s">
        <v>2056</v>
      </c>
      <c r="G567" s="8" t="s">
        <v>2056</v>
      </c>
      <c r="H567" s="9">
        <v>5000000</v>
      </c>
      <c r="I567" s="9">
        <f>[1]!Tabel1[[#This Row],[Honorar]]*[1]!Tabel1[[#This Row],[Sandsynlighed]]</f>
        <v>0</v>
      </c>
      <c r="J567" s="10" t="s">
        <v>612</v>
      </c>
      <c r="K567" s="10" t="s">
        <v>342</v>
      </c>
      <c r="L567" s="17" t="s">
        <v>2057</v>
      </c>
      <c r="M567" s="11">
        <v>0.05</v>
      </c>
      <c r="N567" s="1"/>
      <c r="O567" s="10">
        <v>46279.611122685186</v>
      </c>
      <c r="P567" s="10"/>
      <c r="Q567" s="1" t="s">
        <v>72</v>
      </c>
      <c r="R567" s="8" t="s">
        <v>75</v>
      </c>
      <c r="S56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6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6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6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6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6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6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6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6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6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6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6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6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67" s="12">
        <f ca="1">[1]!Tabel1[[#This Row],[Vægtet Honorar]]*([1]!Tabel1[[#This Row],[Sidst redigeret]]&gt;TODAY()-40)*([1]!Tabel1[[#This Row],[Er i resplan?]]&lt;&gt;"Ja")*([1]!Tabel1[[#This Row],[Status]]="Pågår")</f>
        <v>0</v>
      </c>
      <c r="AG567" s="12">
        <f ca="1">[1]!Tabel1[[#This Row],[Vægtet Honorar]]*([1]!Tabel1[[#This Row],[Sidst redigeret]]&gt;TODAY()-40)*([1]!Tabel1[[#This Row],[Status]]="Pågår")</f>
        <v>0</v>
      </c>
      <c r="AH567" s="13"/>
      <c r="AI567" s="12"/>
      <c r="AJ567" s="12" t="s">
        <v>1551</v>
      </c>
      <c r="AK567" s="12"/>
      <c r="AL567" s="12"/>
      <c r="AM567" s="12"/>
      <c r="AN567" s="12"/>
      <c r="AO567" s="12" t="s">
        <v>2058</v>
      </c>
      <c r="AP567" s="12"/>
    </row>
    <row r="568" spans="1:42">
      <c r="A568" t="s">
        <v>2059</v>
      </c>
      <c r="B568" s="8"/>
      <c r="C568" s="8" t="s">
        <v>2060</v>
      </c>
      <c r="D568" s="8" t="s">
        <v>134</v>
      </c>
      <c r="E568" s="8" t="s">
        <v>94</v>
      </c>
      <c r="F568" s="8" t="s">
        <v>2061</v>
      </c>
      <c r="G568" s="8" t="s">
        <v>2062</v>
      </c>
      <c r="H568" s="9">
        <v>500000</v>
      </c>
      <c r="I568" s="9">
        <f>[1]!Tabel1[[#This Row],[Honorar]]*[1]!Tabel1[[#This Row],[Sandsynlighed]]</f>
        <v>1000000</v>
      </c>
      <c r="J568" s="10" t="s">
        <v>1061</v>
      </c>
      <c r="K568" s="10" t="s">
        <v>1191</v>
      </c>
      <c r="L568" s="17"/>
      <c r="M568" s="11">
        <v>0.1</v>
      </c>
      <c r="N568" s="1"/>
      <c r="O568" s="10">
        <v>46279.611122685186</v>
      </c>
      <c r="P568" s="1" t="s">
        <v>72</v>
      </c>
      <c r="Q568" s="1" t="s">
        <v>72</v>
      </c>
      <c r="R568" s="8" t="s">
        <v>75</v>
      </c>
      <c r="S56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6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6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6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6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6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6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6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6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6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6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6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6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68" s="12">
        <f ca="1">[1]!Tabel1[[#This Row],[Vægtet Honorar]]*([1]!Tabel1[[#This Row],[Sidst redigeret]]&gt;TODAY()-40)*([1]!Tabel1[[#This Row],[Er i resplan?]]&lt;&gt;"Ja")*([1]!Tabel1[[#This Row],[Status]]="Pågår")</f>
        <v>0</v>
      </c>
      <c r="AG568" s="12">
        <f ca="1">[1]!Tabel1[[#This Row],[Vægtet Honorar]]*([1]!Tabel1[[#This Row],[Sidst redigeret]]&gt;TODAY()-40)*([1]!Tabel1[[#This Row],[Status]]="Pågår")</f>
        <v>0</v>
      </c>
      <c r="AH568" s="13"/>
      <c r="AI568" s="12"/>
      <c r="AJ568" s="12"/>
      <c r="AK568" s="12"/>
      <c r="AL568" s="12"/>
      <c r="AM568" s="12"/>
      <c r="AN568" s="12"/>
      <c r="AO568" s="12"/>
      <c r="AP568" s="12"/>
    </row>
    <row r="569" spans="1:42" ht="45">
      <c r="A569" t="s">
        <v>2063</v>
      </c>
      <c r="B569" s="8"/>
      <c r="C569" s="8" t="s">
        <v>2064</v>
      </c>
      <c r="D569" s="8" t="s">
        <v>720</v>
      </c>
      <c r="E569" s="8" t="s">
        <v>71</v>
      </c>
      <c r="F569" s="8" t="s">
        <v>968</v>
      </c>
      <c r="G569" s="8" t="s">
        <v>1993</v>
      </c>
      <c r="H569" s="9">
        <v>1500000</v>
      </c>
      <c r="I569" s="9">
        <f>[1]!Tabel1[[#This Row],[Honorar]]*[1]!Tabel1[[#This Row],[Sandsynlighed]]</f>
        <v>12000</v>
      </c>
      <c r="J569" s="10" t="s">
        <v>452</v>
      </c>
      <c r="K569" s="10" t="s">
        <v>1191</v>
      </c>
      <c r="L569" s="17" t="s">
        <v>2065</v>
      </c>
      <c r="M569" s="11">
        <v>0.02</v>
      </c>
      <c r="N569" s="1">
        <v>14700</v>
      </c>
      <c r="O569" s="10">
        <v>46279.611122685186</v>
      </c>
      <c r="P569" s="10"/>
      <c r="Q569" s="1" t="s">
        <v>72</v>
      </c>
      <c r="R569" s="8" t="s">
        <v>75</v>
      </c>
      <c r="S56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1336.996336996337</v>
      </c>
      <c r="T56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6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6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6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6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6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6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6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6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6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6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6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69" s="12">
        <f ca="1">[1]!Tabel1[[#This Row],[Vægtet Honorar]]*([1]!Tabel1[[#This Row],[Sidst redigeret]]&gt;TODAY()-40)*([1]!Tabel1[[#This Row],[Er i resplan?]]&lt;&gt;"Ja")*([1]!Tabel1[[#This Row],[Status]]="Pågår")</f>
        <v>0</v>
      </c>
      <c r="AG569" s="12">
        <f ca="1">[1]!Tabel1[[#This Row],[Vægtet Honorar]]*([1]!Tabel1[[#This Row],[Sidst redigeret]]&gt;TODAY()-40)*([1]!Tabel1[[#This Row],[Status]]="Pågår")</f>
        <v>0</v>
      </c>
      <c r="AH569" s="13"/>
      <c r="AI569" s="12"/>
      <c r="AJ569" s="12" t="s">
        <v>2049</v>
      </c>
      <c r="AK569" s="12"/>
      <c r="AL569" s="12"/>
      <c r="AM569" s="12"/>
      <c r="AN569" s="12"/>
      <c r="AO569" s="12"/>
      <c r="AP569" s="12"/>
    </row>
    <row r="570" spans="1:42">
      <c r="A570" t="s">
        <v>2066</v>
      </c>
      <c r="B570" s="8"/>
      <c r="C570" s="8" t="s">
        <v>2067</v>
      </c>
      <c r="D570" s="8" t="s">
        <v>264</v>
      </c>
      <c r="E570" s="8" t="s">
        <v>94</v>
      </c>
      <c r="F570" s="8" t="s">
        <v>2068</v>
      </c>
      <c r="G570" s="8" t="s">
        <v>2068</v>
      </c>
      <c r="H570" s="9">
        <v>150000</v>
      </c>
      <c r="I570" s="9">
        <f>[1]!Tabel1[[#This Row],[Honorar]]*[1]!Tabel1[[#This Row],[Sandsynlighed]]</f>
        <v>0</v>
      </c>
      <c r="J570" s="10" t="s">
        <v>584</v>
      </c>
      <c r="K570" s="10" t="s">
        <v>612</v>
      </c>
      <c r="L570" s="17"/>
      <c r="M570" s="11">
        <v>0.25</v>
      </c>
      <c r="N570" s="1">
        <v>300</v>
      </c>
      <c r="O570" s="10">
        <v>46279.611122685186</v>
      </c>
      <c r="P570" s="1" t="s">
        <v>72</v>
      </c>
      <c r="Q570" s="1" t="s">
        <v>72</v>
      </c>
      <c r="R570" s="8" t="s">
        <v>75</v>
      </c>
      <c r="S57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7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7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7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7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7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7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7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7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7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7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7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7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70" s="12">
        <f ca="1">[1]!Tabel1[[#This Row],[Vægtet Honorar]]*([1]!Tabel1[[#This Row],[Sidst redigeret]]&gt;TODAY()-40)*([1]!Tabel1[[#This Row],[Er i resplan?]]&lt;&gt;"Ja")*([1]!Tabel1[[#This Row],[Status]]="Pågår")</f>
        <v>0</v>
      </c>
      <c r="AG570" s="12">
        <f ca="1">[1]!Tabel1[[#This Row],[Vægtet Honorar]]*([1]!Tabel1[[#This Row],[Sidst redigeret]]&gt;TODAY()-40)*([1]!Tabel1[[#This Row],[Status]]="Pågår")</f>
        <v>0</v>
      </c>
      <c r="AH570" s="13"/>
      <c r="AI570" s="12"/>
      <c r="AJ570" s="12"/>
      <c r="AK570" s="12"/>
      <c r="AL570" s="12"/>
      <c r="AM570" s="12"/>
      <c r="AN570" s="12"/>
      <c r="AO570" s="12"/>
      <c r="AP570" s="12"/>
    </row>
    <row r="571" spans="1:42">
      <c r="A571" t="s">
        <v>2069</v>
      </c>
      <c r="B571" s="8"/>
      <c r="C571" s="8" t="s">
        <v>2070</v>
      </c>
      <c r="D571" s="8" t="s">
        <v>859</v>
      </c>
      <c r="E571" s="8" t="s">
        <v>71</v>
      </c>
      <c r="F571" s="8" t="s">
        <v>1833</v>
      </c>
      <c r="G571" s="8" t="s">
        <v>1833</v>
      </c>
      <c r="H571" s="9">
        <v>759500</v>
      </c>
      <c r="I571" s="9">
        <f>[1]!Tabel1[[#This Row],[Honorar]]*[1]!Tabel1[[#This Row],[Sandsynlighed]]</f>
        <v>0</v>
      </c>
      <c r="J571" s="10" t="s">
        <v>584</v>
      </c>
      <c r="K571" s="10" t="s">
        <v>329</v>
      </c>
      <c r="L571" s="17"/>
      <c r="M571" s="11">
        <v>1</v>
      </c>
      <c r="N571" s="1"/>
      <c r="O571" s="10">
        <v>46279.611122685186</v>
      </c>
      <c r="P571" s="10"/>
      <c r="Q571" s="1" t="s">
        <v>46</v>
      </c>
      <c r="R571" s="8" t="s">
        <v>47</v>
      </c>
      <c r="S57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7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7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7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7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7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7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7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7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7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7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7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7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71" s="12">
        <f ca="1">[1]!Tabel1[[#This Row],[Vægtet Honorar]]*([1]!Tabel1[[#This Row],[Sidst redigeret]]&gt;TODAY()-40)*([1]!Tabel1[[#This Row],[Er i resplan?]]&lt;&gt;"Ja")*([1]!Tabel1[[#This Row],[Status]]="Pågår")</f>
        <v>0</v>
      </c>
      <c r="AG571" s="12">
        <f ca="1">[1]!Tabel1[[#This Row],[Vægtet Honorar]]*([1]!Tabel1[[#This Row],[Sidst redigeret]]&gt;TODAY()-40)*([1]!Tabel1[[#This Row],[Status]]="Pågår")</f>
        <v>0</v>
      </c>
      <c r="AH571" s="13"/>
      <c r="AI571" s="12"/>
      <c r="AJ571" s="12"/>
      <c r="AK571" s="12"/>
      <c r="AL571" s="12"/>
      <c r="AM571" s="12"/>
      <c r="AN571" s="12"/>
      <c r="AO571" s="12"/>
      <c r="AP571" s="12"/>
    </row>
    <row r="572" spans="1:42">
      <c r="A572" t="s">
        <v>2071</v>
      </c>
      <c r="B572" s="8"/>
      <c r="C572" s="8" t="s">
        <v>2072</v>
      </c>
      <c r="D572" s="8" t="s">
        <v>44</v>
      </c>
      <c r="E572" s="8" t="s">
        <v>71</v>
      </c>
      <c r="F572" s="8" t="s">
        <v>2073</v>
      </c>
      <c r="G572" s="8" t="s">
        <v>1100</v>
      </c>
      <c r="H572" s="9">
        <v>1450000</v>
      </c>
      <c r="I572" s="9">
        <f>[1]!Tabel1[[#This Row],[Honorar]]*[1]!Tabel1[[#This Row],[Sandsynlighed]]</f>
        <v>250000</v>
      </c>
      <c r="J572" s="10" t="s">
        <v>328</v>
      </c>
      <c r="K572" s="10" t="s">
        <v>1287</v>
      </c>
      <c r="L572" s="17"/>
      <c r="M572" s="11">
        <v>1</v>
      </c>
      <c r="N572" s="1">
        <v>3500</v>
      </c>
      <c r="O572" s="10">
        <v>46279.611122685186</v>
      </c>
      <c r="P572" s="10"/>
      <c r="Q572" s="1" t="s">
        <v>46</v>
      </c>
      <c r="R572" s="8" t="s">
        <v>47</v>
      </c>
      <c r="S57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7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7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7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7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7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7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7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7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7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7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7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7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72" s="12">
        <f ca="1">[1]!Tabel1[[#This Row],[Vægtet Honorar]]*([1]!Tabel1[[#This Row],[Sidst redigeret]]&gt;TODAY()-40)*([1]!Tabel1[[#This Row],[Er i resplan?]]&lt;&gt;"Ja")*([1]!Tabel1[[#This Row],[Status]]="Pågår")</f>
        <v>0</v>
      </c>
      <c r="AG572" s="12">
        <f ca="1">[1]!Tabel1[[#This Row],[Vægtet Honorar]]*([1]!Tabel1[[#This Row],[Sidst redigeret]]&gt;TODAY()-40)*([1]!Tabel1[[#This Row],[Status]]="Pågår")</f>
        <v>0</v>
      </c>
      <c r="AH572" s="13"/>
      <c r="AI572" s="12"/>
      <c r="AJ572" s="12"/>
      <c r="AK572" s="12"/>
      <c r="AL572" s="12"/>
      <c r="AM572" s="12"/>
      <c r="AN572" s="12"/>
      <c r="AO572" s="12"/>
      <c r="AP572" s="12"/>
    </row>
    <row r="573" spans="1:42">
      <c r="A573" t="s">
        <v>2074</v>
      </c>
      <c r="B573" s="8"/>
      <c r="C573" s="8" t="s">
        <v>2075</v>
      </c>
      <c r="D573" s="8" t="s">
        <v>859</v>
      </c>
      <c r="E573" s="8" t="s">
        <v>71</v>
      </c>
      <c r="F573" s="8" t="s">
        <v>1671</v>
      </c>
      <c r="G573" s="8" t="s">
        <v>1671</v>
      </c>
      <c r="H573" s="9">
        <v>300000</v>
      </c>
      <c r="I573" s="9">
        <f>[1]!Tabel1[[#This Row],[Honorar]]*[1]!Tabel1[[#This Row],[Sandsynlighed]]</f>
        <v>50000</v>
      </c>
      <c r="J573" s="10" t="s">
        <v>584</v>
      </c>
      <c r="K573" s="10" t="s">
        <v>1191</v>
      </c>
      <c r="L573" s="17"/>
      <c r="M573" s="11">
        <v>0.25</v>
      </c>
      <c r="N573" s="1">
        <v>9500</v>
      </c>
      <c r="O573" s="10">
        <v>46279.611122685186</v>
      </c>
      <c r="P573" s="10"/>
      <c r="Q573" s="1" t="s">
        <v>46</v>
      </c>
      <c r="R573" s="8" t="s">
        <v>75</v>
      </c>
      <c r="S57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7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7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7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7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7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7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7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7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7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7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7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7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73" s="12">
        <f ca="1">[1]!Tabel1[[#This Row],[Vægtet Honorar]]*([1]!Tabel1[[#This Row],[Sidst redigeret]]&gt;TODAY()-40)*([1]!Tabel1[[#This Row],[Er i resplan?]]&lt;&gt;"Ja")*([1]!Tabel1[[#This Row],[Status]]="Pågår")</f>
        <v>0</v>
      </c>
      <c r="AG573" s="12">
        <f ca="1">[1]!Tabel1[[#This Row],[Vægtet Honorar]]*([1]!Tabel1[[#This Row],[Sidst redigeret]]&gt;TODAY()-40)*([1]!Tabel1[[#This Row],[Status]]="Pågår")</f>
        <v>0</v>
      </c>
      <c r="AH573" s="13"/>
      <c r="AI573" s="12"/>
      <c r="AJ573" s="12"/>
      <c r="AK573" s="12"/>
      <c r="AL573" s="12"/>
      <c r="AM573" s="12"/>
      <c r="AN573" s="12"/>
      <c r="AO573" s="12"/>
      <c r="AP573" s="12"/>
    </row>
    <row r="574" spans="1:42">
      <c r="A574" t="s">
        <v>2076</v>
      </c>
      <c r="B574" s="8"/>
      <c r="C574" s="8" t="s">
        <v>2077</v>
      </c>
      <c r="D574" s="8" t="s">
        <v>1886</v>
      </c>
      <c r="E574" s="8" t="s">
        <v>94</v>
      </c>
      <c r="F574" s="8"/>
      <c r="G574" s="8" t="s">
        <v>2078</v>
      </c>
      <c r="H574" s="9">
        <v>200000</v>
      </c>
      <c r="I574" s="9">
        <f>[1]!Tabel1[[#This Row],[Honorar]]*[1]!Tabel1[[#This Row],[Sandsynlighed]]</f>
        <v>30000</v>
      </c>
      <c r="J574" s="10" t="s">
        <v>622</v>
      </c>
      <c r="K574" s="10" t="s">
        <v>584</v>
      </c>
      <c r="L574" s="17"/>
      <c r="M574" s="11">
        <v>0.8</v>
      </c>
      <c r="N574" s="1" t="s">
        <v>2079</v>
      </c>
      <c r="O574" s="10">
        <v>46279.611122685186</v>
      </c>
      <c r="P574" s="1" t="s">
        <v>72</v>
      </c>
      <c r="Q574" s="1" t="s">
        <v>46</v>
      </c>
      <c r="R574" s="8" t="s">
        <v>47</v>
      </c>
      <c r="S57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7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7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7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7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7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7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7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7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7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7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7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7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74" s="12">
        <f ca="1">[1]!Tabel1[[#This Row],[Vægtet Honorar]]*([1]!Tabel1[[#This Row],[Sidst redigeret]]&gt;TODAY()-40)*([1]!Tabel1[[#This Row],[Er i resplan?]]&lt;&gt;"Ja")*([1]!Tabel1[[#This Row],[Status]]="Pågår")</f>
        <v>0</v>
      </c>
      <c r="AG574" s="12">
        <f ca="1">[1]!Tabel1[[#This Row],[Vægtet Honorar]]*([1]!Tabel1[[#This Row],[Sidst redigeret]]&gt;TODAY()-40)*([1]!Tabel1[[#This Row],[Status]]="Pågår")</f>
        <v>0</v>
      </c>
      <c r="AH574" s="13"/>
      <c r="AI574" s="12"/>
      <c r="AJ574" s="12"/>
      <c r="AK574" s="12"/>
      <c r="AL574" s="12"/>
      <c r="AM574" s="12"/>
      <c r="AN574" s="12"/>
      <c r="AO574" s="12"/>
      <c r="AP574" s="12"/>
    </row>
    <row r="575" spans="1:42">
      <c r="A575" t="s">
        <v>2080</v>
      </c>
      <c r="B575" s="8"/>
      <c r="C575" s="8" t="s">
        <v>2081</v>
      </c>
      <c r="D575" s="8" t="s">
        <v>2082</v>
      </c>
      <c r="E575" s="8" t="s">
        <v>94</v>
      </c>
      <c r="F575" s="8" t="s">
        <v>2083</v>
      </c>
      <c r="G575" s="8" t="s">
        <v>2084</v>
      </c>
      <c r="H575" s="9">
        <v>250000</v>
      </c>
      <c r="I575" s="9">
        <f>[1]!Tabel1[[#This Row],[Honorar]]*[1]!Tabel1[[#This Row],[Sandsynlighed]]</f>
        <v>37500</v>
      </c>
      <c r="J575" s="10" t="s">
        <v>584</v>
      </c>
      <c r="K575" s="10" t="s">
        <v>1061</v>
      </c>
      <c r="L575" s="17"/>
      <c r="M575" s="11">
        <v>0.5</v>
      </c>
      <c r="N575" s="1" t="s">
        <v>2085</v>
      </c>
      <c r="O575" s="10">
        <v>46279.611122685186</v>
      </c>
      <c r="P575" s="1" t="s">
        <v>72</v>
      </c>
      <c r="Q575" s="1" t="s">
        <v>46</v>
      </c>
      <c r="R575" s="8" t="s">
        <v>47</v>
      </c>
      <c r="S57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7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7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7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7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7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7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7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7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7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7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7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7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75" s="12">
        <f ca="1">[1]!Tabel1[[#This Row],[Vægtet Honorar]]*([1]!Tabel1[[#This Row],[Sidst redigeret]]&gt;TODAY()-40)*([1]!Tabel1[[#This Row],[Er i resplan?]]&lt;&gt;"Ja")*([1]!Tabel1[[#This Row],[Status]]="Pågår")</f>
        <v>0</v>
      </c>
      <c r="AG575" s="12">
        <f ca="1">[1]!Tabel1[[#This Row],[Vægtet Honorar]]*([1]!Tabel1[[#This Row],[Sidst redigeret]]&gt;TODAY()-40)*([1]!Tabel1[[#This Row],[Status]]="Pågår")</f>
        <v>0</v>
      </c>
      <c r="AH575" s="13"/>
      <c r="AI575" s="12"/>
      <c r="AJ575" s="12"/>
      <c r="AK575" s="12"/>
      <c r="AL575" s="12"/>
      <c r="AM575" s="12"/>
      <c r="AN575" s="12"/>
      <c r="AO575" s="12"/>
      <c r="AP575" s="12"/>
    </row>
    <row r="576" spans="1:42">
      <c r="A576" t="s">
        <v>2086</v>
      </c>
      <c r="B576" s="8"/>
      <c r="C576" s="8" t="s">
        <v>2087</v>
      </c>
      <c r="D576" s="8" t="s">
        <v>158</v>
      </c>
      <c r="E576" s="8" t="s">
        <v>167</v>
      </c>
      <c r="F576" s="8" t="s">
        <v>2088</v>
      </c>
      <c r="G576" s="8" t="s">
        <v>2088</v>
      </c>
      <c r="H576" s="9">
        <v>100000</v>
      </c>
      <c r="I576" s="9">
        <f>[1]!Tabel1[[#This Row],[Honorar]]*[1]!Tabel1[[#This Row],[Sandsynlighed]]</f>
        <v>759500</v>
      </c>
      <c r="J576" s="10" t="s">
        <v>584</v>
      </c>
      <c r="K576" s="10" t="s">
        <v>329</v>
      </c>
      <c r="L576" s="17"/>
      <c r="M576" s="11">
        <v>1</v>
      </c>
      <c r="N576" s="1">
        <v>65000</v>
      </c>
      <c r="O576" s="10">
        <v>46279.611122685186</v>
      </c>
      <c r="P576" s="10"/>
      <c r="Q576" s="1" t="s">
        <v>46</v>
      </c>
      <c r="R576" s="8" t="s">
        <v>47</v>
      </c>
      <c r="S57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7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7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7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7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7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7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7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7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7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7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7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7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76" s="12">
        <f ca="1">[1]!Tabel1[[#This Row],[Vægtet Honorar]]*([1]!Tabel1[[#This Row],[Sidst redigeret]]&gt;TODAY()-40)*([1]!Tabel1[[#This Row],[Er i resplan?]]&lt;&gt;"Ja")*([1]!Tabel1[[#This Row],[Status]]="Pågår")</f>
        <v>0</v>
      </c>
      <c r="AG576" s="12">
        <f ca="1">[1]!Tabel1[[#This Row],[Vægtet Honorar]]*([1]!Tabel1[[#This Row],[Sidst redigeret]]&gt;TODAY()-40)*([1]!Tabel1[[#This Row],[Status]]="Pågår")</f>
        <v>0</v>
      </c>
      <c r="AH576" s="13"/>
      <c r="AI576" s="12"/>
      <c r="AJ576" s="12"/>
      <c r="AK576" s="12"/>
      <c r="AL576" s="12"/>
      <c r="AM576" s="12"/>
      <c r="AN576" s="12"/>
      <c r="AO576" s="12"/>
      <c r="AP576" s="12"/>
    </row>
    <row r="577" spans="1:42" ht="60">
      <c r="A577" t="s">
        <v>2089</v>
      </c>
      <c r="B577" s="8"/>
      <c r="C577" s="8" t="s">
        <v>2090</v>
      </c>
      <c r="D577" s="8" t="s">
        <v>93</v>
      </c>
      <c r="E577" s="8" t="s">
        <v>94</v>
      </c>
      <c r="F577" s="8" t="s">
        <v>2091</v>
      </c>
      <c r="G577" s="8" t="s">
        <v>2092</v>
      </c>
      <c r="H577" s="9">
        <v>30000000</v>
      </c>
      <c r="I577" s="9">
        <f>[1]!Tabel1[[#This Row],[Honorar]]*[1]!Tabel1[[#This Row],[Sandsynlighed]]</f>
        <v>1450000</v>
      </c>
      <c r="J577" s="10" t="s">
        <v>612</v>
      </c>
      <c r="K577" s="10" t="s">
        <v>2093</v>
      </c>
      <c r="L577" s="17" t="s">
        <v>2094</v>
      </c>
      <c r="M577" s="11">
        <v>0.01</v>
      </c>
      <c r="N577" s="1">
        <v>2000</v>
      </c>
      <c r="O577" s="10">
        <v>46279.611122685186</v>
      </c>
      <c r="P577" s="1" t="s">
        <v>72</v>
      </c>
      <c r="Q577" s="1" t="s">
        <v>72</v>
      </c>
      <c r="R577" s="8" t="s">
        <v>75</v>
      </c>
      <c r="S57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7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7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7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7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7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7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7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7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7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7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7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7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77" s="12">
        <f ca="1">[1]!Tabel1[[#This Row],[Vægtet Honorar]]*([1]!Tabel1[[#This Row],[Sidst redigeret]]&gt;TODAY()-40)*([1]!Tabel1[[#This Row],[Er i resplan?]]&lt;&gt;"Ja")*([1]!Tabel1[[#This Row],[Status]]="Pågår")</f>
        <v>0</v>
      </c>
      <c r="AG577" s="12">
        <f ca="1">[1]!Tabel1[[#This Row],[Vægtet Honorar]]*([1]!Tabel1[[#This Row],[Sidst redigeret]]&gt;TODAY()-40)*([1]!Tabel1[[#This Row],[Status]]="Pågår")</f>
        <v>0</v>
      </c>
      <c r="AH577" s="13"/>
      <c r="AI577" s="12"/>
      <c r="AJ577" s="12"/>
      <c r="AK577" s="12"/>
      <c r="AL577" s="12"/>
      <c r="AM577" s="12"/>
      <c r="AN577" s="12"/>
      <c r="AO577" s="12"/>
      <c r="AP577" s="12"/>
    </row>
    <row r="578" spans="1:42">
      <c r="A578" t="s">
        <v>2095</v>
      </c>
      <c r="B578" s="8"/>
      <c r="C578" s="8" t="s">
        <v>2096</v>
      </c>
      <c r="D578" s="8" t="s">
        <v>57</v>
      </c>
      <c r="E578" s="8" t="s">
        <v>94</v>
      </c>
      <c r="F578" s="8" t="s">
        <v>2048</v>
      </c>
      <c r="G578" s="8" t="s">
        <v>2048</v>
      </c>
      <c r="H578" s="9">
        <v>4000000</v>
      </c>
      <c r="I578" s="9">
        <f>[1]!Tabel1[[#This Row],[Honorar]]*[1]!Tabel1[[#This Row],[Sandsynlighed]]</f>
        <v>75000</v>
      </c>
      <c r="J578" s="10" t="s">
        <v>584</v>
      </c>
      <c r="K578" s="10" t="s">
        <v>341</v>
      </c>
      <c r="L578" s="17"/>
      <c r="M578" s="11">
        <v>0.01</v>
      </c>
      <c r="N578" s="1">
        <v>10000</v>
      </c>
      <c r="O578" s="10">
        <v>46279.611122685186</v>
      </c>
      <c r="P578" s="1" t="s">
        <v>72</v>
      </c>
      <c r="Q578" s="1" t="s">
        <v>72</v>
      </c>
      <c r="R578" s="8" t="s">
        <v>49</v>
      </c>
      <c r="S57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7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7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7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7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7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7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7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7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7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7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7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7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78" s="12">
        <f ca="1">[1]!Tabel1[[#This Row],[Vægtet Honorar]]*([1]!Tabel1[[#This Row],[Sidst redigeret]]&gt;TODAY()-40)*([1]!Tabel1[[#This Row],[Er i resplan?]]&lt;&gt;"Ja")*([1]!Tabel1[[#This Row],[Status]]="Pågår")</f>
        <v>0</v>
      </c>
      <c r="AG578" s="12">
        <f ca="1">[1]!Tabel1[[#This Row],[Vægtet Honorar]]*([1]!Tabel1[[#This Row],[Sidst redigeret]]&gt;TODAY()-40)*([1]!Tabel1[[#This Row],[Status]]="Pågår")</f>
        <v>0</v>
      </c>
      <c r="AH578" s="13"/>
      <c r="AI578" s="12"/>
      <c r="AJ578" s="12"/>
      <c r="AK578" s="12"/>
      <c r="AL578" s="12"/>
      <c r="AM578" s="12"/>
      <c r="AN578" s="12" t="s">
        <v>2097</v>
      </c>
      <c r="AO578" s="12"/>
      <c r="AP578" s="12"/>
    </row>
    <row r="579" spans="1:42" ht="120">
      <c r="A579" t="s">
        <v>2098</v>
      </c>
      <c r="B579" s="8"/>
      <c r="C579" s="8" t="s">
        <v>2099</v>
      </c>
      <c r="D579" s="8" t="s">
        <v>57</v>
      </c>
      <c r="E579" s="8" t="s">
        <v>167</v>
      </c>
      <c r="F579" s="8" t="s">
        <v>168</v>
      </c>
      <c r="G579" s="8" t="s">
        <v>168</v>
      </c>
      <c r="H579" s="9">
        <v>1500000</v>
      </c>
      <c r="I579" s="9">
        <f>[1]!Tabel1[[#This Row],[Honorar]]*[1]!Tabel1[[#This Row],[Sandsynlighed]]</f>
        <v>160000</v>
      </c>
      <c r="J579" s="10" t="s">
        <v>584</v>
      </c>
      <c r="K579" s="10" t="s">
        <v>341</v>
      </c>
      <c r="L579" s="17" t="s">
        <v>2100</v>
      </c>
      <c r="M579" s="11">
        <v>0.01</v>
      </c>
      <c r="N579" s="1">
        <v>50000</v>
      </c>
      <c r="O579" s="10">
        <v>46279.611122685186</v>
      </c>
      <c r="P579" s="10"/>
      <c r="Q579" s="1" t="s">
        <v>72</v>
      </c>
      <c r="R579" s="8" t="s">
        <v>49</v>
      </c>
      <c r="S57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7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7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7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7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7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7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7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7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7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7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7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7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79" s="12">
        <f ca="1">[1]!Tabel1[[#This Row],[Vægtet Honorar]]*([1]!Tabel1[[#This Row],[Sidst redigeret]]&gt;TODAY()-40)*([1]!Tabel1[[#This Row],[Er i resplan?]]&lt;&gt;"Ja")*([1]!Tabel1[[#This Row],[Status]]="Pågår")</f>
        <v>0</v>
      </c>
      <c r="AG579" s="12">
        <f ca="1">[1]!Tabel1[[#This Row],[Vægtet Honorar]]*([1]!Tabel1[[#This Row],[Sidst redigeret]]&gt;TODAY()-40)*([1]!Tabel1[[#This Row],[Status]]="Pågår")</f>
        <v>0</v>
      </c>
      <c r="AH579" s="13"/>
      <c r="AI579" s="12"/>
      <c r="AJ579" s="12"/>
      <c r="AK579" s="12" t="s">
        <v>599</v>
      </c>
      <c r="AL579" s="12"/>
      <c r="AM579" s="12"/>
      <c r="AN579" s="12"/>
      <c r="AO579" s="12"/>
      <c r="AP579" s="12"/>
    </row>
    <row r="580" spans="1:42" ht="60">
      <c r="A580" t="s">
        <v>2101</v>
      </c>
      <c r="B580" s="8"/>
      <c r="C580" s="8" t="s">
        <v>2102</v>
      </c>
      <c r="D580" s="8" t="s">
        <v>93</v>
      </c>
      <c r="E580" s="8" t="s">
        <v>94</v>
      </c>
      <c r="F580" s="8" t="s">
        <v>2103</v>
      </c>
      <c r="G580" s="8" t="s">
        <v>2104</v>
      </c>
      <c r="H580" s="9">
        <v>1500000</v>
      </c>
      <c r="I580" s="9">
        <f>[1]!Tabel1[[#This Row],[Honorar]]*[1]!Tabel1[[#This Row],[Sandsynlighed]]</f>
        <v>125000</v>
      </c>
      <c r="J580" s="10" t="s">
        <v>2105</v>
      </c>
      <c r="K580" s="10" t="s">
        <v>2093</v>
      </c>
      <c r="L580" s="17" t="s">
        <v>2106</v>
      </c>
      <c r="M580" s="11">
        <v>0.01</v>
      </c>
      <c r="N580" s="1">
        <v>4500</v>
      </c>
      <c r="O580" s="10">
        <v>46279.611122685186</v>
      </c>
      <c r="P580" s="1" t="s">
        <v>72</v>
      </c>
      <c r="Q580" s="1" t="s">
        <v>72</v>
      </c>
      <c r="R580" s="8" t="s">
        <v>343</v>
      </c>
      <c r="S58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8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8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8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8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8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8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8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8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8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8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8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8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80" s="12">
        <f ca="1">[1]!Tabel1[[#This Row],[Vægtet Honorar]]*([1]!Tabel1[[#This Row],[Sidst redigeret]]&gt;TODAY()-40)*([1]!Tabel1[[#This Row],[Er i resplan?]]&lt;&gt;"Ja")*([1]!Tabel1[[#This Row],[Status]]="Pågår")</f>
        <v>0</v>
      </c>
      <c r="AG580" s="12">
        <f ca="1">[1]!Tabel1[[#This Row],[Vægtet Honorar]]*([1]!Tabel1[[#This Row],[Sidst redigeret]]&gt;TODAY()-40)*([1]!Tabel1[[#This Row],[Status]]="Pågår")</f>
        <v>0</v>
      </c>
      <c r="AH580" s="13"/>
      <c r="AI580" s="12"/>
      <c r="AJ580" s="12" t="s">
        <v>2107</v>
      </c>
      <c r="AK580" s="12"/>
      <c r="AL580" s="12"/>
      <c r="AM580" s="12"/>
      <c r="AN580" s="12"/>
      <c r="AO580" s="12"/>
      <c r="AP580" s="12"/>
    </row>
    <row r="581" spans="1:42">
      <c r="A581" t="s">
        <v>2108</v>
      </c>
      <c r="B581" s="8"/>
      <c r="C581" s="8"/>
      <c r="D581" s="8" t="s">
        <v>57</v>
      </c>
      <c r="E581" s="8" t="s">
        <v>167</v>
      </c>
      <c r="F581" s="8" t="s">
        <v>2109</v>
      </c>
      <c r="G581" s="8" t="s">
        <v>2109</v>
      </c>
      <c r="H581" s="9">
        <v>3000000</v>
      </c>
      <c r="I581" s="9">
        <f>[1]!Tabel1[[#This Row],[Honorar]]*[1]!Tabel1[[#This Row],[Sandsynlighed]]</f>
        <v>100000</v>
      </c>
      <c r="J581" s="10" t="s">
        <v>584</v>
      </c>
      <c r="K581" s="10" t="s">
        <v>341</v>
      </c>
      <c r="L581" s="17"/>
      <c r="M581" s="11">
        <v>0.01</v>
      </c>
      <c r="N581" s="1">
        <v>5000</v>
      </c>
      <c r="O581" s="10">
        <v>46279.611122685186</v>
      </c>
      <c r="P581" s="10"/>
      <c r="Q581" s="1" t="s">
        <v>72</v>
      </c>
      <c r="R581" s="8" t="s">
        <v>49</v>
      </c>
      <c r="S58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8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8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8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8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8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8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8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8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8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8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8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8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81" s="12">
        <f ca="1">[1]!Tabel1[[#This Row],[Vægtet Honorar]]*([1]!Tabel1[[#This Row],[Sidst redigeret]]&gt;TODAY()-40)*([1]!Tabel1[[#This Row],[Er i resplan?]]&lt;&gt;"Ja")*([1]!Tabel1[[#This Row],[Status]]="Pågår")</f>
        <v>0</v>
      </c>
      <c r="AG581" s="12">
        <f ca="1">[1]!Tabel1[[#This Row],[Vægtet Honorar]]*([1]!Tabel1[[#This Row],[Sidst redigeret]]&gt;TODAY()-40)*([1]!Tabel1[[#This Row],[Status]]="Pågår")</f>
        <v>0</v>
      </c>
      <c r="AH581" s="13"/>
      <c r="AI581" s="12"/>
      <c r="AJ581" s="12" t="s">
        <v>2110</v>
      </c>
      <c r="AK581" s="12" t="s">
        <v>1170</v>
      </c>
      <c r="AL581" s="12"/>
      <c r="AM581" s="12"/>
      <c r="AN581" s="12" t="s">
        <v>2111</v>
      </c>
      <c r="AO581" s="12"/>
      <c r="AP581" s="12"/>
    </row>
    <row r="582" spans="1:42">
      <c r="A582" t="s">
        <v>2112</v>
      </c>
      <c r="B582" s="8"/>
      <c r="C582" s="8" t="s">
        <v>2113</v>
      </c>
      <c r="D582" s="8" t="s">
        <v>720</v>
      </c>
      <c r="E582" s="8" t="s">
        <v>71</v>
      </c>
      <c r="F582" s="8" t="s">
        <v>2114</v>
      </c>
      <c r="G582" s="8" t="s">
        <v>2114</v>
      </c>
      <c r="H582" s="9">
        <v>1750000</v>
      </c>
      <c r="I582" s="9">
        <f>[1]!Tabel1[[#This Row],[Honorar]]*[1]!Tabel1[[#This Row],[Sandsynlighed]]</f>
        <v>300000</v>
      </c>
      <c r="J582" s="10" t="s">
        <v>452</v>
      </c>
      <c r="K582" s="10" t="s">
        <v>341</v>
      </c>
      <c r="L582" s="17"/>
      <c r="M582" s="11">
        <v>0.01</v>
      </c>
      <c r="N582" s="1">
        <v>10000</v>
      </c>
      <c r="O582" s="10">
        <v>46279.611122685186</v>
      </c>
      <c r="P582" s="10"/>
      <c r="Q582" s="1" t="s">
        <v>72</v>
      </c>
      <c r="R582" s="8" t="s">
        <v>343</v>
      </c>
      <c r="S58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8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8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8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8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8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8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8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8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8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8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8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8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82" s="12">
        <f ca="1">[1]!Tabel1[[#This Row],[Vægtet Honorar]]*([1]!Tabel1[[#This Row],[Sidst redigeret]]&gt;TODAY()-40)*([1]!Tabel1[[#This Row],[Er i resplan?]]&lt;&gt;"Ja")*([1]!Tabel1[[#This Row],[Status]]="Pågår")</f>
        <v>0</v>
      </c>
      <c r="AG582" s="12">
        <f ca="1">[1]!Tabel1[[#This Row],[Vægtet Honorar]]*([1]!Tabel1[[#This Row],[Sidst redigeret]]&gt;TODAY()-40)*([1]!Tabel1[[#This Row],[Status]]="Pågår")</f>
        <v>0</v>
      </c>
      <c r="AH582" s="13"/>
      <c r="AI582" s="12"/>
      <c r="AJ582" s="12" t="s">
        <v>2115</v>
      </c>
      <c r="AK582" s="12" t="s">
        <v>1170</v>
      </c>
      <c r="AL582" s="12"/>
      <c r="AM582" s="12"/>
      <c r="AN582" s="12"/>
      <c r="AO582" s="12"/>
      <c r="AP582" s="12"/>
    </row>
    <row r="583" spans="1:42">
      <c r="A583" t="s">
        <v>2116</v>
      </c>
      <c r="B583" s="8"/>
      <c r="C583" s="8" t="s">
        <v>2117</v>
      </c>
      <c r="D583" s="8" t="s">
        <v>44</v>
      </c>
      <c r="E583" s="8" t="s">
        <v>71</v>
      </c>
      <c r="F583" s="8" t="s">
        <v>2118</v>
      </c>
      <c r="G583" s="8" t="s">
        <v>2119</v>
      </c>
      <c r="H583" s="9">
        <v>75000</v>
      </c>
      <c r="I583" s="9">
        <f>[1]!Tabel1[[#This Row],[Honorar]]*[1]!Tabel1[[#This Row],[Sandsynlighed]]</f>
        <v>40000</v>
      </c>
      <c r="J583" s="10" t="s">
        <v>584</v>
      </c>
      <c r="K583" s="10" t="s">
        <v>452</v>
      </c>
      <c r="L583" s="17"/>
      <c r="M583" s="11">
        <v>1</v>
      </c>
      <c r="N583" s="1"/>
      <c r="O583" s="10">
        <v>46279.611122685186</v>
      </c>
      <c r="P583" s="10"/>
      <c r="Q583" s="1" t="s">
        <v>46</v>
      </c>
      <c r="R583" s="8" t="s">
        <v>47</v>
      </c>
      <c r="S58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1483.739837398374</v>
      </c>
      <c r="T58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8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8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8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8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8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8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8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8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8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8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8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83" s="12">
        <f ca="1">[1]!Tabel1[[#This Row],[Vægtet Honorar]]*([1]!Tabel1[[#This Row],[Sidst redigeret]]&gt;TODAY()-40)*([1]!Tabel1[[#This Row],[Er i resplan?]]&lt;&gt;"Ja")*([1]!Tabel1[[#This Row],[Status]]="Pågår")</f>
        <v>0</v>
      </c>
      <c r="AG583" s="12">
        <f ca="1">[1]!Tabel1[[#This Row],[Vægtet Honorar]]*([1]!Tabel1[[#This Row],[Sidst redigeret]]&gt;TODAY()-40)*([1]!Tabel1[[#This Row],[Status]]="Pågår")</f>
        <v>0</v>
      </c>
      <c r="AH583" s="13"/>
      <c r="AI583" s="12"/>
      <c r="AJ583" s="12"/>
      <c r="AK583" s="12"/>
      <c r="AL583" s="12"/>
      <c r="AM583" s="12"/>
      <c r="AN583" s="12"/>
      <c r="AO583" s="12"/>
      <c r="AP583" s="12"/>
    </row>
    <row r="584" spans="1:42">
      <c r="A584" t="s">
        <v>2120</v>
      </c>
      <c r="B584" s="8"/>
      <c r="C584" s="8" t="s">
        <v>2121</v>
      </c>
      <c r="D584" s="8" t="s">
        <v>44</v>
      </c>
      <c r="E584" s="8" t="s">
        <v>71</v>
      </c>
      <c r="F584" s="8" t="s">
        <v>2118</v>
      </c>
      <c r="G584" s="8" t="s">
        <v>2119</v>
      </c>
      <c r="H584" s="9">
        <v>75000</v>
      </c>
      <c r="I584" s="9">
        <f>[1]!Tabel1[[#This Row],[Honorar]]*[1]!Tabel1[[#This Row],[Sandsynlighed]]</f>
        <v>15000</v>
      </c>
      <c r="J584" s="10" t="s">
        <v>584</v>
      </c>
      <c r="K584" s="10" t="s">
        <v>452</v>
      </c>
      <c r="L584" s="17"/>
      <c r="M584" s="11">
        <v>1</v>
      </c>
      <c r="N584" s="1"/>
      <c r="O584" s="10">
        <v>46279.611122685186</v>
      </c>
      <c r="P584" s="10"/>
      <c r="Q584" s="1" t="s">
        <v>46</v>
      </c>
      <c r="R584" s="8" t="s">
        <v>47</v>
      </c>
      <c r="S58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556.40243902439022</v>
      </c>
      <c r="T58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8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8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8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8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8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8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8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8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8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8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8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84" s="12">
        <f ca="1">[1]!Tabel1[[#This Row],[Vægtet Honorar]]*([1]!Tabel1[[#This Row],[Sidst redigeret]]&gt;TODAY()-40)*([1]!Tabel1[[#This Row],[Er i resplan?]]&lt;&gt;"Ja")*([1]!Tabel1[[#This Row],[Status]]="Pågår")</f>
        <v>0</v>
      </c>
      <c r="AG584" s="12">
        <f ca="1">[1]!Tabel1[[#This Row],[Vægtet Honorar]]*([1]!Tabel1[[#This Row],[Sidst redigeret]]&gt;TODAY()-40)*([1]!Tabel1[[#This Row],[Status]]="Pågår")</f>
        <v>0</v>
      </c>
      <c r="AH584" s="13"/>
      <c r="AI584" s="12"/>
      <c r="AJ584" s="12"/>
      <c r="AK584" s="12"/>
      <c r="AL584" s="12"/>
      <c r="AM584" s="12"/>
      <c r="AN584" s="12"/>
      <c r="AO584" s="12"/>
      <c r="AP584" s="12"/>
    </row>
    <row r="585" spans="1:42" ht="135">
      <c r="A585" t="s">
        <v>2122</v>
      </c>
      <c r="B585" s="8"/>
      <c r="C585" s="8" t="s">
        <v>2123</v>
      </c>
      <c r="D585" s="8" t="s">
        <v>896</v>
      </c>
      <c r="E585" s="8" t="s">
        <v>94</v>
      </c>
      <c r="F585" s="8" t="s">
        <v>589</v>
      </c>
      <c r="G585" s="8" t="s">
        <v>589</v>
      </c>
      <c r="H585" s="9">
        <v>10000000</v>
      </c>
      <c r="I585" s="9">
        <f>[1]!Tabel1[[#This Row],[Honorar]]*[1]!Tabel1[[#This Row],[Sandsynlighed]]</f>
        <v>15000</v>
      </c>
      <c r="J585" s="10" t="s">
        <v>341</v>
      </c>
      <c r="K585" s="10" t="s">
        <v>1861</v>
      </c>
      <c r="L585" s="17" t="s">
        <v>2124</v>
      </c>
      <c r="M585" s="11">
        <v>0.01</v>
      </c>
      <c r="N585" s="1">
        <v>12000</v>
      </c>
      <c r="O585" s="10">
        <v>46279.611122685186</v>
      </c>
      <c r="P585" s="1" t="s">
        <v>72</v>
      </c>
      <c r="Q585" s="1" t="s">
        <v>72</v>
      </c>
      <c r="R585" s="8" t="s">
        <v>75</v>
      </c>
      <c r="S58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416.66666666666669</v>
      </c>
      <c r="T58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8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8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8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8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8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8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8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8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8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8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8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85" s="12">
        <f ca="1">[1]!Tabel1[[#This Row],[Vægtet Honorar]]*([1]!Tabel1[[#This Row],[Sidst redigeret]]&gt;TODAY()-40)*([1]!Tabel1[[#This Row],[Er i resplan?]]&lt;&gt;"Ja")*([1]!Tabel1[[#This Row],[Status]]="Pågår")</f>
        <v>15000</v>
      </c>
      <c r="AG585" s="12">
        <f ca="1">[1]!Tabel1[[#This Row],[Vægtet Honorar]]*([1]!Tabel1[[#This Row],[Sidst redigeret]]&gt;TODAY()-40)*([1]!Tabel1[[#This Row],[Status]]="Pågår")</f>
        <v>15000</v>
      </c>
      <c r="AH585" s="13"/>
      <c r="AI585" s="12"/>
      <c r="AJ585" s="12" t="s">
        <v>1737</v>
      </c>
      <c r="AK585" s="12" t="s">
        <v>2125</v>
      </c>
      <c r="AL585" s="12"/>
      <c r="AM585" s="12"/>
      <c r="AN585" s="12"/>
      <c r="AO585" s="12"/>
      <c r="AP585" s="12"/>
    </row>
    <row r="586" spans="1:42" ht="75">
      <c r="A586" t="s">
        <v>2126</v>
      </c>
      <c r="B586" s="8"/>
      <c r="C586" s="8" t="s">
        <v>2127</v>
      </c>
      <c r="D586" s="8" t="s">
        <v>1771</v>
      </c>
      <c r="E586" s="8" t="s">
        <v>167</v>
      </c>
      <c r="F586" s="8" t="s">
        <v>2128</v>
      </c>
      <c r="G586" s="8" t="s">
        <v>2128</v>
      </c>
      <c r="H586" s="9">
        <v>5000000</v>
      </c>
      <c r="I586" s="9">
        <f>[1]!Tabel1[[#This Row],[Honorar]]*[1]!Tabel1[[#This Row],[Sandsynlighed]]</f>
        <v>30000</v>
      </c>
      <c r="J586" s="10" t="s">
        <v>585</v>
      </c>
      <c r="K586" s="10" t="s">
        <v>1430</v>
      </c>
      <c r="L586" s="17" t="s">
        <v>2129</v>
      </c>
      <c r="M586" s="11">
        <v>0.02</v>
      </c>
      <c r="N586" s="1" t="s">
        <v>2130</v>
      </c>
      <c r="O586" s="10">
        <v>46279.611122685186</v>
      </c>
      <c r="P586" s="10"/>
      <c r="Q586" s="1" t="s">
        <v>72</v>
      </c>
      <c r="R586" s="8" t="s">
        <v>343</v>
      </c>
      <c r="S58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1112.8048780487804</v>
      </c>
      <c r="T58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8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8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8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8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8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8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8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8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8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8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8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86" s="12">
        <f ca="1">[1]!Tabel1[[#This Row],[Vægtet Honorar]]*([1]!Tabel1[[#This Row],[Sidst redigeret]]&gt;TODAY()-40)*([1]!Tabel1[[#This Row],[Er i resplan?]]&lt;&gt;"Ja")*([1]!Tabel1[[#This Row],[Status]]="Pågår")</f>
        <v>0</v>
      </c>
      <c r="AG586" s="12">
        <f ca="1">[1]!Tabel1[[#This Row],[Vægtet Honorar]]*([1]!Tabel1[[#This Row],[Sidst redigeret]]&gt;TODAY()-40)*([1]!Tabel1[[#This Row],[Status]]="Pågår")</f>
        <v>0</v>
      </c>
      <c r="AH586" s="13"/>
      <c r="AI586" s="12"/>
      <c r="AJ586" s="12" t="s">
        <v>1864</v>
      </c>
      <c r="AK586" s="12" t="s">
        <v>2131</v>
      </c>
      <c r="AL586" s="12"/>
      <c r="AM586" s="12"/>
      <c r="AN586" s="12"/>
      <c r="AO586" s="12"/>
      <c r="AP586" s="12"/>
    </row>
    <row r="587" spans="1:42">
      <c r="A587" t="s">
        <v>2132</v>
      </c>
      <c r="B587" s="8"/>
      <c r="C587" s="8" t="s">
        <v>2133</v>
      </c>
      <c r="D587" s="8" t="s">
        <v>125</v>
      </c>
      <c r="E587" s="8" t="s">
        <v>71</v>
      </c>
      <c r="F587" s="8" t="s">
        <v>2134</v>
      </c>
      <c r="G587" s="8" t="s">
        <v>2135</v>
      </c>
      <c r="H587" s="9">
        <v>200000</v>
      </c>
      <c r="I587" s="9">
        <f>[1]!Tabel1[[#This Row],[Honorar]]*[1]!Tabel1[[#This Row],[Sandsynlighed]]</f>
        <v>17500</v>
      </c>
      <c r="J587" s="10" t="s">
        <v>584</v>
      </c>
      <c r="K587" s="10" t="s">
        <v>612</v>
      </c>
      <c r="L587" s="17"/>
      <c r="M587" s="11">
        <v>0.05</v>
      </c>
      <c r="N587" s="1">
        <v>1800</v>
      </c>
      <c r="O587" s="10">
        <v>46279.611122685186</v>
      </c>
      <c r="P587" s="10"/>
      <c r="Q587" s="1" t="s">
        <v>72</v>
      </c>
      <c r="R587" s="8" t="s">
        <v>75</v>
      </c>
      <c r="S58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834.31295715778469</v>
      </c>
      <c r="T58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8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8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8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8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8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8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8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8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8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8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8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87" s="12">
        <f ca="1">[1]!Tabel1[[#This Row],[Vægtet Honorar]]*([1]!Tabel1[[#This Row],[Sidst redigeret]]&gt;TODAY()-40)*([1]!Tabel1[[#This Row],[Er i resplan?]]&lt;&gt;"Ja")*([1]!Tabel1[[#This Row],[Status]]="Pågår")</f>
        <v>17500</v>
      </c>
      <c r="AG587" s="12">
        <f ca="1">[1]!Tabel1[[#This Row],[Vægtet Honorar]]*([1]!Tabel1[[#This Row],[Sidst redigeret]]&gt;TODAY()-40)*([1]!Tabel1[[#This Row],[Status]]="Pågår")</f>
        <v>17500</v>
      </c>
      <c r="AH587" s="13"/>
      <c r="AI587" s="12"/>
      <c r="AJ587" s="12"/>
      <c r="AK587" s="12"/>
      <c r="AL587" s="12"/>
      <c r="AM587" s="12"/>
      <c r="AN587" s="12"/>
      <c r="AO587" s="12"/>
      <c r="AP587" s="12"/>
    </row>
    <row r="588" spans="1:42" ht="60">
      <c r="A588" t="s">
        <v>2136</v>
      </c>
      <c r="B588" s="8"/>
      <c r="C588" s="8" t="s">
        <v>2137</v>
      </c>
      <c r="D588" s="8" t="s">
        <v>57</v>
      </c>
      <c r="E588" s="8" t="s">
        <v>94</v>
      </c>
      <c r="F588" s="8" t="s">
        <v>1954</v>
      </c>
      <c r="G588" s="8" t="s">
        <v>1954</v>
      </c>
      <c r="H588" s="9">
        <v>1500000</v>
      </c>
      <c r="I588" s="9">
        <f>[1]!Tabel1[[#This Row],[Honorar]]*[1]!Tabel1[[#This Row],[Sandsynlighed]]</f>
        <v>75000</v>
      </c>
      <c r="J588" s="10" t="s">
        <v>1061</v>
      </c>
      <c r="K588" s="10" t="s">
        <v>585</v>
      </c>
      <c r="L588" s="17" t="s">
        <v>2138</v>
      </c>
      <c r="M588" s="11">
        <v>0.05</v>
      </c>
      <c r="N588" s="1">
        <v>2028</v>
      </c>
      <c r="O588" s="10">
        <v>46279.611122685186</v>
      </c>
      <c r="P588" s="1" t="s">
        <v>72</v>
      </c>
      <c r="Q588" s="1" t="s">
        <v>72</v>
      </c>
      <c r="R588" s="8" t="s">
        <v>49</v>
      </c>
      <c r="S58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8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8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8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8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8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8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8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8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8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8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8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8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88" s="12">
        <f ca="1">[1]!Tabel1[[#This Row],[Vægtet Honorar]]*([1]!Tabel1[[#This Row],[Sidst redigeret]]&gt;TODAY()-40)*([1]!Tabel1[[#This Row],[Er i resplan?]]&lt;&gt;"Ja")*([1]!Tabel1[[#This Row],[Status]]="Pågår")</f>
        <v>0</v>
      </c>
      <c r="AG588" s="12">
        <f ca="1">[1]!Tabel1[[#This Row],[Vægtet Honorar]]*([1]!Tabel1[[#This Row],[Sidst redigeret]]&gt;TODAY()-40)*([1]!Tabel1[[#This Row],[Status]]="Pågår")</f>
        <v>0</v>
      </c>
      <c r="AH588" s="13"/>
      <c r="AI588" s="12"/>
      <c r="AJ588" s="12" t="s">
        <v>2139</v>
      </c>
      <c r="AK588" s="12" t="s">
        <v>2140</v>
      </c>
      <c r="AL588" s="12"/>
      <c r="AM588" s="12"/>
      <c r="AN588" s="12"/>
      <c r="AO588" s="12"/>
      <c r="AP588" s="12"/>
    </row>
    <row r="589" spans="1:42" ht="90">
      <c r="A589" t="s">
        <v>2141</v>
      </c>
      <c r="B589" s="8"/>
      <c r="C589" s="8" t="s">
        <v>2142</v>
      </c>
      <c r="D589" s="8" t="s">
        <v>93</v>
      </c>
      <c r="E589" s="8" t="s">
        <v>94</v>
      </c>
      <c r="F589" s="8" t="s">
        <v>2143</v>
      </c>
      <c r="G589" s="8" t="s">
        <v>812</v>
      </c>
      <c r="H589" s="9">
        <v>5000000</v>
      </c>
      <c r="I589" s="9">
        <f>[1]!Tabel1[[#This Row],[Honorar]]*[1]!Tabel1[[#This Row],[Sandsynlighed]]</f>
        <v>75000</v>
      </c>
      <c r="J589" s="10" t="s">
        <v>584</v>
      </c>
      <c r="K589" s="10" t="s">
        <v>1062</v>
      </c>
      <c r="L589" s="17" t="s">
        <v>2144</v>
      </c>
      <c r="M589" s="11">
        <v>0.25</v>
      </c>
      <c r="N589" s="1"/>
      <c r="O589" s="10">
        <v>46279.611122685186</v>
      </c>
      <c r="P589" s="1" t="s">
        <v>72</v>
      </c>
      <c r="Q589" s="1" t="s">
        <v>72</v>
      </c>
      <c r="R589" s="8" t="s">
        <v>75</v>
      </c>
      <c r="S58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8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8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8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8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8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8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8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8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8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8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8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8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89" s="12">
        <f ca="1">[1]!Tabel1[[#This Row],[Vægtet Honorar]]*([1]!Tabel1[[#This Row],[Sidst redigeret]]&gt;TODAY()-40)*([1]!Tabel1[[#This Row],[Er i resplan?]]&lt;&gt;"Ja")*([1]!Tabel1[[#This Row],[Status]]="Pågår")</f>
        <v>0</v>
      </c>
      <c r="AG589" s="12">
        <f ca="1">[1]!Tabel1[[#This Row],[Vægtet Honorar]]*([1]!Tabel1[[#This Row],[Sidst redigeret]]&gt;TODAY()-40)*([1]!Tabel1[[#This Row],[Status]]="Pågår")</f>
        <v>0</v>
      </c>
      <c r="AH589" s="13"/>
      <c r="AI589" s="12"/>
      <c r="AJ589" s="12"/>
      <c r="AK589" s="12"/>
      <c r="AL589" s="12"/>
      <c r="AM589" s="12"/>
      <c r="AN589" s="12"/>
      <c r="AO589" s="12"/>
      <c r="AP589" s="12"/>
    </row>
    <row r="590" spans="1:42">
      <c r="A590" t="s">
        <v>2145</v>
      </c>
      <c r="B590" s="8"/>
      <c r="C590" s="8" t="s">
        <v>2146</v>
      </c>
      <c r="D590" s="8" t="s">
        <v>1468</v>
      </c>
      <c r="E590" s="8" t="s">
        <v>167</v>
      </c>
      <c r="F590" s="8" t="s">
        <v>1357</v>
      </c>
      <c r="G590" s="8" t="s">
        <v>1357</v>
      </c>
      <c r="H590" s="9">
        <v>150000</v>
      </c>
      <c r="I590" s="9">
        <f>[1]!Tabel1[[#This Row],[Honorar]]*[1]!Tabel1[[#This Row],[Sandsynlighed]]</f>
        <v>100000</v>
      </c>
      <c r="J590" s="10" t="s">
        <v>584</v>
      </c>
      <c r="K590" s="10" t="s">
        <v>452</v>
      </c>
      <c r="L590" s="17"/>
      <c r="M590" s="11">
        <v>0.9</v>
      </c>
      <c r="N590" s="1"/>
      <c r="O590" s="10">
        <v>46279.611122685186</v>
      </c>
      <c r="P590" s="10" t="s">
        <v>46</v>
      </c>
      <c r="Q590" s="1" t="s">
        <v>46</v>
      </c>
      <c r="R590" s="8" t="s">
        <v>47</v>
      </c>
      <c r="S59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9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9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9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9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9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9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9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9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9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9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9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9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90" s="12">
        <f ca="1">[1]!Tabel1[[#This Row],[Vægtet Honorar]]*([1]!Tabel1[[#This Row],[Sidst redigeret]]&gt;TODAY()-40)*([1]!Tabel1[[#This Row],[Er i resplan?]]&lt;&gt;"Ja")*([1]!Tabel1[[#This Row],[Status]]="Pågår")</f>
        <v>0</v>
      </c>
      <c r="AG590" s="12">
        <f ca="1">[1]!Tabel1[[#This Row],[Vægtet Honorar]]*([1]!Tabel1[[#This Row],[Sidst redigeret]]&gt;TODAY()-40)*([1]!Tabel1[[#This Row],[Status]]="Pågår")</f>
        <v>0</v>
      </c>
      <c r="AH590" s="13"/>
      <c r="AI590" s="12"/>
      <c r="AJ590" s="12"/>
      <c r="AK590" s="12"/>
      <c r="AL590" s="12"/>
      <c r="AM590" s="12"/>
      <c r="AN590" s="12"/>
      <c r="AO590" s="12"/>
      <c r="AP590" s="12"/>
    </row>
    <row r="591" spans="1:42" ht="30">
      <c r="A591" t="s">
        <v>2147</v>
      </c>
      <c r="B591" s="8"/>
      <c r="C591" s="8" t="s">
        <v>2148</v>
      </c>
      <c r="D591" s="8" t="s">
        <v>687</v>
      </c>
      <c r="E591" s="8" t="s">
        <v>167</v>
      </c>
      <c r="F591" s="8" t="s">
        <v>1292</v>
      </c>
      <c r="G591" s="8" t="s">
        <v>1292</v>
      </c>
      <c r="H591" s="9">
        <v>5000000</v>
      </c>
      <c r="I591" s="9">
        <f>[1]!Tabel1[[#This Row],[Honorar]]*[1]!Tabel1[[#This Row],[Sandsynlighed]]</f>
        <v>100000</v>
      </c>
      <c r="J591" s="10" t="s">
        <v>452</v>
      </c>
      <c r="K591" s="10" t="s">
        <v>1709</v>
      </c>
      <c r="L591" s="17" t="s">
        <v>307</v>
      </c>
      <c r="M591" s="11">
        <v>0</v>
      </c>
      <c r="N591" s="1"/>
      <c r="O591" s="10">
        <v>46279.611122685186</v>
      </c>
      <c r="P591" s="10"/>
      <c r="Q591" s="1" t="s">
        <v>72</v>
      </c>
      <c r="R591" s="8" t="s">
        <v>49</v>
      </c>
      <c r="S59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3700.3244120032446</v>
      </c>
      <c r="T59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3700.3244120032446</v>
      </c>
      <c r="U59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3700.3244120032446</v>
      </c>
      <c r="V59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3700.3244120032446</v>
      </c>
      <c r="W59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3700.3244120032446</v>
      </c>
      <c r="X59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3700.3244120032446</v>
      </c>
      <c r="Y59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3700.3244120032446</v>
      </c>
      <c r="Z59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3700.3244120032446</v>
      </c>
      <c r="AA59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3700.3244120032446</v>
      </c>
      <c r="AB59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3700.3244120032446</v>
      </c>
      <c r="AC59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3700.3244120032446</v>
      </c>
      <c r="AD59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3700.3244120032446</v>
      </c>
      <c r="AE59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3700.3244120032446</v>
      </c>
      <c r="AF591" s="12">
        <f ca="1">[1]!Tabel1[[#This Row],[Vægtet Honorar]]*([1]!Tabel1[[#This Row],[Sidst redigeret]]&gt;TODAY()-40)*([1]!Tabel1[[#This Row],[Er i resplan?]]&lt;&gt;"Ja")*([1]!Tabel1[[#This Row],[Status]]="Pågår")</f>
        <v>100000</v>
      </c>
      <c r="AG591" s="12">
        <f ca="1">[1]!Tabel1[[#This Row],[Vægtet Honorar]]*([1]!Tabel1[[#This Row],[Sidst redigeret]]&gt;TODAY()-40)*([1]!Tabel1[[#This Row],[Status]]="Pågår")</f>
        <v>100000</v>
      </c>
      <c r="AH591" s="13"/>
      <c r="AI591" s="12"/>
      <c r="AJ591" s="12" t="s">
        <v>2149</v>
      </c>
      <c r="AK591" s="12"/>
      <c r="AL591" s="12"/>
      <c r="AM591" s="12"/>
      <c r="AN591" s="12"/>
      <c r="AO591" s="12"/>
      <c r="AP591" s="12"/>
    </row>
    <row r="592" spans="1:42" ht="30">
      <c r="A592" t="s">
        <v>2150</v>
      </c>
      <c r="B592" s="8"/>
      <c r="C592" s="8" t="s">
        <v>2148</v>
      </c>
      <c r="D592" s="8" t="s">
        <v>687</v>
      </c>
      <c r="E592" s="8" t="s">
        <v>167</v>
      </c>
      <c r="F592" s="8" t="s">
        <v>1292</v>
      </c>
      <c r="G592" s="8" t="s">
        <v>1292</v>
      </c>
      <c r="H592" s="9"/>
      <c r="I592" s="9"/>
      <c r="J592" s="10" t="s">
        <v>584</v>
      </c>
      <c r="K592" s="10" t="s">
        <v>1709</v>
      </c>
      <c r="L592" s="17" t="s">
        <v>307</v>
      </c>
      <c r="M592" s="11">
        <v>0</v>
      </c>
      <c r="N592" s="1"/>
      <c r="O592" s="10">
        <v>46279.611122685186</v>
      </c>
      <c r="P592" s="10"/>
      <c r="Q592" s="1" t="s">
        <v>72</v>
      </c>
      <c r="R592" s="8" t="s">
        <v>49</v>
      </c>
      <c r="S59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9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9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9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9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9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9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9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9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9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9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9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9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92" s="12">
        <f ca="1">[1]!Tabel1[[#This Row],[Vægtet Honorar]]*([1]!Tabel1[[#This Row],[Sidst redigeret]]&gt;TODAY()-40)*([1]!Tabel1[[#This Row],[Er i resplan?]]&lt;&gt;"Ja")*([1]!Tabel1[[#This Row],[Status]]="Pågår")</f>
        <v>0</v>
      </c>
      <c r="AG592" s="12">
        <f ca="1">[1]!Tabel1[[#This Row],[Vægtet Honorar]]*([1]!Tabel1[[#This Row],[Sidst redigeret]]&gt;TODAY()-40)*([1]!Tabel1[[#This Row],[Status]]="Pågår")</f>
        <v>0</v>
      </c>
      <c r="AH592" s="13"/>
      <c r="AI592" s="12"/>
      <c r="AJ592" s="12" t="s">
        <v>2149</v>
      </c>
      <c r="AK592" s="12"/>
      <c r="AL592" s="12"/>
      <c r="AM592" s="12"/>
      <c r="AN592" s="12"/>
      <c r="AO592" s="12"/>
      <c r="AP592" s="12"/>
    </row>
    <row r="593" spans="1:42">
      <c r="A593" t="s">
        <v>2151</v>
      </c>
      <c r="B593" s="8"/>
      <c r="C593" s="8" t="s">
        <v>2152</v>
      </c>
      <c r="D593" s="8" t="s">
        <v>158</v>
      </c>
      <c r="E593" s="8" t="s">
        <v>167</v>
      </c>
      <c r="F593" s="8" t="s">
        <v>1024</v>
      </c>
      <c r="G593" s="8" t="s">
        <v>2153</v>
      </c>
      <c r="H593" s="9">
        <v>500000</v>
      </c>
      <c r="I593" s="9">
        <f>[1]!Tabel1[[#This Row],[Honorar]]*[1]!Tabel1[[#This Row],[Sandsynlighed]]</f>
        <v>75000</v>
      </c>
      <c r="J593" s="10" t="s">
        <v>612</v>
      </c>
      <c r="K593" s="10" t="s">
        <v>1191</v>
      </c>
      <c r="L593" s="17"/>
      <c r="M593" s="11">
        <v>0.05</v>
      </c>
      <c r="N593" s="1"/>
      <c r="O593" s="10">
        <v>46279.611122685186</v>
      </c>
      <c r="P593" s="10"/>
      <c r="Q593" s="1" t="s">
        <v>72</v>
      </c>
      <c r="R593" s="8" t="s">
        <v>343</v>
      </c>
      <c r="S59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3581.2401883830457</v>
      </c>
      <c r="T59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9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9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9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9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9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9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9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9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9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9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9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93" s="12">
        <f ca="1">[1]!Tabel1[[#This Row],[Vægtet Honorar]]*([1]!Tabel1[[#This Row],[Sidst redigeret]]&gt;TODAY()-40)*([1]!Tabel1[[#This Row],[Er i resplan?]]&lt;&gt;"Ja")*([1]!Tabel1[[#This Row],[Status]]="Pågår")</f>
        <v>0</v>
      </c>
      <c r="AG593" s="12">
        <f ca="1">[1]!Tabel1[[#This Row],[Vægtet Honorar]]*([1]!Tabel1[[#This Row],[Sidst redigeret]]&gt;TODAY()-40)*([1]!Tabel1[[#This Row],[Status]]="Pågår")</f>
        <v>0</v>
      </c>
      <c r="AH593" s="13"/>
      <c r="AI593" s="12"/>
      <c r="AJ593" s="12" t="s">
        <v>2153</v>
      </c>
      <c r="AK593" s="12"/>
      <c r="AL593" s="12" t="s">
        <v>2154</v>
      </c>
      <c r="AM593" s="12"/>
      <c r="AN593" s="12" t="s">
        <v>2155</v>
      </c>
      <c r="AO593" s="12"/>
      <c r="AP593" s="12"/>
    </row>
    <row r="594" spans="1:42">
      <c r="A594" t="s">
        <v>2156</v>
      </c>
      <c r="B594" s="8"/>
      <c r="C594" s="8" t="s">
        <v>2157</v>
      </c>
      <c r="D594" s="8" t="s">
        <v>57</v>
      </c>
      <c r="E594" s="8" t="s">
        <v>167</v>
      </c>
      <c r="F594" s="8" t="s">
        <v>599</v>
      </c>
      <c r="G594" s="8" t="s">
        <v>599</v>
      </c>
      <c r="H594" s="9">
        <v>50000</v>
      </c>
      <c r="I594" s="9">
        <f>[1]!Tabel1[[#This Row],[Honorar]]*[1]!Tabel1[[#This Row],[Sandsynlighed]]</f>
        <v>1250000</v>
      </c>
      <c r="J594" s="10" t="s">
        <v>584</v>
      </c>
      <c r="K594" s="10" t="s">
        <v>452</v>
      </c>
      <c r="L594" s="17"/>
      <c r="M594" s="11">
        <v>1</v>
      </c>
      <c r="N594" s="1"/>
      <c r="O594" s="10">
        <v>46279.611122685186</v>
      </c>
      <c r="P594" s="10"/>
      <c r="Q594" s="1" t="s">
        <v>46</v>
      </c>
      <c r="R594" s="8" t="s">
        <v>47</v>
      </c>
      <c r="S59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9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9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9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9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9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9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9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9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9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9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9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9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94" s="12">
        <f ca="1">[1]!Tabel1[[#This Row],[Vægtet Honorar]]*([1]!Tabel1[[#This Row],[Sidst redigeret]]&gt;TODAY()-40)*([1]!Tabel1[[#This Row],[Er i resplan?]]&lt;&gt;"Ja")*([1]!Tabel1[[#This Row],[Status]]="Pågår")</f>
        <v>0</v>
      </c>
      <c r="AG594" s="12">
        <f ca="1">[1]!Tabel1[[#This Row],[Vægtet Honorar]]*([1]!Tabel1[[#This Row],[Sidst redigeret]]&gt;TODAY()-40)*([1]!Tabel1[[#This Row],[Status]]="Pågår")</f>
        <v>0</v>
      </c>
      <c r="AH594" s="13"/>
      <c r="AI594" s="12"/>
      <c r="AJ594" s="12"/>
      <c r="AK594" s="12"/>
      <c r="AL594" s="12"/>
      <c r="AM594" s="12"/>
      <c r="AN594" s="12"/>
      <c r="AO594" s="12"/>
      <c r="AP594" s="12"/>
    </row>
    <row r="595" spans="1:42">
      <c r="A595" t="s">
        <v>2158</v>
      </c>
      <c r="B595" s="8"/>
      <c r="C595" s="8" t="s">
        <v>2159</v>
      </c>
      <c r="D595" s="8" t="s">
        <v>203</v>
      </c>
      <c r="E595" s="8" t="s">
        <v>167</v>
      </c>
      <c r="F595" s="8" t="s">
        <v>2160</v>
      </c>
      <c r="G595" s="8" t="s">
        <v>2160</v>
      </c>
      <c r="H595" s="9">
        <v>200000</v>
      </c>
      <c r="I595" s="9">
        <f>[1]!Tabel1[[#This Row],[Honorar]]*[1]!Tabel1[[#This Row],[Sandsynlighed]]</f>
        <v>135000</v>
      </c>
      <c r="J595" s="10" t="s">
        <v>584</v>
      </c>
      <c r="K595" s="10" t="s">
        <v>328</v>
      </c>
      <c r="L595" s="17"/>
      <c r="M595" s="11">
        <v>0.05</v>
      </c>
      <c r="N595" s="1"/>
      <c r="O595" s="10">
        <v>46279.611122685186</v>
      </c>
      <c r="P595" s="10"/>
      <c r="Q595" s="1" t="s">
        <v>72</v>
      </c>
      <c r="R595" s="8" t="s">
        <v>49</v>
      </c>
      <c r="S59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9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9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9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9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9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9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9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9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9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9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9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9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95" s="12">
        <f ca="1">[1]!Tabel1[[#This Row],[Vægtet Honorar]]*([1]!Tabel1[[#This Row],[Sidst redigeret]]&gt;TODAY()-40)*([1]!Tabel1[[#This Row],[Er i resplan?]]&lt;&gt;"Ja")*([1]!Tabel1[[#This Row],[Status]]="Pågår")</f>
        <v>0</v>
      </c>
      <c r="AG595" s="12">
        <f ca="1">[1]!Tabel1[[#This Row],[Vægtet Honorar]]*([1]!Tabel1[[#This Row],[Sidst redigeret]]&gt;TODAY()-40)*([1]!Tabel1[[#This Row],[Status]]="Pågår")</f>
        <v>0</v>
      </c>
      <c r="AH595" s="13"/>
      <c r="AI595" s="12"/>
      <c r="AJ595" s="12"/>
      <c r="AK595" s="12"/>
      <c r="AL595" s="12"/>
      <c r="AM595" s="12"/>
      <c r="AN595" s="12"/>
      <c r="AO595" s="12"/>
      <c r="AP595" s="12"/>
    </row>
    <row r="596" spans="1:42">
      <c r="A596" t="s">
        <v>2161</v>
      </c>
      <c r="B596" s="8"/>
      <c r="C596" s="8" t="s">
        <v>2162</v>
      </c>
      <c r="D596" s="8" t="s">
        <v>720</v>
      </c>
      <c r="E596" s="8" t="s">
        <v>71</v>
      </c>
      <c r="F596" s="8" t="s">
        <v>1012</v>
      </c>
      <c r="G596" s="8" t="s">
        <v>1012</v>
      </c>
      <c r="H596" s="9">
        <v>200000</v>
      </c>
      <c r="I596" s="9">
        <f>[1]!Tabel1[[#This Row],[Honorar]]*[1]!Tabel1[[#This Row],[Sandsynlighed]]</f>
        <v>0</v>
      </c>
      <c r="J596" s="10" t="s">
        <v>584</v>
      </c>
      <c r="K596" s="10" t="s">
        <v>612</v>
      </c>
      <c r="L596" s="17"/>
      <c r="M596" s="11">
        <v>1</v>
      </c>
      <c r="N596" s="1"/>
      <c r="O596" s="10">
        <v>46279.611122685186</v>
      </c>
      <c r="P596" s="10"/>
      <c r="Q596" s="1" t="s">
        <v>46</v>
      </c>
      <c r="R596" s="8" t="s">
        <v>47</v>
      </c>
      <c r="S59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9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9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9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9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9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9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9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9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9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9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9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9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96" s="12">
        <f ca="1">[1]!Tabel1[[#This Row],[Vægtet Honorar]]*([1]!Tabel1[[#This Row],[Sidst redigeret]]&gt;TODAY()-40)*([1]!Tabel1[[#This Row],[Er i resplan?]]&lt;&gt;"Ja")*([1]!Tabel1[[#This Row],[Status]]="Pågår")</f>
        <v>0</v>
      </c>
      <c r="AG596" s="12">
        <f ca="1">[1]!Tabel1[[#This Row],[Vægtet Honorar]]*([1]!Tabel1[[#This Row],[Sidst redigeret]]&gt;TODAY()-40)*([1]!Tabel1[[#This Row],[Status]]="Pågår")</f>
        <v>0</v>
      </c>
      <c r="AH596" s="13"/>
      <c r="AI596" s="12"/>
      <c r="AJ596" s="12"/>
      <c r="AK596" s="12"/>
      <c r="AL596" s="12"/>
      <c r="AM596" s="12"/>
      <c r="AN596" s="12"/>
      <c r="AO596" s="12"/>
      <c r="AP596" s="12"/>
    </row>
    <row r="597" spans="1:42">
      <c r="A597" t="s">
        <v>2163</v>
      </c>
      <c r="B597" s="8"/>
      <c r="C597" s="8" t="s">
        <v>2164</v>
      </c>
      <c r="D597" s="8" t="s">
        <v>1468</v>
      </c>
      <c r="E597" s="8" t="s">
        <v>167</v>
      </c>
      <c r="F597" s="8" t="s">
        <v>2165</v>
      </c>
      <c r="G597" s="8" t="s">
        <v>1199</v>
      </c>
      <c r="H597" s="9">
        <v>64000</v>
      </c>
      <c r="I597" s="9">
        <f>[1]!Tabel1[[#This Row],[Honorar]]*[1]!Tabel1[[#This Row],[Sandsynlighed]]</f>
        <v>0</v>
      </c>
      <c r="J597" s="10" t="s">
        <v>584</v>
      </c>
      <c r="K597" s="10" t="s">
        <v>584</v>
      </c>
      <c r="L597" s="17"/>
      <c r="M597" s="11">
        <v>1</v>
      </c>
      <c r="N597" s="1"/>
      <c r="O597" s="10">
        <v>46279.611122685186</v>
      </c>
      <c r="P597" s="10"/>
      <c r="Q597" s="1" t="s">
        <v>46</v>
      </c>
      <c r="R597" s="8" t="s">
        <v>47</v>
      </c>
      <c r="S59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9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9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9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9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9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9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9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9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9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9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9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9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97" s="12">
        <f ca="1">[1]!Tabel1[[#This Row],[Vægtet Honorar]]*([1]!Tabel1[[#This Row],[Sidst redigeret]]&gt;TODAY()-40)*([1]!Tabel1[[#This Row],[Er i resplan?]]&lt;&gt;"Ja")*([1]!Tabel1[[#This Row],[Status]]="Pågår")</f>
        <v>0</v>
      </c>
      <c r="AG597" s="12">
        <f ca="1">[1]!Tabel1[[#This Row],[Vægtet Honorar]]*([1]!Tabel1[[#This Row],[Sidst redigeret]]&gt;TODAY()-40)*([1]!Tabel1[[#This Row],[Status]]="Pågår")</f>
        <v>0</v>
      </c>
      <c r="AH597" s="13"/>
      <c r="AI597" s="12"/>
      <c r="AJ597" s="12"/>
      <c r="AK597" s="12"/>
      <c r="AL597" s="12"/>
      <c r="AM597" s="12"/>
      <c r="AN597" s="12"/>
      <c r="AO597" s="12"/>
      <c r="AP597" s="12"/>
    </row>
    <row r="598" spans="1:42" ht="30">
      <c r="A598" t="s">
        <v>2166</v>
      </c>
      <c r="B598" s="8"/>
      <c r="C598" s="8" t="s">
        <v>2167</v>
      </c>
      <c r="D598" s="8" t="s">
        <v>57</v>
      </c>
      <c r="E598" s="8" t="s">
        <v>167</v>
      </c>
      <c r="F598" s="8" t="s">
        <v>1024</v>
      </c>
      <c r="G598" s="8" t="s">
        <v>1024</v>
      </c>
      <c r="H598" s="9">
        <v>5000000</v>
      </c>
      <c r="I598" s="9">
        <f>[1]!Tabel1[[#This Row],[Honorar]]*[1]!Tabel1[[#This Row],[Sandsynlighed]]</f>
        <v>25000</v>
      </c>
      <c r="J598" s="10" t="s">
        <v>452</v>
      </c>
      <c r="K598" s="10" t="s">
        <v>329</v>
      </c>
      <c r="L598" s="17" t="s">
        <v>2168</v>
      </c>
      <c r="M598" s="11">
        <v>0.02</v>
      </c>
      <c r="N598" s="1"/>
      <c r="O598" s="10">
        <v>46279.611122685186</v>
      </c>
      <c r="P598" s="10"/>
      <c r="Q598" s="1" t="s">
        <v>72</v>
      </c>
      <c r="R598" s="8" t="s">
        <v>49</v>
      </c>
      <c r="S59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1667.5804093567251</v>
      </c>
      <c r="T59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9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9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9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9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9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9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9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9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9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9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9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98" s="12">
        <f ca="1">[1]!Tabel1[[#This Row],[Vægtet Honorar]]*([1]!Tabel1[[#This Row],[Sidst redigeret]]&gt;TODAY()-40)*([1]!Tabel1[[#This Row],[Er i resplan?]]&lt;&gt;"Ja")*([1]!Tabel1[[#This Row],[Status]]="Pågår")</f>
        <v>25000</v>
      </c>
      <c r="AG598" s="12">
        <f ca="1">[1]!Tabel1[[#This Row],[Vægtet Honorar]]*([1]!Tabel1[[#This Row],[Sidst redigeret]]&gt;TODAY()-40)*([1]!Tabel1[[#This Row],[Status]]="Pågår")</f>
        <v>25000</v>
      </c>
      <c r="AH598" s="13"/>
      <c r="AI598" s="12"/>
      <c r="AJ598" s="12" t="s">
        <v>2169</v>
      </c>
      <c r="AK598" s="12"/>
      <c r="AL598" s="12"/>
      <c r="AM598" s="12"/>
      <c r="AN598" s="12"/>
      <c r="AO598" s="12"/>
      <c r="AP598" s="12"/>
    </row>
    <row r="599" spans="1:42" ht="30">
      <c r="A599" t="s">
        <v>2170</v>
      </c>
      <c r="B599" s="8"/>
      <c r="C599" s="8" t="s">
        <v>2171</v>
      </c>
      <c r="D599" s="8" t="s">
        <v>57</v>
      </c>
      <c r="E599" s="8" t="s">
        <v>167</v>
      </c>
      <c r="F599" s="8" t="s">
        <v>1024</v>
      </c>
      <c r="G599" s="8" t="s">
        <v>1024</v>
      </c>
      <c r="H599" s="9">
        <v>2000000</v>
      </c>
      <c r="I599" s="9">
        <f>[1]!Tabel1[[#This Row],[Honorar]]*[1]!Tabel1[[#This Row],[Sandsynlighed]]</f>
        <v>50000</v>
      </c>
      <c r="J599" s="10" t="s">
        <v>584</v>
      </c>
      <c r="K599" s="10" t="s">
        <v>329</v>
      </c>
      <c r="L599" s="17" t="s">
        <v>2168</v>
      </c>
      <c r="M599" s="11">
        <v>0</v>
      </c>
      <c r="N599" s="1"/>
      <c r="O599" s="10">
        <v>46279.611122685186</v>
      </c>
      <c r="P599" s="10"/>
      <c r="Q599" s="1" t="s">
        <v>72</v>
      </c>
      <c r="R599" s="8" t="s">
        <v>49</v>
      </c>
      <c r="S59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59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59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59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59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59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59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59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59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59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59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59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59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599" s="12">
        <f ca="1">[1]!Tabel1[[#This Row],[Vægtet Honorar]]*([1]!Tabel1[[#This Row],[Sidst redigeret]]&gt;TODAY()-40)*([1]!Tabel1[[#This Row],[Er i resplan?]]&lt;&gt;"Ja")*([1]!Tabel1[[#This Row],[Status]]="Pågår")</f>
        <v>0</v>
      </c>
      <c r="AG599" s="12">
        <f ca="1">[1]!Tabel1[[#This Row],[Vægtet Honorar]]*([1]!Tabel1[[#This Row],[Sidst redigeret]]&gt;TODAY()-40)*([1]!Tabel1[[#This Row],[Status]]="Pågår")</f>
        <v>0</v>
      </c>
      <c r="AH599" s="13"/>
      <c r="AI599" s="12"/>
      <c r="AJ599" s="12" t="s">
        <v>2169</v>
      </c>
      <c r="AK599" s="12"/>
      <c r="AL599" s="12"/>
      <c r="AM599" s="12"/>
      <c r="AN599" s="12"/>
      <c r="AO599" s="12"/>
      <c r="AP599" s="12"/>
    </row>
    <row r="600" spans="1:42">
      <c r="A600" t="s">
        <v>2172</v>
      </c>
      <c r="B600" s="8"/>
      <c r="C600" s="8" t="s">
        <v>2173</v>
      </c>
      <c r="D600" s="8" t="s">
        <v>65</v>
      </c>
      <c r="E600" s="8" t="s">
        <v>167</v>
      </c>
      <c r="F600" s="8" t="s">
        <v>2174</v>
      </c>
      <c r="G600" s="8" t="s">
        <v>2174</v>
      </c>
      <c r="H600" s="9">
        <v>507000</v>
      </c>
      <c r="I600" s="9">
        <f>[1]!Tabel1[[#This Row],[Honorar]]*[1]!Tabel1[[#This Row],[Sandsynlighed]]</f>
        <v>10000</v>
      </c>
      <c r="J600" s="10" t="s">
        <v>584</v>
      </c>
      <c r="K600" s="10" t="s">
        <v>612</v>
      </c>
      <c r="L600" s="17" t="s">
        <v>2175</v>
      </c>
      <c r="M600" s="11">
        <v>1</v>
      </c>
      <c r="N600" s="1"/>
      <c r="O600" s="10">
        <v>46279.611122685186</v>
      </c>
      <c r="P600" s="10"/>
      <c r="Q600" s="1" t="s">
        <v>46</v>
      </c>
      <c r="R600" s="8" t="s">
        <v>47</v>
      </c>
      <c r="S60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1680.4788213627992</v>
      </c>
      <c r="T60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0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0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0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0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0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0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0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0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0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0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0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00" s="12">
        <f ca="1">[1]!Tabel1[[#This Row],[Vægtet Honorar]]*([1]!Tabel1[[#This Row],[Sidst redigeret]]&gt;TODAY()-40)*([1]!Tabel1[[#This Row],[Er i resplan?]]&lt;&gt;"Ja")*([1]!Tabel1[[#This Row],[Status]]="Pågår")</f>
        <v>0</v>
      </c>
      <c r="AG600" s="12">
        <f ca="1">[1]!Tabel1[[#This Row],[Vægtet Honorar]]*([1]!Tabel1[[#This Row],[Sidst redigeret]]&gt;TODAY()-40)*([1]!Tabel1[[#This Row],[Status]]="Pågår")</f>
        <v>0</v>
      </c>
      <c r="AH600" s="13"/>
      <c r="AI600" s="12"/>
      <c r="AJ600" s="12"/>
      <c r="AK600" s="12"/>
      <c r="AL600" s="12"/>
      <c r="AM600" s="12"/>
      <c r="AN600" s="12"/>
      <c r="AO600" s="12"/>
      <c r="AP600" s="12"/>
    </row>
    <row r="601" spans="1:42">
      <c r="A601" t="s">
        <v>2176</v>
      </c>
      <c r="B601" s="8"/>
      <c r="C601" s="8" t="s">
        <v>2177</v>
      </c>
      <c r="D601" s="8" t="s">
        <v>197</v>
      </c>
      <c r="E601" s="8" t="s">
        <v>167</v>
      </c>
      <c r="F601" s="8" t="s">
        <v>671</v>
      </c>
      <c r="G601" s="8" t="s">
        <v>1864</v>
      </c>
      <c r="H601" s="9">
        <v>400000</v>
      </c>
      <c r="I601" s="9">
        <f>[1]!Tabel1[[#This Row],[Honorar]]*[1]!Tabel1[[#This Row],[Sandsynlighed]]</f>
        <v>200000</v>
      </c>
      <c r="J601" s="10" t="s">
        <v>584</v>
      </c>
      <c r="K601" s="10" t="s">
        <v>612</v>
      </c>
      <c r="L601" s="17" t="s">
        <v>2178</v>
      </c>
      <c r="M601" s="11">
        <v>0.2</v>
      </c>
      <c r="N601" s="1"/>
      <c r="O601" s="10">
        <v>46279.611122685186</v>
      </c>
      <c r="P601" s="10"/>
      <c r="Q601" s="1" t="s">
        <v>72</v>
      </c>
      <c r="R601" s="8" t="s">
        <v>75</v>
      </c>
      <c r="S60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0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0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0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0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0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0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0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0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0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0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0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0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01" s="12">
        <f ca="1">[1]!Tabel1[[#This Row],[Vægtet Honorar]]*([1]!Tabel1[[#This Row],[Sidst redigeret]]&gt;TODAY()-40)*([1]!Tabel1[[#This Row],[Er i resplan?]]&lt;&gt;"Ja")*([1]!Tabel1[[#This Row],[Status]]="Pågår")</f>
        <v>0</v>
      </c>
      <c r="AG601" s="12">
        <f ca="1">[1]!Tabel1[[#This Row],[Vægtet Honorar]]*([1]!Tabel1[[#This Row],[Sidst redigeret]]&gt;TODAY()-40)*([1]!Tabel1[[#This Row],[Status]]="Pågår")</f>
        <v>0</v>
      </c>
      <c r="AH601" s="13"/>
      <c r="AI601" s="12"/>
      <c r="AJ601" s="12"/>
      <c r="AK601" s="12"/>
      <c r="AL601" s="12"/>
      <c r="AM601" s="12"/>
      <c r="AN601" s="12"/>
      <c r="AO601" s="12"/>
      <c r="AP601" s="12"/>
    </row>
    <row r="602" spans="1:42">
      <c r="A602" t="s">
        <v>2179</v>
      </c>
      <c r="B602" s="8">
        <v>251290</v>
      </c>
      <c r="C602" s="8" t="s">
        <v>2180</v>
      </c>
      <c r="D602" s="8" t="s">
        <v>720</v>
      </c>
      <c r="E602" s="8" t="s">
        <v>71</v>
      </c>
      <c r="F602" s="8" t="s">
        <v>726</v>
      </c>
      <c r="G602" s="8" t="s">
        <v>1993</v>
      </c>
      <c r="H602" s="9">
        <v>1000000</v>
      </c>
      <c r="I602" s="9">
        <f>[1]!Tabel1[[#This Row],[Honorar]]*[1]!Tabel1[[#This Row],[Sandsynlighed]]</f>
        <v>64000</v>
      </c>
      <c r="J602" s="10" t="s">
        <v>452</v>
      </c>
      <c r="K602" s="10" t="s">
        <v>1310</v>
      </c>
      <c r="L602" s="17" t="s">
        <v>942</v>
      </c>
      <c r="M602" s="11">
        <v>1</v>
      </c>
      <c r="N602" s="1">
        <v>750</v>
      </c>
      <c r="O602" s="10">
        <v>46279.611122685186</v>
      </c>
      <c r="P602" s="10"/>
      <c r="Q602" s="1" t="s">
        <v>46</v>
      </c>
      <c r="R602" s="8" t="s">
        <v>47</v>
      </c>
      <c r="S60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0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0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0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0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0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0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0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0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0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0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0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0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02" s="12">
        <f ca="1">[1]!Tabel1[[#This Row],[Vægtet Honorar]]*([1]!Tabel1[[#This Row],[Sidst redigeret]]&gt;TODAY()-40)*([1]!Tabel1[[#This Row],[Er i resplan?]]&lt;&gt;"Ja")*([1]!Tabel1[[#This Row],[Status]]="Pågår")</f>
        <v>0</v>
      </c>
      <c r="AG602" s="12">
        <f ca="1">[1]!Tabel1[[#This Row],[Vægtet Honorar]]*([1]!Tabel1[[#This Row],[Sidst redigeret]]&gt;TODAY()-40)*([1]!Tabel1[[#This Row],[Status]]="Pågår")</f>
        <v>0</v>
      </c>
      <c r="AH602" s="13"/>
      <c r="AI602" s="12"/>
      <c r="AJ602" s="12" t="s">
        <v>2169</v>
      </c>
      <c r="AK602" s="12"/>
      <c r="AL602" s="12"/>
      <c r="AM602" s="12"/>
      <c r="AN602" s="12"/>
      <c r="AO602" s="12"/>
      <c r="AP602" s="12"/>
    </row>
    <row r="603" spans="1:42" ht="30">
      <c r="A603" t="s">
        <v>2181</v>
      </c>
      <c r="B603" s="8"/>
      <c r="C603" s="8" t="s">
        <v>2182</v>
      </c>
      <c r="D603" s="8" t="s">
        <v>1468</v>
      </c>
      <c r="E603" s="8" t="s">
        <v>167</v>
      </c>
      <c r="F603" s="8" t="s">
        <v>2183</v>
      </c>
      <c r="G603" s="8" t="s">
        <v>2183</v>
      </c>
      <c r="H603" s="9">
        <v>50000</v>
      </c>
      <c r="I603" s="9">
        <f>[1]!Tabel1[[#This Row],[Honorar]]*[1]!Tabel1[[#This Row],[Sandsynlighed]]</f>
        <v>100000</v>
      </c>
      <c r="J603" s="10" t="s">
        <v>584</v>
      </c>
      <c r="K603" s="10" t="s">
        <v>328</v>
      </c>
      <c r="L603" s="17" t="s">
        <v>2184</v>
      </c>
      <c r="M603" s="11">
        <v>1</v>
      </c>
      <c r="N603" s="1"/>
      <c r="O603" s="10">
        <v>46279.611122685186</v>
      </c>
      <c r="P603" s="10" t="s">
        <v>46</v>
      </c>
      <c r="Q603" s="1" t="s">
        <v>46</v>
      </c>
      <c r="R603" s="8" t="s">
        <v>47</v>
      </c>
      <c r="S60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8356.2271062271066</v>
      </c>
      <c r="T60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0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0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0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0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0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0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0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0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0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0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0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03" s="12">
        <f ca="1">[1]!Tabel1[[#This Row],[Vægtet Honorar]]*([1]!Tabel1[[#This Row],[Sidst redigeret]]&gt;TODAY()-40)*([1]!Tabel1[[#This Row],[Er i resplan?]]&lt;&gt;"Ja")*([1]!Tabel1[[#This Row],[Status]]="Pågår")</f>
        <v>0</v>
      </c>
      <c r="AG603" s="12">
        <f ca="1">[1]!Tabel1[[#This Row],[Vægtet Honorar]]*([1]!Tabel1[[#This Row],[Sidst redigeret]]&gt;TODAY()-40)*([1]!Tabel1[[#This Row],[Status]]="Pågår")</f>
        <v>0</v>
      </c>
      <c r="AH603" s="13"/>
      <c r="AI603" s="12"/>
      <c r="AJ603" s="12"/>
      <c r="AK603" s="12"/>
      <c r="AL603" s="12"/>
      <c r="AM603" s="12"/>
      <c r="AN603" s="12"/>
      <c r="AO603" s="12"/>
      <c r="AP603" s="12"/>
    </row>
    <row r="604" spans="1:42" ht="75">
      <c r="A604" t="s">
        <v>2185</v>
      </c>
      <c r="B604" s="8"/>
      <c r="C604" s="8" t="s">
        <v>2186</v>
      </c>
      <c r="D604" s="8" t="s">
        <v>720</v>
      </c>
      <c r="E604" s="8" t="s">
        <v>71</v>
      </c>
      <c r="F604" s="8" t="s">
        <v>2187</v>
      </c>
      <c r="G604" s="8" t="s">
        <v>2188</v>
      </c>
      <c r="H604" s="9">
        <v>1000000</v>
      </c>
      <c r="I604" s="9">
        <f>[1]!Tabel1[[#This Row],[Honorar]]*[1]!Tabel1[[#This Row],[Sandsynlighed]]</f>
        <v>0</v>
      </c>
      <c r="J604" s="10" t="s">
        <v>452</v>
      </c>
      <c r="K604" s="10" t="s">
        <v>341</v>
      </c>
      <c r="L604" s="17" t="s">
        <v>2189</v>
      </c>
      <c r="M604" s="11">
        <v>0.05</v>
      </c>
      <c r="N604" s="1">
        <v>1860</v>
      </c>
      <c r="O604" s="10">
        <v>46279.611122685186</v>
      </c>
      <c r="P604" s="10"/>
      <c r="Q604" s="1" t="s">
        <v>72</v>
      </c>
      <c r="R604" s="8" t="s">
        <v>343</v>
      </c>
      <c r="S60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0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0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0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0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0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0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0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0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0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0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0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0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04" s="12">
        <f ca="1">[1]!Tabel1[[#This Row],[Vægtet Honorar]]*([1]!Tabel1[[#This Row],[Sidst redigeret]]&gt;TODAY()-40)*([1]!Tabel1[[#This Row],[Er i resplan?]]&lt;&gt;"Ja")*([1]!Tabel1[[#This Row],[Status]]="Pågår")</f>
        <v>0</v>
      </c>
      <c r="AG604" s="12">
        <f ca="1">[1]!Tabel1[[#This Row],[Vægtet Honorar]]*([1]!Tabel1[[#This Row],[Sidst redigeret]]&gt;TODAY()-40)*([1]!Tabel1[[#This Row],[Status]]="Pågår")</f>
        <v>0</v>
      </c>
      <c r="AH604" s="13"/>
      <c r="AI604" s="12"/>
      <c r="AJ604" s="12" t="s">
        <v>733</v>
      </c>
      <c r="AK604" s="12"/>
      <c r="AL604" s="12"/>
      <c r="AM604" s="12"/>
      <c r="AN604" s="12"/>
      <c r="AO604" s="12"/>
      <c r="AP604" s="12"/>
    </row>
    <row r="605" spans="1:42" ht="45">
      <c r="A605" t="s">
        <v>2190</v>
      </c>
      <c r="B605" s="8"/>
      <c r="C605" s="8" t="s">
        <v>2191</v>
      </c>
      <c r="D605" s="8" t="s">
        <v>197</v>
      </c>
      <c r="E605" s="8" t="s">
        <v>167</v>
      </c>
      <c r="F605" s="8" t="s">
        <v>2192</v>
      </c>
      <c r="G605" s="8" t="s">
        <v>2192</v>
      </c>
      <c r="H605" s="9">
        <v>5000000</v>
      </c>
      <c r="I605" s="9">
        <f>[1]!Tabel1[[#This Row],[Honorar]]*[1]!Tabel1[[#This Row],[Sandsynlighed]]</f>
        <v>507000</v>
      </c>
      <c r="J605" s="10" t="s">
        <v>452</v>
      </c>
      <c r="K605" s="10" t="s">
        <v>341</v>
      </c>
      <c r="L605" s="17" t="s">
        <v>2193</v>
      </c>
      <c r="M605" s="11">
        <v>0.1</v>
      </c>
      <c r="N605" s="1"/>
      <c r="O605" s="10">
        <v>46279.611122685186</v>
      </c>
      <c r="P605" s="10"/>
      <c r="Q605" s="1" t="s">
        <v>72</v>
      </c>
      <c r="R605" s="8" t="s">
        <v>75</v>
      </c>
      <c r="S60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0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0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0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0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0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0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0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0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0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0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0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0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05" s="12">
        <f ca="1">[1]!Tabel1[[#This Row],[Vægtet Honorar]]*([1]!Tabel1[[#This Row],[Sidst redigeret]]&gt;TODAY()-40)*([1]!Tabel1[[#This Row],[Er i resplan?]]&lt;&gt;"Ja")*([1]!Tabel1[[#This Row],[Status]]="Pågår")</f>
        <v>0</v>
      </c>
      <c r="AG605" s="12">
        <f ca="1">[1]!Tabel1[[#This Row],[Vægtet Honorar]]*([1]!Tabel1[[#This Row],[Sidst redigeret]]&gt;TODAY()-40)*([1]!Tabel1[[#This Row],[Status]]="Pågår")</f>
        <v>0</v>
      </c>
      <c r="AH605" s="13"/>
      <c r="AI605" s="12"/>
      <c r="AJ605" s="12" t="s">
        <v>767</v>
      </c>
      <c r="AK605" s="12" t="s">
        <v>2194</v>
      </c>
      <c r="AL605" s="12"/>
      <c r="AM605" s="12"/>
      <c r="AN605" s="12"/>
      <c r="AO605" s="12"/>
      <c r="AP605" s="12"/>
    </row>
    <row r="606" spans="1:42">
      <c r="A606" t="s">
        <v>2195</v>
      </c>
      <c r="B606" s="8"/>
      <c r="C606" s="8" t="s">
        <v>2196</v>
      </c>
      <c r="D606" s="8" t="s">
        <v>200</v>
      </c>
      <c r="E606" s="8" t="s">
        <v>120</v>
      </c>
      <c r="F606" s="8" t="s">
        <v>2197</v>
      </c>
      <c r="G606" s="8" t="s">
        <v>2197</v>
      </c>
      <c r="H606" s="9">
        <v>250000</v>
      </c>
      <c r="I606" s="9">
        <f>[1]!Tabel1[[#This Row],[Honorar]]*[1]!Tabel1[[#This Row],[Sandsynlighed]]</f>
        <v>80000</v>
      </c>
      <c r="J606" s="10" t="s">
        <v>584</v>
      </c>
      <c r="K606" s="10" t="s">
        <v>452</v>
      </c>
      <c r="L606" s="17"/>
      <c r="M606" s="11">
        <v>0.5</v>
      </c>
      <c r="N606" s="1"/>
      <c r="O606" s="10">
        <v>46279.611122685186</v>
      </c>
      <c r="P606" s="10"/>
      <c r="Q606" s="1" t="s">
        <v>72</v>
      </c>
      <c r="R606" s="8" t="s">
        <v>47</v>
      </c>
      <c r="S60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0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0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0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0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0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0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0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0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0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0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0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0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06" s="12">
        <f ca="1">[1]!Tabel1[[#This Row],[Vægtet Honorar]]*([1]!Tabel1[[#This Row],[Sidst redigeret]]&gt;TODAY()-40)*([1]!Tabel1[[#This Row],[Er i resplan?]]&lt;&gt;"Ja")*([1]!Tabel1[[#This Row],[Status]]="Pågår")</f>
        <v>0</v>
      </c>
      <c r="AG606" s="12">
        <f ca="1">[1]!Tabel1[[#This Row],[Vægtet Honorar]]*([1]!Tabel1[[#This Row],[Sidst redigeret]]&gt;TODAY()-40)*([1]!Tabel1[[#This Row],[Status]]="Pågår")</f>
        <v>0</v>
      </c>
      <c r="AH606" s="13"/>
      <c r="AI606" s="12"/>
      <c r="AJ606" s="12"/>
      <c r="AK606" s="12"/>
      <c r="AL606" s="12"/>
      <c r="AM606" s="12"/>
      <c r="AN606" s="12"/>
      <c r="AO606" s="12"/>
      <c r="AP606" s="12"/>
    </row>
    <row r="607" spans="1:42">
      <c r="A607" t="s">
        <v>2198</v>
      </c>
      <c r="B607" s="8"/>
      <c r="C607" s="8" t="s">
        <v>2199</v>
      </c>
      <c r="D607" s="8" t="s">
        <v>70</v>
      </c>
      <c r="E607" s="8" t="s">
        <v>102</v>
      </c>
      <c r="F607" s="8" t="s">
        <v>2200</v>
      </c>
      <c r="G607" s="8" t="s">
        <v>2201</v>
      </c>
      <c r="H607" s="9">
        <v>5000000</v>
      </c>
      <c r="I607" s="9">
        <f>[1]!Tabel1[[#This Row],[Honorar]]*[1]!Tabel1[[#This Row],[Sandsynlighed]]</f>
        <v>1000000</v>
      </c>
      <c r="J607" s="10" t="s">
        <v>329</v>
      </c>
      <c r="K607" s="10" t="s">
        <v>585</v>
      </c>
      <c r="L607" s="17"/>
      <c r="M607" s="11">
        <v>0.06</v>
      </c>
      <c r="N607" s="1">
        <v>4500</v>
      </c>
      <c r="O607" s="10">
        <v>46279.611122685186</v>
      </c>
      <c r="P607" s="10"/>
      <c r="Q607" s="1" t="s">
        <v>72</v>
      </c>
      <c r="R607" s="8" t="s">
        <v>343</v>
      </c>
      <c r="S60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0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0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0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0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0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0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0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0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0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0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0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0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07" s="12">
        <f ca="1">[1]!Tabel1[[#This Row],[Vægtet Honorar]]*([1]!Tabel1[[#This Row],[Sidst redigeret]]&gt;TODAY()-40)*([1]!Tabel1[[#This Row],[Er i resplan?]]&lt;&gt;"Ja")*([1]!Tabel1[[#This Row],[Status]]="Pågår")</f>
        <v>0</v>
      </c>
      <c r="AG607" s="12">
        <f ca="1">[1]!Tabel1[[#This Row],[Vægtet Honorar]]*([1]!Tabel1[[#This Row],[Sidst redigeret]]&gt;TODAY()-40)*([1]!Tabel1[[#This Row],[Status]]="Pågår")</f>
        <v>0</v>
      </c>
      <c r="AH607" s="13"/>
      <c r="AI607" s="12"/>
      <c r="AJ607" s="12" t="s">
        <v>1363</v>
      </c>
      <c r="AK607" s="12"/>
      <c r="AL607" s="12"/>
      <c r="AM607" s="12"/>
      <c r="AN607" s="12"/>
      <c r="AO607" s="12"/>
      <c r="AP607" s="12"/>
    </row>
    <row r="608" spans="1:42" ht="75">
      <c r="A608" t="s">
        <v>2202</v>
      </c>
      <c r="B608" s="8"/>
      <c r="C608" s="8" t="s">
        <v>2203</v>
      </c>
      <c r="D608" s="8" t="s">
        <v>896</v>
      </c>
      <c r="E608" s="8" t="s">
        <v>94</v>
      </c>
      <c r="F608" s="8" t="s">
        <v>2204</v>
      </c>
      <c r="G608" s="8" t="s">
        <v>2204</v>
      </c>
      <c r="H608" s="9">
        <v>1500000</v>
      </c>
      <c r="I608" s="9">
        <f>[1]!Tabel1[[#This Row],[Honorar]]*[1]!Tabel1[[#This Row],[Sandsynlighed]]</f>
        <v>50000</v>
      </c>
      <c r="J608" s="10" t="s">
        <v>1061</v>
      </c>
      <c r="K608" s="10" t="s">
        <v>342</v>
      </c>
      <c r="L608" s="17" t="s">
        <v>2205</v>
      </c>
      <c r="M608" s="11">
        <v>0.01</v>
      </c>
      <c r="N608" s="1">
        <v>2000</v>
      </c>
      <c r="O608" s="10">
        <v>46279.611122685186</v>
      </c>
      <c r="P608" s="1" t="s">
        <v>72</v>
      </c>
      <c r="Q608" s="1" t="s">
        <v>72</v>
      </c>
      <c r="R608" s="8" t="s">
        <v>75</v>
      </c>
      <c r="S60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0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0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0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0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0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0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0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0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0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0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0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0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08" s="12">
        <f ca="1">[1]!Tabel1[[#This Row],[Vægtet Honorar]]*([1]!Tabel1[[#This Row],[Sidst redigeret]]&gt;TODAY()-40)*([1]!Tabel1[[#This Row],[Er i resplan?]]&lt;&gt;"Ja")*([1]!Tabel1[[#This Row],[Status]]="Pågår")</f>
        <v>0</v>
      </c>
      <c r="AG608" s="12">
        <f ca="1">[1]!Tabel1[[#This Row],[Vægtet Honorar]]*([1]!Tabel1[[#This Row],[Sidst redigeret]]&gt;TODAY()-40)*([1]!Tabel1[[#This Row],[Status]]="Pågår")</f>
        <v>0</v>
      </c>
      <c r="AH608" s="13">
        <v>45832</v>
      </c>
      <c r="AI608" s="12"/>
      <c r="AJ608" s="12" t="s">
        <v>2206</v>
      </c>
      <c r="AK608" s="12" t="s">
        <v>2207</v>
      </c>
      <c r="AL608" s="12"/>
      <c r="AM608" s="12"/>
      <c r="AN608" s="12"/>
      <c r="AO608" s="12"/>
      <c r="AP608" s="12"/>
    </row>
    <row r="609" spans="1:42">
      <c r="A609" t="s">
        <v>2208</v>
      </c>
      <c r="B609" s="8">
        <v>242290</v>
      </c>
      <c r="C609" s="8" t="s">
        <v>2209</v>
      </c>
      <c r="D609" s="8" t="s">
        <v>707</v>
      </c>
      <c r="E609" s="8" t="s">
        <v>94</v>
      </c>
      <c r="F609" s="8" t="s">
        <v>2210</v>
      </c>
      <c r="G609" s="8" t="s">
        <v>2210</v>
      </c>
      <c r="H609" s="9">
        <v>200000</v>
      </c>
      <c r="I609" s="9">
        <f>[1]!Tabel1[[#This Row],[Honorar]]*[1]!Tabel1[[#This Row],[Sandsynlighed]]</f>
        <v>50000</v>
      </c>
      <c r="J609" s="10" t="s">
        <v>584</v>
      </c>
      <c r="K609" s="10" t="s">
        <v>1310</v>
      </c>
      <c r="L609" s="17"/>
      <c r="M609" s="11">
        <v>0.05</v>
      </c>
      <c r="N609" s="1"/>
      <c r="O609" s="10">
        <v>46279.611122685186</v>
      </c>
      <c r="P609" s="1" t="s">
        <v>72</v>
      </c>
      <c r="Q609" s="1" t="s">
        <v>72</v>
      </c>
      <c r="R609" s="8" t="s">
        <v>75</v>
      </c>
      <c r="S60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2383.7513061650993</v>
      </c>
      <c r="T60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0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0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0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0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0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0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0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0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0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0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0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09" s="12">
        <f ca="1">[1]!Tabel1[[#This Row],[Vægtet Honorar]]*([1]!Tabel1[[#This Row],[Sidst redigeret]]&gt;TODAY()-40)*([1]!Tabel1[[#This Row],[Er i resplan?]]&lt;&gt;"Ja")*([1]!Tabel1[[#This Row],[Status]]="Pågår")</f>
        <v>50000</v>
      </c>
      <c r="AG609" s="12">
        <f ca="1">[1]!Tabel1[[#This Row],[Vægtet Honorar]]*([1]!Tabel1[[#This Row],[Sidst redigeret]]&gt;TODAY()-40)*([1]!Tabel1[[#This Row],[Status]]="Pågår")</f>
        <v>50000</v>
      </c>
      <c r="AH609" s="13"/>
      <c r="AI609" s="12"/>
      <c r="AJ609" s="12" t="s">
        <v>2211</v>
      </c>
      <c r="AK609" s="12"/>
      <c r="AL609" s="12"/>
      <c r="AM609" s="12"/>
      <c r="AN609" s="12"/>
      <c r="AO609" s="12"/>
      <c r="AP609" s="12"/>
    </row>
    <row r="610" spans="1:42" ht="165">
      <c r="A610" t="s">
        <v>2212</v>
      </c>
      <c r="B610" s="8"/>
      <c r="C610" s="8" t="s">
        <v>2213</v>
      </c>
      <c r="D610" s="8" t="s">
        <v>93</v>
      </c>
      <c r="E610" s="8" t="s">
        <v>94</v>
      </c>
      <c r="F610" s="8" t="s">
        <v>1954</v>
      </c>
      <c r="G610" s="8" t="s">
        <v>1954</v>
      </c>
      <c r="H610" s="9">
        <v>300000</v>
      </c>
      <c r="I610" s="9">
        <f>[1]!Tabel1[[#This Row],[Honorar]]*[1]!Tabel1[[#This Row],[Sandsynlighed]]</f>
        <v>500000</v>
      </c>
      <c r="J610" s="10" t="s">
        <v>584</v>
      </c>
      <c r="K610" s="10" t="s">
        <v>329</v>
      </c>
      <c r="L610" s="17" t="s">
        <v>2214</v>
      </c>
      <c r="M610" s="11">
        <v>0.5</v>
      </c>
      <c r="N610" s="1"/>
      <c r="O610" s="10">
        <v>46279.611122685186</v>
      </c>
      <c r="P610" s="1" t="s">
        <v>72</v>
      </c>
      <c r="Q610" s="1" t="s">
        <v>72</v>
      </c>
      <c r="R610" s="8" t="s">
        <v>47</v>
      </c>
      <c r="S61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1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1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1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1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1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1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1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1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1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1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1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1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10" s="12">
        <f ca="1">[1]!Tabel1[[#This Row],[Vægtet Honorar]]*([1]!Tabel1[[#This Row],[Sidst redigeret]]&gt;TODAY()-40)*([1]!Tabel1[[#This Row],[Er i resplan?]]&lt;&gt;"Ja")*([1]!Tabel1[[#This Row],[Status]]="Pågår")</f>
        <v>0</v>
      </c>
      <c r="AG610" s="12">
        <f ca="1">[1]!Tabel1[[#This Row],[Vægtet Honorar]]*([1]!Tabel1[[#This Row],[Sidst redigeret]]&gt;TODAY()-40)*([1]!Tabel1[[#This Row],[Status]]="Pågår")</f>
        <v>0</v>
      </c>
      <c r="AH610" s="13"/>
      <c r="AI610" s="12"/>
      <c r="AJ610" s="12"/>
      <c r="AK610" s="12"/>
      <c r="AL610" s="12"/>
      <c r="AM610" s="12"/>
      <c r="AN610" s="12"/>
      <c r="AO610" s="12"/>
      <c r="AP610" s="12"/>
    </row>
    <row r="611" spans="1:42" ht="75">
      <c r="A611" t="s">
        <v>2215</v>
      </c>
      <c r="B611" s="8"/>
      <c r="C611" s="8" t="s">
        <v>2216</v>
      </c>
      <c r="D611" s="8" t="s">
        <v>421</v>
      </c>
      <c r="E611" s="8" t="s">
        <v>120</v>
      </c>
      <c r="F611" s="8" t="s">
        <v>2217</v>
      </c>
      <c r="G611" s="8" t="s">
        <v>2218</v>
      </c>
      <c r="H611" s="9">
        <v>196000</v>
      </c>
      <c r="I611" s="9">
        <f>[1]!Tabel1[[#This Row],[Honorar]]*[1]!Tabel1[[#This Row],[Sandsynlighed]]</f>
        <v>125000</v>
      </c>
      <c r="J611" s="10" t="s">
        <v>328</v>
      </c>
      <c r="K611" s="10" t="s">
        <v>452</v>
      </c>
      <c r="L611" s="17" t="s">
        <v>2219</v>
      </c>
      <c r="M611" s="11">
        <v>0.25</v>
      </c>
      <c r="N611" s="1"/>
      <c r="O611" s="10">
        <v>46279.611122685186</v>
      </c>
      <c r="P611" s="10"/>
      <c r="Q611" s="1" t="s">
        <v>72</v>
      </c>
      <c r="R611" s="8" t="s">
        <v>343</v>
      </c>
      <c r="S61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13927.045177045176</v>
      </c>
      <c r="T61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1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1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1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1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1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1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1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1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1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1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1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11" s="12">
        <f ca="1">[1]!Tabel1[[#This Row],[Vægtet Honorar]]*([1]!Tabel1[[#This Row],[Sidst redigeret]]&gt;TODAY()-40)*([1]!Tabel1[[#This Row],[Er i resplan?]]&lt;&gt;"Ja")*([1]!Tabel1[[#This Row],[Status]]="Pågår")</f>
        <v>0</v>
      </c>
      <c r="AG611" s="12">
        <f ca="1">[1]!Tabel1[[#This Row],[Vægtet Honorar]]*([1]!Tabel1[[#This Row],[Sidst redigeret]]&gt;TODAY()-40)*([1]!Tabel1[[#This Row],[Status]]="Pågår")</f>
        <v>0</v>
      </c>
      <c r="AH611" s="13"/>
      <c r="AI611" s="12"/>
      <c r="AJ611" s="12"/>
      <c r="AK611" s="12"/>
      <c r="AL611" s="12"/>
      <c r="AM611" s="12"/>
      <c r="AN611" s="12"/>
      <c r="AO611" s="12"/>
      <c r="AP611" s="12"/>
    </row>
    <row r="612" spans="1:42" ht="30">
      <c r="A612" t="s">
        <v>2220</v>
      </c>
      <c r="B612" s="8"/>
      <c r="C612" s="8" t="s">
        <v>2221</v>
      </c>
      <c r="D612" s="8" t="s">
        <v>57</v>
      </c>
      <c r="E612" s="8" t="s">
        <v>167</v>
      </c>
      <c r="F612" s="8" t="s">
        <v>2222</v>
      </c>
      <c r="G612" s="8" t="s">
        <v>2222</v>
      </c>
      <c r="H612" s="9">
        <v>1000000</v>
      </c>
      <c r="I612" s="9">
        <f>[1]!Tabel1[[#This Row],[Honorar]]*[1]!Tabel1[[#This Row],[Sandsynlighed]]</f>
        <v>300000</v>
      </c>
      <c r="J612" s="10" t="s">
        <v>584</v>
      </c>
      <c r="K612" s="10" t="s">
        <v>1287</v>
      </c>
      <c r="L612" s="17" t="s">
        <v>2223</v>
      </c>
      <c r="M612" s="11">
        <v>0.05</v>
      </c>
      <c r="N612" s="1">
        <v>1000</v>
      </c>
      <c r="O612" s="10">
        <v>46279.611122685186</v>
      </c>
      <c r="P612" s="10"/>
      <c r="Q612" s="1" t="s">
        <v>72</v>
      </c>
      <c r="R612" s="8" t="s">
        <v>49</v>
      </c>
      <c r="S61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16681.901279707497</v>
      </c>
      <c r="T61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1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1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1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1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1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1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1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1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1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1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1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12" s="12">
        <f ca="1">[1]!Tabel1[[#This Row],[Vægtet Honorar]]*([1]!Tabel1[[#This Row],[Sidst redigeret]]&gt;TODAY()-40)*([1]!Tabel1[[#This Row],[Er i resplan?]]&lt;&gt;"Ja")*([1]!Tabel1[[#This Row],[Status]]="Pågår")</f>
        <v>300000</v>
      </c>
      <c r="AG612" s="12">
        <f ca="1">[1]!Tabel1[[#This Row],[Vægtet Honorar]]*([1]!Tabel1[[#This Row],[Sidst redigeret]]&gt;TODAY()-40)*([1]!Tabel1[[#This Row],[Status]]="Pågår")</f>
        <v>300000</v>
      </c>
      <c r="AH612" s="13"/>
      <c r="AI612" s="12"/>
      <c r="AJ612" s="12" t="s">
        <v>2224</v>
      </c>
      <c r="AK612" s="12" t="s">
        <v>2225</v>
      </c>
      <c r="AL612" s="12"/>
      <c r="AM612" s="12"/>
      <c r="AN612" s="12" t="s">
        <v>2226</v>
      </c>
      <c r="AO612" s="12"/>
      <c r="AP612" s="12"/>
    </row>
    <row r="613" spans="1:42" ht="30">
      <c r="A613" t="s">
        <v>2227</v>
      </c>
      <c r="B613" s="8"/>
      <c r="C613" s="8" t="s">
        <v>2228</v>
      </c>
      <c r="D613" s="8" t="s">
        <v>203</v>
      </c>
      <c r="E613" s="8" t="s">
        <v>167</v>
      </c>
      <c r="F613" s="8" t="s">
        <v>2229</v>
      </c>
      <c r="G613" s="8" t="s">
        <v>2229</v>
      </c>
      <c r="H613" s="9">
        <v>1000000</v>
      </c>
      <c r="I613" s="9">
        <f>[1]!Tabel1[[#This Row],[Honorar]]*[1]!Tabel1[[#This Row],[Sandsynlighed]]</f>
        <v>15000</v>
      </c>
      <c r="J613" s="10" t="s">
        <v>612</v>
      </c>
      <c r="K613" s="10" t="s">
        <v>1061</v>
      </c>
      <c r="L613" s="17" t="s">
        <v>2230</v>
      </c>
      <c r="M613" s="11">
        <v>0.25</v>
      </c>
      <c r="N613" s="1">
        <v>40000</v>
      </c>
      <c r="O613" s="10">
        <v>46279.611122685186</v>
      </c>
      <c r="P613" s="10"/>
      <c r="Q613" s="1" t="s">
        <v>72</v>
      </c>
      <c r="R613" s="8" t="s">
        <v>343</v>
      </c>
      <c r="S61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1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1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1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1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1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1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1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1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1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1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1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1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13" s="12">
        <f ca="1">[1]!Tabel1[[#This Row],[Vægtet Honorar]]*([1]!Tabel1[[#This Row],[Sidst redigeret]]&gt;TODAY()-40)*([1]!Tabel1[[#This Row],[Er i resplan?]]&lt;&gt;"Ja")*([1]!Tabel1[[#This Row],[Status]]="Pågår")</f>
        <v>0</v>
      </c>
      <c r="AG613" s="12">
        <f ca="1">[1]!Tabel1[[#This Row],[Vægtet Honorar]]*([1]!Tabel1[[#This Row],[Sidst redigeret]]&gt;TODAY()-40)*([1]!Tabel1[[#This Row],[Status]]="Pågår")</f>
        <v>0</v>
      </c>
      <c r="AH613" s="13"/>
      <c r="AI613" s="12"/>
      <c r="AJ613" s="12" t="s">
        <v>2231</v>
      </c>
      <c r="AK613" s="12"/>
      <c r="AL613" s="12"/>
      <c r="AM613" s="12"/>
      <c r="AN613" s="12"/>
      <c r="AO613" s="12"/>
      <c r="AP613" s="12"/>
    </row>
    <row r="614" spans="1:42" ht="60">
      <c r="A614" t="s">
        <v>2232</v>
      </c>
      <c r="B614" s="8"/>
      <c r="C614" s="8" t="s">
        <v>2233</v>
      </c>
      <c r="D614" s="8" t="s">
        <v>134</v>
      </c>
      <c r="E614" s="8" t="s">
        <v>94</v>
      </c>
      <c r="F614" s="8" t="s">
        <v>2234</v>
      </c>
      <c r="G614" s="8" t="s">
        <v>2234</v>
      </c>
      <c r="H614" s="9">
        <v>600000</v>
      </c>
      <c r="I614" s="9">
        <f>[1]!Tabel1[[#This Row],[Honorar]]*[1]!Tabel1[[#This Row],[Sandsynlighed]]</f>
        <v>10000</v>
      </c>
      <c r="J614" s="10" t="s">
        <v>328</v>
      </c>
      <c r="K614" s="10" t="s">
        <v>452</v>
      </c>
      <c r="L614" s="17" t="s">
        <v>2235</v>
      </c>
      <c r="M614" s="11">
        <v>0.2</v>
      </c>
      <c r="N614" s="1"/>
      <c r="O614" s="10">
        <v>46279.611122685186</v>
      </c>
      <c r="P614" s="1" t="s">
        <v>72</v>
      </c>
      <c r="Q614" s="1" t="s">
        <v>72</v>
      </c>
      <c r="R614" s="8" t="s">
        <v>75</v>
      </c>
      <c r="S61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1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1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1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1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1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1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1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1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1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1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1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1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14" s="12">
        <f ca="1">[1]!Tabel1[[#This Row],[Vægtet Honorar]]*([1]!Tabel1[[#This Row],[Sidst redigeret]]&gt;TODAY()-40)*([1]!Tabel1[[#This Row],[Er i resplan?]]&lt;&gt;"Ja")*([1]!Tabel1[[#This Row],[Status]]="Pågår")</f>
        <v>0</v>
      </c>
      <c r="AG614" s="12">
        <f ca="1">[1]!Tabel1[[#This Row],[Vægtet Honorar]]*([1]!Tabel1[[#This Row],[Sidst redigeret]]&gt;TODAY()-40)*([1]!Tabel1[[#This Row],[Status]]="Pågår")</f>
        <v>0</v>
      </c>
      <c r="AH614" s="13"/>
      <c r="AI614" s="12"/>
      <c r="AJ614" s="12"/>
      <c r="AK614" s="12"/>
      <c r="AL614" s="12"/>
      <c r="AM614" s="12"/>
      <c r="AN614" s="12"/>
      <c r="AO614" s="12"/>
      <c r="AP614" s="12"/>
    </row>
    <row r="615" spans="1:42" ht="90">
      <c r="A615" t="s">
        <v>2236</v>
      </c>
      <c r="B615" s="8"/>
      <c r="C615" s="8" t="s">
        <v>2237</v>
      </c>
      <c r="D615" s="8" t="s">
        <v>119</v>
      </c>
      <c r="E615" s="8" t="s">
        <v>71</v>
      </c>
      <c r="F615" s="8" t="s">
        <v>2238</v>
      </c>
      <c r="G615" s="8" t="s">
        <v>2238</v>
      </c>
      <c r="H615" s="9">
        <v>100000</v>
      </c>
      <c r="I615" s="9">
        <f>[1]!Tabel1[[#This Row],[Honorar]]*[1]!Tabel1[[#This Row],[Sandsynlighed]]</f>
        <v>150000</v>
      </c>
      <c r="J615" s="10" t="s">
        <v>328</v>
      </c>
      <c r="K615" s="10" t="s">
        <v>452</v>
      </c>
      <c r="L615" s="17" t="s">
        <v>2239</v>
      </c>
      <c r="M615" s="11">
        <v>0</v>
      </c>
      <c r="N615" s="1"/>
      <c r="O615" s="10">
        <v>46279.611122685186</v>
      </c>
      <c r="P615" s="10"/>
      <c r="Q615" s="1" t="s">
        <v>72</v>
      </c>
      <c r="R615" s="8" t="s">
        <v>49</v>
      </c>
      <c r="S61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8356.2271062271066</v>
      </c>
      <c r="T61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1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1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1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1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1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1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1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1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1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1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1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15" s="12">
        <f ca="1">[1]!Tabel1[[#This Row],[Vægtet Honorar]]*([1]!Tabel1[[#This Row],[Sidst redigeret]]&gt;TODAY()-40)*([1]!Tabel1[[#This Row],[Er i resplan?]]&lt;&gt;"Ja")*([1]!Tabel1[[#This Row],[Status]]="Pågår")</f>
        <v>0</v>
      </c>
      <c r="AG615" s="12">
        <f ca="1">[1]!Tabel1[[#This Row],[Vægtet Honorar]]*([1]!Tabel1[[#This Row],[Sidst redigeret]]&gt;TODAY()-40)*([1]!Tabel1[[#This Row],[Status]]="Pågår")</f>
        <v>0</v>
      </c>
      <c r="AH615" s="13"/>
      <c r="AI615" s="12"/>
      <c r="AJ615" s="12"/>
      <c r="AK615" s="12"/>
      <c r="AL615" s="12"/>
      <c r="AM615" s="12"/>
      <c r="AN615" s="12"/>
      <c r="AO615" s="12"/>
      <c r="AP615" s="12"/>
    </row>
    <row r="616" spans="1:42" ht="45">
      <c r="A616" t="s">
        <v>2240</v>
      </c>
      <c r="B616" s="8"/>
      <c r="C616" s="8" t="s">
        <v>2241</v>
      </c>
      <c r="D616" s="8" t="s">
        <v>57</v>
      </c>
      <c r="E616" s="8" t="s">
        <v>167</v>
      </c>
      <c r="F616" s="8" t="s">
        <v>1292</v>
      </c>
      <c r="G616" s="8" t="s">
        <v>1292</v>
      </c>
      <c r="H616" s="9">
        <v>5000000</v>
      </c>
      <c r="I616" s="9">
        <f>[1]!Tabel1[[#This Row],[Honorar]]*[1]!Tabel1[[#This Row],[Sandsynlighed]]</f>
        <v>49000</v>
      </c>
      <c r="J616" s="10" t="s">
        <v>328</v>
      </c>
      <c r="K616" s="10" t="s">
        <v>1062</v>
      </c>
      <c r="L616" s="17" t="s">
        <v>2242</v>
      </c>
      <c r="M616" s="11">
        <v>0</v>
      </c>
      <c r="N616" s="1"/>
      <c r="O616" s="10">
        <v>46279.611122685186</v>
      </c>
      <c r="P616" s="10"/>
      <c r="Q616" s="1" t="s">
        <v>72</v>
      </c>
      <c r="R616" s="8" t="s">
        <v>75</v>
      </c>
      <c r="S61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8189.1025641025635</v>
      </c>
      <c r="T61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1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1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1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1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1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1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1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1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1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1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1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16" s="12">
        <f ca="1">[1]!Tabel1[[#This Row],[Vægtet Honorar]]*([1]!Tabel1[[#This Row],[Sidst redigeret]]&gt;TODAY()-40)*([1]!Tabel1[[#This Row],[Er i resplan?]]&lt;&gt;"Ja")*([1]!Tabel1[[#This Row],[Status]]="Pågår")</f>
        <v>49000</v>
      </c>
      <c r="AG616" s="12">
        <f ca="1">[1]!Tabel1[[#This Row],[Vægtet Honorar]]*([1]!Tabel1[[#This Row],[Sidst redigeret]]&gt;TODAY()-40)*([1]!Tabel1[[#This Row],[Status]]="Pågår")</f>
        <v>49000</v>
      </c>
      <c r="AH616" s="13"/>
      <c r="AI616" s="12"/>
      <c r="AJ616" s="12" t="s">
        <v>2149</v>
      </c>
      <c r="AK616" s="12"/>
      <c r="AL616" s="12"/>
      <c r="AM616" s="12"/>
      <c r="AN616" s="12"/>
      <c r="AO616" s="12"/>
      <c r="AP616" s="12"/>
    </row>
    <row r="617" spans="1:42">
      <c r="A617" t="s">
        <v>2243</v>
      </c>
      <c r="B617" s="8"/>
      <c r="C617" s="8" t="s">
        <v>2244</v>
      </c>
      <c r="D617" s="8" t="s">
        <v>1623</v>
      </c>
      <c r="E617" s="8" t="s">
        <v>102</v>
      </c>
      <c r="F617" s="8" t="s">
        <v>1538</v>
      </c>
      <c r="G617" s="8" t="s">
        <v>1538</v>
      </c>
      <c r="H617" s="9">
        <v>700000</v>
      </c>
      <c r="I617" s="9">
        <f>[1]!Tabel1[[#This Row],[Honorar]]*[1]!Tabel1[[#This Row],[Sandsynlighed]]</f>
        <v>50000</v>
      </c>
      <c r="J617" s="10" t="s">
        <v>584</v>
      </c>
      <c r="K617" s="10" t="s">
        <v>452</v>
      </c>
      <c r="L617" s="17"/>
      <c r="M617" s="11">
        <v>1</v>
      </c>
      <c r="N617" s="1"/>
      <c r="O617" s="10">
        <v>46279.611122685186</v>
      </c>
      <c r="P617" s="10"/>
      <c r="Q617" s="1" t="s">
        <v>46</v>
      </c>
      <c r="R617" s="8" t="s">
        <v>47</v>
      </c>
      <c r="S61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2383.7513061650993</v>
      </c>
      <c r="T61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1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1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1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1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1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1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1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1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1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1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1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17" s="12">
        <f ca="1">[1]!Tabel1[[#This Row],[Vægtet Honorar]]*([1]!Tabel1[[#This Row],[Sidst redigeret]]&gt;TODAY()-40)*([1]!Tabel1[[#This Row],[Er i resplan?]]&lt;&gt;"Ja")*([1]!Tabel1[[#This Row],[Status]]="Pågår")</f>
        <v>0</v>
      </c>
      <c r="AG617" s="12">
        <f ca="1">[1]!Tabel1[[#This Row],[Vægtet Honorar]]*([1]!Tabel1[[#This Row],[Sidst redigeret]]&gt;TODAY()-40)*([1]!Tabel1[[#This Row],[Status]]="Pågår")</f>
        <v>0</v>
      </c>
      <c r="AH617" s="13"/>
      <c r="AI617" s="12"/>
      <c r="AJ617" s="12"/>
      <c r="AK617" s="12"/>
      <c r="AL617" s="12"/>
      <c r="AM617" s="12"/>
      <c r="AN617" s="12"/>
      <c r="AO617" s="12"/>
      <c r="AP617" s="12"/>
    </row>
    <row r="618" spans="1:42">
      <c r="A618" t="s">
        <v>2245</v>
      </c>
      <c r="B618" s="8"/>
      <c r="C618" s="8"/>
      <c r="D618" s="8"/>
      <c r="E618" s="8"/>
      <c r="F618" s="8"/>
      <c r="G618" s="8"/>
      <c r="H618" s="9"/>
      <c r="I618" s="9">
        <f>[1]!Tabel1[[#This Row],[Honorar]]*[1]!Tabel1[[#This Row],[Sandsynlighed]]</f>
        <v>250000</v>
      </c>
      <c r="J618" s="10" t="s">
        <v>584</v>
      </c>
      <c r="K618" s="10" t="s">
        <v>1191</v>
      </c>
      <c r="L618" s="17"/>
      <c r="M618" s="11">
        <v>0.02</v>
      </c>
      <c r="N618" s="1"/>
      <c r="O618" s="10">
        <v>46279.611122685186</v>
      </c>
      <c r="P618" s="10"/>
      <c r="Q618" s="1" t="s">
        <v>72</v>
      </c>
      <c r="R618" s="8" t="s">
        <v>49</v>
      </c>
      <c r="S61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42011.97053406998</v>
      </c>
      <c r="T61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1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1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1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1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1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1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1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1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1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1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1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18" s="12">
        <f ca="1">[1]!Tabel1[[#This Row],[Vægtet Honorar]]*([1]!Tabel1[[#This Row],[Sidst redigeret]]&gt;TODAY()-40)*([1]!Tabel1[[#This Row],[Er i resplan?]]&lt;&gt;"Ja")*([1]!Tabel1[[#This Row],[Status]]="Pågår")</f>
        <v>250000</v>
      </c>
      <c r="AG618" s="12">
        <f ca="1">[1]!Tabel1[[#This Row],[Vægtet Honorar]]*([1]!Tabel1[[#This Row],[Sidst redigeret]]&gt;TODAY()-40)*([1]!Tabel1[[#This Row],[Status]]="Pågår")</f>
        <v>250000</v>
      </c>
      <c r="AH618" s="13"/>
      <c r="AI618" s="12"/>
      <c r="AJ618" s="12" t="s">
        <v>1737</v>
      </c>
      <c r="AK618" s="12"/>
      <c r="AL618" s="12"/>
      <c r="AM618" s="12"/>
      <c r="AN618" s="12"/>
      <c r="AO618" s="12"/>
      <c r="AP618" s="12"/>
    </row>
    <row r="619" spans="1:42" ht="105">
      <c r="A619" t="s">
        <v>2246</v>
      </c>
      <c r="B619" s="8"/>
      <c r="C619" s="8" t="s">
        <v>2247</v>
      </c>
      <c r="D619" s="8" t="s">
        <v>896</v>
      </c>
      <c r="E619" s="8" t="s">
        <v>94</v>
      </c>
      <c r="F619" s="8" t="s">
        <v>2248</v>
      </c>
      <c r="G619" s="8" t="s">
        <v>1737</v>
      </c>
      <c r="H619" s="9">
        <v>6000000</v>
      </c>
      <c r="I619" s="9">
        <f>[1]!Tabel1[[#This Row],[Honorar]]*[1]!Tabel1[[#This Row],[Sandsynlighed]]</f>
        <v>120000</v>
      </c>
      <c r="J619" s="10" t="s">
        <v>342</v>
      </c>
      <c r="K619" s="10" t="s">
        <v>342</v>
      </c>
      <c r="L619" s="17" t="s">
        <v>2249</v>
      </c>
      <c r="M619" s="11">
        <v>0.01</v>
      </c>
      <c r="N619" s="1">
        <v>14000</v>
      </c>
      <c r="O619" s="10">
        <v>46279.611909722225</v>
      </c>
      <c r="P619" s="1" t="s">
        <v>72</v>
      </c>
      <c r="Q619" s="1" t="s">
        <v>72</v>
      </c>
      <c r="R619" s="8" t="s">
        <v>343</v>
      </c>
      <c r="S61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1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1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1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1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1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1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1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1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1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1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1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1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19" s="12">
        <f ca="1">[1]!Tabel1[[#This Row],[Vægtet Honorar]]*([1]!Tabel1[[#This Row],[Sidst redigeret]]&gt;TODAY()-40)*([1]!Tabel1[[#This Row],[Er i resplan?]]&lt;&gt;"Ja")*([1]!Tabel1[[#This Row],[Status]]="Pågår")</f>
        <v>0</v>
      </c>
      <c r="AG619" s="12">
        <f ca="1">[1]!Tabel1[[#This Row],[Vægtet Honorar]]*([1]!Tabel1[[#This Row],[Sidst redigeret]]&gt;TODAY()-40)*([1]!Tabel1[[#This Row],[Status]]="Pågår")</f>
        <v>0</v>
      </c>
      <c r="AH619" s="13"/>
      <c r="AI619" s="12"/>
      <c r="AJ619" s="12" t="s">
        <v>1737</v>
      </c>
      <c r="AK619" s="12"/>
      <c r="AL619" s="12"/>
      <c r="AM619" s="12"/>
      <c r="AN619" s="12" t="s">
        <v>2250</v>
      </c>
      <c r="AO619" s="12"/>
      <c r="AP619" s="12"/>
    </row>
    <row r="620" spans="1:42" ht="60">
      <c r="A620" t="s">
        <v>2251</v>
      </c>
      <c r="B620" s="8"/>
      <c r="C620" s="8" t="s">
        <v>2252</v>
      </c>
      <c r="D620" s="8" t="s">
        <v>859</v>
      </c>
      <c r="E620" s="8" t="s">
        <v>71</v>
      </c>
      <c r="F620" s="8" t="s">
        <v>1477</v>
      </c>
      <c r="G620" s="8" t="s">
        <v>1477</v>
      </c>
      <c r="H620" s="9">
        <v>1000000</v>
      </c>
      <c r="I620" s="9">
        <f>[1]!Tabel1[[#This Row],[Honorar]]*[1]!Tabel1[[#This Row],[Sandsynlighed]]</f>
        <v>0</v>
      </c>
      <c r="J620" s="10" t="s">
        <v>328</v>
      </c>
      <c r="K620" s="10" t="s">
        <v>329</v>
      </c>
      <c r="L620" s="17" t="s">
        <v>2253</v>
      </c>
      <c r="M620" s="11">
        <v>0.2</v>
      </c>
      <c r="N620" s="1">
        <v>14000</v>
      </c>
      <c r="O620" s="10">
        <v>46279.611909722225</v>
      </c>
      <c r="P620" s="10"/>
      <c r="Q620" s="1" t="s">
        <v>72</v>
      </c>
      <c r="R620" s="8" t="s">
        <v>49</v>
      </c>
      <c r="S62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2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2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2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2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2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2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2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2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2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2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2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2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20" s="12">
        <f ca="1">[1]!Tabel1[[#This Row],[Vægtet Honorar]]*([1]!Tabel1[[#This Row],[Sidst redigeret]]&gt;TODAY()-40)*([1]!Tabel1[[#This Row],[Er i resplan?]]&lt;&gt;"Ja")*([1]!Tabel1[[#This Row],[Status]]="Pågår")</f>
        <v>0</v>
      </c>
      <c r="AG620" s="12">
        <f ca="1">[1]!Tabel1[[#This Row],[Vægtet Honorar]]*([1]!Tabel1[[#This Row],[Sidst redigeret]]&gt;TODAY()-40)*([1]!Tabel1[[#This Row],[Status]]="Pågår")</f>
        <v>0</v>
      </c>
      <c r="AH620" s="13"/>
      <c r="AI620" s="12"/>
      <c r="AJ620" s="12"/>
      <c r="AK620" s="12"/>
      <c r="AL620" s="12"/>
      <c r="AM620" s="12"/>
      <c r="AN620" s="12"/>
      <c r="AO620" s="12"/>
      <c r="AP620" s="12"/>
    </row>
    <row r="621" spans="1:42" ht="90">
      <c r="A621" t="s">
        <v>2254</v>
      </c>
      <c r="B621" s="8"/>
      <c r="C621" s="8" t="s">
        <v>2255</v>
      </c>
      <c r="D621" s="8" t="s">
        <v>93</v>
      </c>
      <c r="E621" s="8" t="s">
        <v>94</v>
      </c>
      <c r="F621" s="8" t="s">
        <v>2256</v>
      </c>
      <c r="G621" s="8" t="s">
        <v>2256</v>
      </c>
      <c r="H621" s="9">
        <v>5000000</v>
      </c>
      <c r="I621" s="9">
        <f>[1]!Tabel1[[#This Row],[Honorar]]*[1]!Tabel1[[#This Row],[Sandsynlighed]]</f>
        <v>0</v>
      </c>
      <c r="J621" s="10" t="s">
        <v>452</v>
      </c>
      <c r="K621" s="10" t="s">
        <v>1191</v>
      </c>
      <c r="L621" s="17" t="s">
        <v>2257</v>
      </c>
      <c r="M621" s="11">
        <v>0.1</v>
      </c>
      <c r="N621" s="1"/>
      <c r="O621" s="10">
        <v>46279.611909722225</v>
      </c>
      <c r="P621" s="1" t="s">
        <v>72</v>
      </c>
      <c r="Q621" s="1" t="s">
        <v>72</v>
      </c>
      <c r="R621" s="8" t="s">
        <v>49</v>
      </c>
      <c r="S62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2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2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2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2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2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2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2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2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2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2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2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2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21" s="12">
        <f ca="1">[1]!Tabel1[[#This Row],[Vægtet Honorar]]*([1]!Tabel1[[#This Row],[Sidst redigeret]]&gt;TODAY()-40)*([1]!Tabel1[[#This Row],[Er i resplan?]]&lt;&gt;"Ja")*([1]!Tabel1[[#This Row],[Status]]="Pågår")</f>
        <v>0</v>
      </c>
      <c r="AG621" s="12">
        <f ca="1">[1]!Tabel1[[#This Row],[Vægtet Honorar]]*([1]!Tabel1[[#This Row],[Sidst redigeret]]&gt;TODAY()-40)*([1]!Tabel1[[#This Row],[Status]]="Pågår")</f>
        <v>0</v>
      </c>
      <c r="AH621" s="13"/>
      <c r="AI621" s="12"/>
      <c r="AJ621" s="12" t="s">
        <v>2005</v>
      </c>
      <c r="AK621" s="12" t="s">
        <v>2258</v>
      </c>
      <c r="AL621" s="12"/>
      <c r="AM621" s="12"/>
      <c r="AN621" s="12"/>
      <c r="AO621" s="12"/>
      <c r="AP621" s="12"/>
    </row>
    <row r="622" spans="1:42">
      <c r="A622" t="s">
        <v>2259</v>
      </c>
      <c r="B622" s="8"/>
      <c r="C622" s="8" t="s">
        <v>2260</v>
      </c>
      <c r="D622" s="8" t="s">
        <v>298</v>
      </c>
      <c r="E622" s="8" t="s">
        <v>167</v>
      </c>
      <c r="F622" s="8" t="s">
        <v>2261</v>
      </c>
      <c r="G622" s="8" t="s">
        <v>2261</v>
      </c>
      <c r="H622" s="9">
        <v>250000</v>
      </c>
      <c r="I622" s="9">
        <f>[1]!Tabel1[[#This Row],[Honorar]]*[1]!Tabel1[[#This Row],[Sandsynlighed]]</f>
        <v>700000</v>
      </c>
      <c r="J622" s="10" t="s">
        <v>584</v>
      </c>
      <c r="K622" s="10" t="s">
        <v>612</v>
      </c>
      <c r="L622" s="17"/>
      <c r="M622" s="11">
        <v>0.95</v>
      </c>
      <c r="N622" s="1"/>
      <c r="O622" s="10">
        <v>46279.611909722225</v>
      </c>
      <c r="P622" s="10"/>
      <c r="Q622" s="1" t="s">
        <v>72</v>
      </c>
      <c r="R622" s="8" t="s">
        <v>47</v>
      </c>
      <c r="S62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2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2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2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2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2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2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2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2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2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2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2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2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22" s="12">
        <f ca="1">[1]!Tabel1[[#This Row],[Vægtet Honorar]]*([1]!Tabel1[[#This Row],[Sidst redigeret]]&gt;TODAY()-40)*([1]!Tabel1[[#This Row],[Er i resplan?]]&lt;&gt;"Ja")*([1]!Tabel1[[#This Row],[Status]]="Pågår")</f>
        <v>0</v>
      </c>
      <c r="AG622" s="12">
        <f ca="1">[1]!Tabel1[[#This Row],[Vægtet Honorar]]*([1]!Tabel1[[#This Row],[Sidst redigeret]]&gt;TODAY()-40)*([1]!Tabel1[[#This Row],[Status]]="Pågår")</f>
        <v>0</v>
      </c>
      <c r="AH622" s="13"/>
      <c r="AI622" s="12"/>
      <c r="AJ622" s="12"/>
      <c r="AK622" s="12"/>
      <c r="AL622" s="12"/>
      <c r="AM622" s="12"/>
      <c r="AN622" s="12"/>
      <c r="AO622" s="12"/>
      <c r="AP622" s="12"/>
    </row>
    <row r="623" spans="1:42">
      <c r="A623" t="s">
        <v>2262</v>
      </c>
      <c r="B623" s="8"/>
      <c r="C623" s="8"/>
      <c r="D623" s="8"/>
      <c r="E623" s="8"/>
      <c r="F623" s="8"/>
      <c r="G623" s="8"/>
      <c r="H623" s="9"/>
      <c r="I623" s="9">
        <f>[1]!Tabel1[[#This Row],[Honorar]]*[1]!Tabel1[[#This Row],[Sandsynlighed]]</f>
        <v>0</v>
      </c>
      <c r="J623" s="10" t="s">
        <v>1310</v>
      </c>
      <c r="K623" s="10" t="s">
        <v>612</v>
      </c>
      <c r="L623" s="17" t="s">
        <v>2263</v>
      </c>
      <c r="M623" s="11">
        <v>0.02</v>
      </c>
      <c r="N623" s="1"/>
      <c r="O623" s="10">
        <v>46279.611909722225</v>
      </c>
      <c r="P623" s="10"/>
      <c r="Q623" s="1" t="s">
        <v>72</v>
      </c>
      <c r="R623" s="8" t="s">
        <v>343</v>
      </c>
      <c r="S62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2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2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2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2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2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2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2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2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2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2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2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2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23" s="12">
        <f ca="1">[1]!Tabel1[[#This Row],[Vægtet Honorar]]*([1]!Tabel1[[#This Row],[Sidst redigeret]]&gt;TODAY()-40)*([1]!Tabel1[[#This Row],[Er i resplan?]]&lt;&gt;"Ja")*([1]!Tabel1[[#This Row],[Status]]="Pågår")</f>
        <v>0</v>
      </c>
      <c r="AG623" s="12">
        <f ca="1">[1]!Tabel1[[#This Row],[Vægtet Honorar]]*([1]!Tabel1[[#This Row],[Sidst redigeret]]&gt;TODAY()-40)*([1]!Tabel1[[#This Row],[Status]]="Pågår")</f>
        <v>0</v>
      </c>
      <c r="AH623" s="13"/>
      <c r="AI623" s="12"/>
      <c r="AJ623" s="12"/>
      <c r="AK623" s="12"/>
      <c r="AL623" s="12"/>
      <c r="AM623" s="12"/>
      <c r="AN623" s="12"/>
      <c r="AO623" s="12"/>
      <c r="AP623" s="12"/>
    </row>
    <row r="624" spans="1:42">
      <c r="A624" t="s">
        <v>2264</v>
      </c>
      <c r="B624" s="8"/>
      <c r="C624" s="8" t="s">
        <v>2265</v>
      </c>
      <c r="D624" s="8" t="s">
        <v>158</v>
      </c>
      <c r="E624" s="8" t="s">
        <v>167</v>
      </c>
      <c r="F624" s="8" t="s">
        <v>2266</v>
      </c>
      <c r="G624" s="8" t="s">
        <v>2266</v>
      </c>
      <c r="H624" s="9">
        <v>350000</v>
      </c>
      <c r="I624" s="9">
        <f>[1]!Tabel1[[#This Row],[Honorar]]*[1]!Tabel1[[#This Row],[Sandsynlighed]]</f>
        <v>60000</v>
      </c>
      <c r="J624" s="10" t="s">
        <v>584</v>
      </c>
      <c r="K624" s="10" t="s">
        <v>612</v>
      </c>
      <c r="L624" s="17"/>
      <c r="M624" s="11">
        <v>0.3</v>
      </c>
      <c r="N624" s="1"/>
      <c r="O624" s="10">
        <v>46279.611909722225</v>
      </c>
      <c r="P624" s="10"/>
      <c r="Q624" s="1" t="s">
        <v>72</v>
      </c>
      <c r="R624" s="8" t="s">
        <v>47</v>
      </c>
      <c r="S62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20054.945054945056</v>
      </c>
      <c r="T62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20054.945054945056</v>
      </c>
      <c r="U62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20054.945054945056</v>
      </c>
      <c r="V62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20054.945054945056</v>
      </c>
      <c r="W62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2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2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2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2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2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2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2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2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24" s="12">
        <f ca="1">[1]!Tabel1[[#This Row],[Vægtet Honorar]]*([1]!Tabel1[[#This Row],[Sidst redigeret]]&gt;TODAY()-40)*([1]!Tabel1[[#This Row],[Er i resplan?]]&lt;&gt;"Ja")*([1]!Tabel1[[#This Row],[Status]]="Pågår")</f>
        <v>60000</v>
      </c>
      <c r="AG624" s="12">
        <f ca="1">[1]!Tabel1[[#This Row],[Vægtet Honorar]]*([1]!Tabel1[[#This Row],[Sidst redigeret]]&gt;TODAY()-40)*([1]!Tabel1[[#This Row],[Status]]="Pågår")</f>
        <v>60000</v>
      </c>
      <c r="AH624" s="13"/>
      <c r="AI624" s="12"/>
      <c r="AJ624" s="12"/>
      <c r="AK624" s="12"/>
      <c r="AL624" s="12"/>
      <c r="AM624" s="12"/>
      <c r="AN624" s="12"/>
      <c r="AO624" s="12"/>
      <c r="AP624" s="12"/>
    </row>
    <row r="625" spans="1:42" ht="45">
      <c r="A625" t="s">
        <v>2267</v>
      </c>
      <c r="B625" s="8"/>
      <c r="C625" s="8" t="s">
        <v>2268</v>
      </c>
      <c r="D625" s="8" t="s">
        <v>134</v>
      </c>
      <c r="E625" s="8" t="s">
        <v>94</v>
      </c>
      <c r="F625" s="8" t="s">
        <v>2269</v>
      </c>
      <c r="G625" s="8" t="s">
        <v>2269</v>
      </c>
      <c r="H625" s="9">
        <v>100000</v>
      </c>
      <c r="I625" s="9">
        <f>[1]!Tabel1[[#This Row],[Honorar]]*[1]!Tabel1[[#This Row],[Sandsynlighed]]</f>
        <v>200000</v>
      </c>
      <c r="J625" s="10" t="s">
        <v>452</v>
      </c>
      <c r="K625" s="10" t="s">
        <v>452</v>
      </c>
      <c r="L625" s="17" t="s">
        <v>2270</v>
      </c>
      <c r="M625" s="11">
        <v>0.25</v>
      </c>
      <c r="N625" s="1"/>
      <c r="O625" s="10">
        <v>46279.611909722225</v>
      </c>
      <c r="P625" s="1" t="s">
        <v>72</v>
      </c>
      <c r="Q625" s="1" t="s">
        <v>72</v>
      </c>
      <c r="R625" s="8" t="s">
        <v>49</v>
      </c>
      <c r="S62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13369.963369963369</v>
      </c>
      <c r="T62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2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2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2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2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2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2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2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2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2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2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2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25" s="12">
        <f ca="1">[1]!Tabel1[[#This Row],[Vægtet Honorar]]*([1]!Tabel1[[#This Row],[Sidst redigeret]]&gt;TODAY()-40)*([1]!Tabel1[[#This Row],[Er i resplan?]]&lt;&gt;"Ja")*([1]!Tabel1[[#This Row],[Status]]="Pågår")</f>
        <v>0</v>
      </c>
      <c r="AG625" s="12">
        <f ca="1">[1]!Tabel1[[#This Row],[Vægtet Honorar]]*([1]!Tabel1[[#This Row],[Sidst redigeret]]&gt;TODAY()-40)*([1]!Tabel1[[#This Row],[Status]]="Pågår")</f>
        <v>0</v>
      </c>
      <c r="AH625" s="13"/>
      <c r="AI625" s="12"/>
      <c r="AJ625" s="12"/>
      <c r="AK625" s="12"/>
      <c r="AL625" s="12"/>
      <c r="AM625" s="12"/>
      <c r="AN625" s="12"/>
      <c r="AO625" s="12"/>
      <c r="AP625" s="12"/>
    </row>
    <row r="626" spans="1:42" ht="30">
      <c r="A626" t="s">
        <v>2271</v>
      </c>
      <c r="B626" s="8"/>
      <c r="C626" s="8" t="s">
        <v>2272</v>
      </c>
      <c r="D626" s="8" t="s">
        <v>200</v>
      </c>
      <c r="E626" s="8" t="s">
        <v>120</v>
      </c>
      <c r="F626" s="8" t="s">
        <v>2273</v>
      </c>
      <c r="G626" s="8" t="s">
        <v>2274</v>
      </c>
      <c r="H626" s="9">
        <v>1500000</v>
      </c>
      <c r="I626" s="9">
        <f>[1]!Tabel1[[#This Row],[Honorar]]*[1]!Tabel1[[#This Row],[Sandsynlighed]]</f>
        <v>500000</v>
      </c>
      <c r="J626" s="10" t="s">
        <v>328</v>
      </c>
      <c r="K626" s="10" t="s">
        <v>612</v>
      </c>
      <c r="L626" s="17" t="s">
        <v>2275</v>
      </c>
      <c r="M626" s="11">
        <v>0.25</v>
      </c>
      <c r="N626" s="1">
        <v>3000</v>
      </c>
      <c r="O626" s="10">
        <v>46279.611909722225</v>
      </c>
      <c r="P626" s="10"/>
      <c r="Q626" s="1" t="s">
        <v>72</v>
      </c>
      <c r="R626" s="8" t="s">
        <v>343</v>
      </c>
      <c r="S62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27752.433090024333</v>
      </c>
      <c r="T62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2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2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2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2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2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2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2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2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2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2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2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26" s="12">
        <f ca="1">[1]!Tabel1[[#This Row],[Vægtet Honorar]]*([1]!Tabel1[[#This Row],[Sidst redigeret]]&gt;TODAY()-40)*([1]!Tabel1[[#This Row],[Er i resplan?]]&lt;&gt;"Ja")*([1]!Tabel1[[#This Row],[Status]]="Pågår")</f>
        <v>0</v>
      </c>
      <c r="AG626" s="12">
        <f ca="1">[1]!Tabel1[[#This Row],[Vægtet Honorar]]*([1]!Tabel1[[#This Row],[Sidst redigeret]]&gt;TODAY()-40)*([1]!Tabel1[[#This Row],[Status]]="Pågår")</f>
        <v>0</v>
      </c>
      <c r="AH626" s="13"/>
      <c r="AI626" s="12"/>
      <c r="AJ626" s="12" t="s">
        <v>2274</v>
      </c>
      <c r="AK626" s="12"/>
      <c r="AL626" s="12"/>
      <c r="AM626" s="12"/>
      <c r="AN626" s="12" t="s">
        <v>2276</v>
      </c>
      <c r="AO626" s="12"/>
      <c r="AP626" s="12"/>
    </row>
    <row r="627" spans="1:42" ht="60">
      <c r="A627" t="s">
        <v>2277</v>
      </c>
      <c r="B627" s="8">
        <v>241037</v>
      </c>
      <c r="C627" s="8" t="s">
        <v>2278</v>
      </c>
      <c r="D627" s="8" t="s">
        <v>421</v>
      </c>
      <c r="E627" s="8" t="s">
        <v>120</v>
      </c>
      <c r="F627" s="8" t="s">
        <v>726</v>
      </c>
      <c r="G627" s="8" t="s">
        <v>726</v>
      </c>
      <c r="H627" s="9">
        <v>250000</v>
      </c>
      <c r="I627" s="9">
        <f>[1]!Tabel1[[#This Row],[Honorar]]*[1]!Tabel1[[#This Row],[Sandsynlighed]]</f>
        <v>237500</v>
      </c>
      <c r="J627" s="10" t="s">
        <v>612</v>
      </c>
      <c r="K627" s="10" t="s">
        <v>1061</v>
      </c>
      <c r="L627" s="17" t="s">
        <v>2279</v>
      </c>
      <c r="M627" s="11">
        <v>1</v>
      </c>
      <c r="N627" s="1" t="s">
        <v>1015</v>
      </c>
      <c r="O627" s="10">
        <v>46279.611909722225</v>
      </c>
      <c r="P627" s="10"/>
      <c r="Q627" s="1" t="s">
        <v>46</v>
      </c>
      <c r="R627" s="8" t="s">
        <v>47</v>
      </c>
      <c r="S62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19791.666666666668</v>
      </c>
      <c r="T62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2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2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2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2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2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2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2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2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2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2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2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27" s="12">
        <f ca="1">[1]!Tabel1[[#This Row],[Vægtet Honorar]]*([1]!Tabel1[[#This Row],[Sidst redigeret]]&gt;TODAY()-40)*([1]!Tabel1[[#This Row],[Er i resplan?]]&lt;&gt;"Ja")*([1]!Tabel1[[#This Row],[Status]]="Pågår")</f>
        <v>0</v>
      </c>
      <c r="AG627" s="12">
        <f ca="1">[1]!Tabel1[[#This Row],[Vægtet Honorar]]*([1]!Tabel1[[#This Row],[Sidst redigeret]]&gt;TODAY()-40)*([1]!Tabel1[[#This Row],[Status]]="Pågår")</f>
        <v>0</v>
      </c>
      <c r="AH627" s="13"/>
      <c r="AI627" s="12"/>
      <c r="AJ627" s="12" t="s">
        <v>1015</v>
      </c>
      <c r="AK627" s="12"/>
      <c r="AL627" s="12"/>
      <c r="AM627" s="12"/>
      <c r="AN627" s="12"/>
      <c r="AO627" s="12"/>
      <c r="AP627" s="12"/>
    </row>
    <row r="628" spans="1:42" ht="30">
      <c r="A628" t="s">
        <v>2280</v>
      </c>
      <c r="B628" s="8"/>
      <c r="C628" s="8" t="s">
        <v>2281</v>
      </c>
      <c r="D628" s="8" t="s">
        <v>93</v>
      </c>
      <c r="E628" s="8" t="s">
        <v>94</v>
      </c>
      <c r="F628" s="8" t="s">
        <v>2282</v>
      </c>
      <c r="G628" s="8" t="s">
        <v>2282</v>
      </c>
      <c r="H628" s="9">
        <v>500000</v>
      </c>
      <c r="I628" s="9">
        <f>[1]!Tabel1[[#This Row],[Honorar]]*[1]!Tabel1[[#This Row],[Sandsynlighed]]</f>
        <v>0</v>
      </c>
      <c r="J628" s="10" t="s">
        <v>328</v>
      </c>
      <c r="K628" s="10" t="s">
        <v>452</v>
      </c>
      <c r="L628" s="17" t="s">
        <v>2283</v>
      </c>
      <c r="M628" s="11">
        <v>0.2</v>
      </c>
      <c r="N628" s="1" t="s">
        <v>1015</v>
      </c>
      <c r="O628" s="10">
        <v>46279.611909722225</v>
      </c>
      <c r="P628" s="1" t="s">
        <v>72</v>
      </c>
      <c r="Q628" s="1" t="s">
        <v>72</v>
      </c>
      <c r="R628" s="8" t="s">
        <v>75</v>
      </c>
      <c r="S62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2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2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2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2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2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2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2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2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2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2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2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2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28" s="12">
        <f ca="1">[1]!Tabel1[[#This Row],[Vægtet Honorar]]*([1]!Tabel1[[#This Row],[Sidst redigeret]]&gt;TODAY()-40)*([1]!Tabel1[[#This Row],[Er i resplan?]]&lt;&gt;"Ja")*([1]!Tabel1[[#This Row],[Status]]="Pågår")</f>
        <v>0</v>
      </c>
      <c r="AG628" s="12">
        <f ca="1">[1]!Tabel1[[#This Row],[Vægtet Honorar]]*([1]!Tabel1[[#This Row],[Sidst redigeret]]&gt;TODAY()-40)*([1]!Tabel1[[#This Row],[Status]]="Pågår")</f>
        <v>0</v>
      </c>
      <c r="AH628" s="13"/>
      <c r="AI628" s="12"/>
      <c r="AJ628" s="12" t="s">
        <v>1015</v>
      </c>
      <c r="AK628" s="12"/>
      <c r="AL628" s="12"/>
      <c r="AM628" s="12"/>
      <c r="AN628" s="12"/>
      <c r="AO628" s="12"/>
      <c r="AP628" s="12"/>
    </row>
    <row r="629" spans="1:42">
      <c r="A629" t="s">
        <v>2284</v>
      </c>
      <c r="B629" s="8"/>
      <c r="C629" s="8" t="s">
        <v>2285</v>
      </c>
      <c r="D629" s="8" t="s">
        <v>269</v>
      </c>
      <c r="E629" s="8" t="s">
        <v>167</v>
      </c>
      <c r="F629" s="8" t="s">
        <v>1114</v>
      </c>
      <c r="G629" s="8" t="s">
        <v>1114</v>
      </c>
      <c r="H629" s="9">
        <v>900000</v>
      </c>
      <c r="I629" s="9">
        <f>[1]!Tabel1[[#This Row],[Honorar]]*[1]!Tabel1[[#This Row],[Sandsynlighed]]</f>
        <v>105000</v>
      </c>
      <c r="J629" s="10" t="s">
        <v>328</v>
      </c>
      <c r="K629" s="10" t="s">
        <v>452</v>
      </c>
      <c r="L629" s="17"/>
      <c r="M629" s="11">
        <v>0.2</v>
      </c>
      <c r="N629" s="1" t="s">
        <v>1015</v>
      </c>
      <c r="O629" s="10">
        <v>46279.611909722225</v>
      </c>
      <c r="P629" s="10"/>
      <c r="Q629" s="1" t="s">
        <v>46</v>
      </c>
      <c r="R629" s="8" t="s">
        <v>47</v>
      </c>
      <c r="S62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8750</v>
      </c>
      <c r="T62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2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2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2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2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2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2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2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2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2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2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2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29" s="12">
        <f ca="1">[1]!Tabel1[[#This Row],[Vægtet Honorar]]*([1]!Tabel1[[#This Row],[Sidst redigeret]]&gt;TODAY()-40)*([1]!Tabel1[[#This Row],[Er i resplan?]]&lt;&gt;"Ja")*([1]!Tabel1[[#This Row],[Status]]="Pågår")</f>
        <v>0</v>
      </c>
      <c r="AG629" s="12">
        <f ca="1">[1]!Tabel1[[#This Row],[Vægtet Honorar]]*([1]!Tabel1[[#This Row],[Sidst redigeret]]&gt;TODAY()-40)*([1]!Tabel1[[#This Row],[Status]]="Pågår")</f>
        <v>0</v>
      </c>
      <c r="AH629" s="13"/>
      <c r="AI629" s="12"/>
      <c r="AJ629" s="12" t="s">
        <v>1015</v>
      </c>
      <c r="AK629" s="12"/>
      <c r="AL629" s="12"/>
      <c r="AM629" s="12"/>
      <c r="AN629" s="12"/>
      <c r="AO629" s="12"/>
      <c r="AP629" s="12"/>
    </row>
    <row r="630" spans="1:42" ht="60">
      <c r="A630" t="s">
        <v>2286</v>
      </c>
      <c r="B630" s="8"/>
      <c r="C630" s="8" t="s">
        <v>2287</v>
      </c>
      <c r="D630" s="8" t="s">
        <v>57</v>
      </c>
      <c r="E630" s="8" t="s">
        <v>167</v>
      </c>
      <c r="F630" s="8" t="s">
        <v>2288</v>
      </c>
      <c r="G630" s="8" t="s">
        <v>2289</v>
      </c>
      <c r="H630" s="9">
        <f>250000000*0.75*0.035</f>
        <v>6562500.0000000009</v>
      </c>
      <c r="I630" s="9">
        <f>[1]!Tabel1[[#This Row],[Honorar]]*[1]!Tabel1[[#This Row],[Sandsynlighed]]</f>
        <v>25000</v>
      </c>
      <c r="J630" s="10" t="s">
        <v>452</v>
      </c>
      <c r="K630" s="10" t="s">
        <v>1191</v>
      </c>
      <c r="L630" s="17" t="s">
        <v>2290</v>
      </c>
      <c r="M630" s="11">
        <v>0.02</v>
      </c>
      <c r="N630" s="1">
        <v>6000</v>
      </c>
      <c r="O630" s="10">
        <v>46279.611909722225</v>
      </c>
      <c r="P630" s="10"/>
      <c r="Q630" s="1" t="s">
        <v>72</v>
      </c>
      <c r="R630" s="8" t="s">
        <v>49</v>
      </c>
      <c r="S63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8356.2271062271066</v>
      </c>
      <c r="T63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3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3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3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3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3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3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3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3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3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3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3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30" s="12">
        <f ca="1">[1]!Tabel1[[#This Row],[Vægtet Honorar]]*([1]!Tabel1[[#This Row],[Sidst redigeret]]&gt;TODAY()-40)*([1]!Tabel1[[#This Row],[Er i resplan?]]&lt;&gt;"Ja")*([1]!Tabel1[[#This Row],[Status]]="Pågår")</f>
        <v>0</v>
      </c>
      <c r="AG630" s="12">
        <f ca="1">[1]!Tabel1[[#This Row],[Vægtet Honorar]]*([1]!Tabel1[[#This Row],[Sidst redigeret]]&gt;TODAY()-40)*([1]!Tabel1[[#This Row],[Status]]="Pågår")</f>
        <v>0</v>
      </c>
      <c r="AH630" s="13"/>
      <c r="AI630" s="12"/>
      <c r="AJ630" s="12" t="s">
        <v>767</v>
      </c>
      <c r="AK630" s="12" t="s">
        <v>2291</v>
      </c>
      <c r="AL630" s="12"/>
      <c r="AM630" s="12"/>
      <c r="AN630" s="12" t="s">
        <v>2292</v>
      </c>
      <c r="AO630" s="12"/>
      <c r="AP630" s="12"/>
    </row>
    <row r="631" spans="1:42" ht="270">
      <c r="A631" t="s">
        <v>2293</v>
      </c>
      <c r="B631" s="8"/>
      <c r="C631" s="8" t="s">
        <v>2294</v>
      </c>
      <c r="D631" s="8" t="s">
        <v>134</v>
      </c>
      <c r="E631" s="8" t="s">
        <v>94</v>
      </c>
      <c r="F631" s="8" t="s">
        <v>460</v>
      </c>
      <c r="G631" s="8" t="s">
        <v>2295</v>
      </c>
      <c r="H631" s="9">
        <v>2000000</v>
      </c>
      <c r="I631" s="9">
        <f>[1]!Tabel1[[#This Row],[Honorar]]*[1]!Tabel1[[#This Row],[Sandsynlighed]]</f>
        <v>375000</v>
      </c>
      <c r="J631" s="10" t="s">
        <v>1061</v>
      </c>
      <c r="K631" s="10" t="s">
        <v>1191</v>
      </c>
      <c r="L631" s="17" t="s">
        <v>2296</v>
      </c>
      <c r="M631" s="11">
        <v>0.1</v>
      </c>
      <c r="N631" s="1">
        <v>600</v>
      </c>
      <c r="O631" s="10">
        <v>46279.611909722225</v>
      </c>
      <c r="P631" s="1" t="s">
        <v>72</v>
      </c>
      <c r="Q631" s="1" t="s">
        <v>72</v>
      </c>
      <c r="R631" s="8" t="s">
        <v>49</v>
      </c>
      <c r="S63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41628.649635036498</v>
      </c>
      <c r="T63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3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3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3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3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3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3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3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3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3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3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3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31" s="12">
        <f ca="1">[1]!Tabel1[[#This Row],[Vægtet Honorar]]*([1]!Tabel1[[#This Row],[Sidst redigeret]]&gt;TODAY()-40)*([1]!Tabel1[[#This Row],[Er i resplan?]]&lt;&gt;"Ja")*([1]!Tabel1[[#This Row],[Status]]="Pågår")</f>
        <v>375000</v>
      </c>
      <c r="AG631" s="12">
        <f ca="1">[1]!Tabel1[[#This Row],[Vægtet Honorar]]*([1]!Tabel1[[#This Row],[Sidst redigeret]]&gt;TODAY()-40)*([1]!Tabel1[[#This Row],[Status]]="Pågår")</f>
        <v>375000</v>
      </c>
      <c r="AH631" s="13"/>
      <c r="AI631" s="12"/>
      <c r="AJ631" s="12"/>
      <c r="AK631" s="12"/>
      <c r="AL631" s="12"/>
      <c r="AM631" s="12"/>
      <c r="AN631" s="12"/>
      <c r="AO631" s="12"/>
      <c r="AP631" s="12"/>
    </row>
    <row r="632" spans="1:42">
      <c r="A632" t="s">
        <v>2297</v>
      </c>
      <c r="B632" s="8"/>
      <c r="C632" s="8" t="s">
        <v>2298</v>
      </c>
      <c r="D632" s="8" t="s">
        <v>203</v>
      </c>
      <c r="E632" s="8" t="s">
        <v>167</v>
      </c>
      <c r="F632" s="8" t="s">
        <v>2299</v>
      </c>
      <c r="G632" s="8" t="s">
        <v>2299</v>
      </c>
      <c r="H632" s="9">
        <v>350000</v>
      </c>
      <c r="I632" s="9">
        <f>[1]!Tabel1[[#This Row],[Honorar]]*[1]!Tabel1[[#This Row],[Sandsynlighed]]</f>
        <v>250000</v>
      </c>
      <c r="J632" s="10" t="s">
        <v>584</v>
      </c>
      <c r="K632" s="10" t="s">
        <v>1061</v>
      </c>
      <c r="L632" s="17"/>
      <c r="M632" s="11">
        <v>1</v>
      </c>
      <c r="N632" s="1" t="s">
        <v>1128</v>
      </c>
      <c r="O632" s="10">
        <v>46279.611909722225</v>
      </c>
      <c r="P632" s="10"/>
      <c r="Q632" s="1" t="s">
        <v>46</v>
      </c>
      <c r="R632" s="8" t="s">
        <v>47</v>
      </c>
      <c r="S63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3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3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3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3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3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3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3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3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3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3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3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3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32" s="12">
        <f ca="1">[1]!Tabel1[[#This Row],[Vægtet Honorar]]*([1]!Tabel1[[#This Row],[Sidst redigeret]]&gt;TODAY()-40)*([1]!Tabel1[[#This Row],[Er i resplan?]]&lt;&gt;"Ja")*([1]!Tabel1[[#This Row],[Status]]="Pågår")</f>
        <v>0</v>
      </c>
      <c r="AG632" s="12">
        <f ca="1">[1]!Tabel1[[#This Row],[Vægtet Honorar]]*([1]!Tabel1[[#This Row],[Sidst redigeret]]&gt;TODAY()-40)*([1]!Tabel1[[#This Row],[Status]]="Pågår")</f>
        <v>0</v>
      </c>
      <c r="AH632" s="13"/>
      <c r="AI632" s="12"/>
      <c r="AJ632" s="12"/>
      <c r="AK632" s="12"/>
      <c r="AL632" s="12"/>
      <c r="AM632" s="12"/>
      <c r="AN632" s="12"/>
      <c r="AO632" s="12"/>
      <c r="AP632" s="12"/>
    </row>
    <row r="633" spans="1:42">
      <c r="A633" t="s">
        <v>2300</v>
      </c>
      <c r="B633" s="8"/>
      <c r="C633" s="8" t="s">
        <v>2301</v>
      </c>
      <c r="D633" s="8" t="s">
        <v>1886</v>
      </c>
      <c r="E633" s="8" t="s">
        <v>94</v>
      </c>
      <c r="F633" s="8" t="s">
        <v>1843</v>
      </c>
      <c r="G633" s="8" t="s">
        <v>1970</v>
      </c>
      <c r="H633" s="9">
        <v>150000</v>
      </c>
      <c r="I633" s="9">
        <f>[1]!Tabel1[[#This Row],[Honorar]]*[1]!Tabel1[[#This Row],[Sandsynlighed]]</f>
        <v>100000</v>
      </c>
      <c r="J633" s="10" t="s">
        <v>612</v>
      </c>
      <c r="K633" s="10" t="s">
        <v>329</v>
      </c>
      <c r="L633" s="17"/>
      <c r="M633" s="11">
        <v>0.2</v>
      </c>
      <c r="N633" s="1">
        <v>27000</v>
      </c>
      <c r="O633" s="10">
        <v>46279.611909722225</v>
      </c>
      <c r="P633" s="1" t="s">
        <v>46</v>
      </c>
      <c r="Q633" s="1" t="s">
        <v>72</v>
      </c>
      <c r="R633" s="8" t="s">
        <v>75</v>
      </c>
      <c r="S63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3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3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3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3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3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3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3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3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3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3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3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3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33" s="12">
        <f ca="1">[1]!Tabel1[[#This Row],[Vægtet Honorar]]*([1]!Tabel1[[#This Row],[Sidst redigeret]]&gt;TODAY()-40)*([1]!Tabel1[[#This Row],[Er i resplan?]]&lt;&gt;"Ja")*([1]!Tabel1[[#This Row],[Status]]="Pågår")</f>
        <v>0</v>
      </c>
      <c r="AG633" s="12">
        <f ca="1">[1]!Tabel1[[#This Row],[Vægtet Honorar]]*([1]!Tabel1[[#This Row],[Sidst redigeret]]&gt;TODAY()-40)*([1]!Tabel1[[#This Row],[Status]]="Pågår")</f>
        <v>0</v>
      </c>
      <c r="AH633" s="13"/>
      <c r="AI633" s="12"/>
      <c r="AJ633" s="12"/>
      <c r="AK633" s="12"/>
      <c r="AL633" s="12"/>
      <c r="AM633" s="12"/>
      <c r="AN633" s="12"/>
      <c r="AO633" s="12"/>
      <c r="AP633" s="12"/>
    </row>
    <row r="634" spans="1:42" ht="45">
      <c r="A634" t="s">
        <v>2302</v>
      </c>
      <c r="B634" s="8"/>
      <c r="C634" s="8" t="s">
        <v>2303</v>
      </c>
      <c r="D634" s="8" t="s">
        <v>707</v>
      </c>
      <c r="E634" s="8" t="s">
        <v>94</v>
      </c>
      <c r="F634" s="8" t="s">
        <v>2304</v>
      </c>
      <c r="G634" s="8" t="s">
        <v>2303</v>
      </c>
      <c r="H634" s="9">
        <v>150000</v>
      </c>
      <c r="I634" s="9">
        <f>[1]!Tabel1[[#This Row],[Honorar]]*[1]!Tabel1[[#This Row],[Sandsynlighed]]</f>
        <v>180000</v>
      </c>
      <c r="J634" s="10" t="s">
        <v>328</v>
      </c>
      <c r="K634" s="10" t="s">
        <v>612</v>
      </c>
      <c r="L634" s="17" t="s">
        <v>2305</v>
      </c>
      <c r="M634" s="11">
        <v>0.2</v>
      </c>
      <c r="N634" s="1"/>
      <c r="O634" s="10">
        <v>46279.611909722225</v>
      </c>
      <c r="P634" s="1" t="s">
        <v>72</v>
      </c>
      <c r="Q634" s="1" t="s">
        <v>72</v>
      </c>
      <c r="R634" s="8" t="s">
        <v>47</v>
      </c>
      <c r="S63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3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3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3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3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3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3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3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3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3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3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3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3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34" s="12">
        <f ca="1">[1]!Tabel1[[#This Row],[Vægtet Honorar]]*([1]!Tabel1[[#This Row],[Sidst redigeret]]&gt;TODAY()-40)*([1]!Tabel1[[#This Row],[Er i resplan?]]&lt;&gt;"Ja")*([1]!Tabel1[[#This Row],[Status]]="Pågår")</f>
        <v>0</v>
      </c>
      <c r="AG634" s="12">
        <f ca="1">[1]!Tabel1[[#This Row],[Vægtet Honorar]]*([1]!Tabel1[[#This Row],[Sidst redigeret]]&gt;TODAY()-40)*([1]!Tabel1[[#This Row],[Status]]="Pågår")</f>
        <v>0</v>
      </c>
      <c r="AH634" s="13"/>
      <c r="AI634" s="12"/>
      <c r="AJ634" s="12"/>
      <c r="AK634" s="12"/>
      <c r="AL634" s="12"/>
      <c r="AM634" s="12"/>
      <c r="AN634" s="12"/>
      <c r="AO634" s="12"/>
      <c r="AP634" s="12"/>
    </row>
    <row r="635" spans="1:42" ht="105">
      <c r="A635" t="s">
        <v>2306</v>
      </c>
      <c r="B635" s="8"/>
      <c r="C635" s="8" t="s">
        <v>2307</v>
      </c>
      <c r="D635" s="8" t="s">
        <v>896</v>
      </c>
      <c r="E635" s="8" t="s">
        <v>94</v>
      </c>
      <c r="F635" s="8" t="s">
        <v>2308</v>
      </c>
      <c r="G635" s="8" t="s">
        <v>1737</v>
      </c>
      <c r="H635" s="9">
        <v>1500000</v>
      </c>
      <c r="I635" s="9">
        <f>[1]!Tabel1[[#This Row],[Honorar]]*[1]!Tabel1[[#This Row],[Sandsynlighed]]</f>
        <v>131250.00000000003</v>
      </c>
      <c r="J635" s="10" t="s">
        <v>341</v>
      </c>
      <c r="K635" s="10" t="s">
        <v>342</v>
      </c>
      <c r="L635" s="17" t="s">
        <v>2249</v>
      </c>
      <c r="M635" s="11">
        <v>0.01</v>
      </c>
      <c r="N635" s="1"/>
      <c r="O635" s="10">
        <v>46279.618252314816</v>
      </c>
      <c r="P635" s="1" t="s">
        <v>72</v>
      </c>
      <c r="Q635" s="1" t="s">
        <v>72</v>
      </c>
      <c r="R635" s="8" t="s">
        <v>343</v>
      </c>
      <c r="S63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7285.0136861313886</v>
      </c>
      <c r="T63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3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3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3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3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3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3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3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3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3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3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3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35" s="12">
        <f ca="1">[1]!Tabel1[[#This Row],[Vægtet Honorar]]*([1]!Tabel1[[#This Row],[Sidst redigeret]]&gt;TODAY()-40)*([1]!Tabel1[[#This Row],[Er i resplan?]]&lt;&gt;"Ja")*([1]!Tabel1[[#This Row],[Status]]="Pågår")</f>
        <v>0</v>
      </c>
      <c r="AG635" s="12">
        <f ca="1">[1]!Tabel1[[#This Row],[Vægtet Honorar]]*([1]!Tabel1[[#This Row],[Sidst redigeret]]&gt;TODAY()-40)*([1]!Tabel1[[#This Row],[Status]]="Pågår")</f>
        <v>0</v>
      </c>
      <c r="AH635" s="13"/>
      <c r="AI635" s="12"/>
      <c r="AJ635" s="12" t="s">
        <v>1737</v>
      </c>
      <c r="AK635" s="12"/>
      <c r="AL635" s="12"/>
      <c r="AM635" s="12"/>
      <c r="AN635" s="12"/>
      <c r="AO635" s="12"/>
      <c r="AP635" s="12"/>
    </row>
    <row r="636" spans="1:42">
      <c r="A636" t="s">
        <v>2309</v>
      </c>
      <c r="B636" s="8"/>
      <c r="C636" s="8" t="s">
        <v>2310</v>
      </c>
      <c r="D636" s="8" t="s">
        <v>720</v>
      </c>
      <c r="E636" s="8" t="s">
        <v>71</v>
      </c>
      <c r="F636" s="8" t="s">
        <v>1012</v>
      </c>
      <c r="G636" s="8" t="s">
        <v>1012</v>
      </c>
      <c r="H636" s="9">
        <v>150000</v>
      </c>
      <c r="I636" s="9">
        <f>[1]!Tabel1[[#This Row],[Honorar]]*[1]!Tabel1[[#This Row],[Sandsynlighed]]</f>
        <v>200000</v>
      </c>
      <c r="J636" s="10" t="s">
        <v>584</v>
      </c>
      <c r="K636" s="10" t="s">
        <v>1191</v>
      </c>
      <c r="L636" s="17"/>
      <c r="M636" s="11">
        <v>0.5</v>
      </c>
      <c r="N636" s="1"/>
      <c r="O636" s="10">
        <v>46279.611909722225</v>
      </c>
      <c r="P636" s="10"/>
      <c r="Q636" s="1" t="s">
        <v>46</v>
      </c>
      <c r="R636" s="8" t="s">
        <v>47</v>
      </c>
      <c r="S63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16712.454212454213</v>
      </c>
      <c r="T63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3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3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3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3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3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3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3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3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3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3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3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36" s="12">
        <f ca="1">[1]!Tabel1[[#This Row],[Vægtet Honorar]]*([1]!Tabel1[[#This Row],[Sidst redigeret]]&gt;TODAY()-40)*([1]!Tabel1[[#This Row],[Er i resplan?]]&lt;&gt;"Ja")*([1]!Tabel1[[#This Row],[Status]]="Pågår")</f>
        <v>0</v>
      </c>
      <c r="AG636" s="12">
        <f ca="1">[1]!Tabel1[[#This Row],[Vægtet Honorar]]*([1]!Tabel1[[#This Row],[Sidst redigeret]]&gt;TODAY()-40)*([1]!Tabel1[[#This Row],[Status]]="Pågår")</f>
        <v>0</v>
      </c>
      <c r="AH636" s="13"/>
      <c r="AI636" s="12"/>
      <c r="AJ636" s="12"/>
      <c r="AK636" s="12"/>
      <c r="AL636" s="12"/>
      <c r="AM636" s="12"/>
      <c r="AN636" s="12"/>
      <c r="AO636" s="12"/>
      <c r="AP636" s="12"/>
    </row>
    <row r="637" spans="1:42" ht="45">
      <c r="A637" t="s">
        <v>2311</v>
      </c>
      <c r="B637" s="8"/>
      <c r="C637" s="8" t="s">
        <v>2294</v>
      </c>
      <c r="D637" s="8" t="s">
        <v>1886</v>
      </c>
      <c r="E637" s="8" t="s">
        <v>94</v>
      </c>
      <c r="F637" s="8" t="s">
        <v>1929</v>
      </c>
      <c r="G637" s="8" t="s">
        <v>1929</v>
      </c>
      <c r="H637" s="9">
        <v>150000</v>
      </c>
      <c r="I637" s="9">
        <f>[1]!Tabel1[[#This Row],[Honorar]]*[1]!Tabel1[[#This Row],[Sandsynlighed]]</f>
        <v>350000</v>
      </c>
      <c r="J637" s="10" t="s">
        <v>584</v>
      </c>
      <c r="K637" s="10" t="s">
        <v>1191</v>
      </c>
      <c r="L637" s="17" t="s">
        <v>2312</v>
      </c>
      <c r="M637" s="11">
        <v>0.8</v>
      </c>
      <c r="N637" s="1">
        <v>1000</v>
      </c>
      <c r="O637" s="10">
        <v>46279.611909722225</v>
      </c>
      <c r="P637" s="1" t="s">
        <v>72</v>
      </c>
      <c r="Q637" s="1" t="s">
        <v>46</v>
      </c>
      <c r="R637" s="8" t="s">
        <v>47</v>
      </c>
      <c r="S63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3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3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3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3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3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3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3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3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3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3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3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3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37" s="12">
        <f ca="1">[1]!Tabel1[[#This Row],[Vægtet Honorar]]*([1]!Tabel1[[#This Row],[Sidst redigeret]]&gt;TODAY()-40)*([1]!Tabel1[[#This Row],[Er i resplan?]]&lt;&gt;"Ja")*([1]!Tabel1[[#This Row],[Status]]="Pågår")</f>
        <v>0</v>
      </c>
      <c r="AG637" s="12">
        <f ca="1">[1]!Tabel1[[#This Row],[Vægtet Honorar]]*([1]!Tabel1[[#This Row],[Sidst redigeret]]&gt;TODAY()-40)*([1]!Tabel1[[#This Row],[Status]]="Pågår")</f>
        <v>0</v>
      </c>
      <c r="AH637" s="13"/>
      <c r="AI637" s="12"/>
      <c r="AJ637" s="12"/>
      <c r="AK637" s="12"/>
      <c r="AL637" s="12"/>
      <c r="AM637" s="12"/>
      <c r="AN637" s="12"/>
      <c r="AO637" s="12"/>
      <c r="AP637" s="12"/>
    </row>
    <row r="638" spans="1:42" ht="45">
      <c r="A638" t="s">
        <v>2313</v>
      </c>
      <c r="B638" s="8"/>
      <c r="C638" s="8" t="s">
        <v>2294</v>
      </c>
      <c r="D638" s="8" t="s">
        <v>1886</v>
      </c>
      <c r="E638" s="8" t="s">
        <v>94</v>
      </c>
      <c r="F638" s="8" t="s">
        <v>1929</v>
      </c>
      <c r="G638" s="8" t="s">
        <v>1929</v>
      </c>
      <c r="H638" s="9">
        <v>20000</v>
      </c>
      <c r="I638" s="9">
        <f>[1]!Tabel1[[#This Row],[Honorar]]*[1]!Tabel1[[#This Row],[Sandsynlighed]]</f>
        <v>30000</v>
      </c>
      <c r="J638" s="10" t="s">
        <v>328</v>
      </c>
      <c r="K638" s="10" t="s">
        <v>612</v>
      </c>
      <c r="L638" s="17" t="s">
        <v>2312</v>
      </c>
      <c r="M638" s="11">
        <v>0.6</v>
      </c>
      <c r="N638" s="1">
        <v>20000</v>
      </c>
      <c r="O638" s="10">
        <v>46279.611909722225</v>
      </c>
      <c r="P638" s="1" t="s">
        <v>72</v>
      </c>
      <c r="Q638" s="1" t="s">
        <v>72</v>
      </c>
      <c r="R638" s="8" t="s">
        <v>47</v>
      </c>
      <c r="S63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3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3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3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3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3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3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3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3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3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3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3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3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38" s="12">
        <f ca="1">[1]!Tabel1[[#This Row],[Vægtet Honorar]]*([1]!Tabel1[[#This Row],[Sidst redigeret]]&gt;TODAY()-40)*([1]!Tabel1[[#This Row],[Er i resplan?]]&lt;&gt;"Ja")*([1]!Tabel1[[#This Row],[Status]]="Pågår")</f>
        <v>0</v>
      </c>
      <c r="AG638" s="12">
        <f ca="1">[1]!Tabel1[[#This Row],[Vægtet Honorar]]*([1]!Tabel1[[#This Row],[Sidst redigeret]]&gt;TODAY()-40)*([1]!Tabel1[[#This Row],[Status]]="Pågår")</f>
        <v>0</v>
      </c>
      <c r="AH638" s="13"/>
      <c r="AI638" s="12"/>
      <c r="AJ638" s="12"/>
      <c r="AK638" s="12"/>
      <c r="AL638" s="12"/>
      <c r="AM638" s="12"/>
      <c r="AN638" s="12"/>
      <c r="AO638" s="12"/>
      <c r="AP638" s="12"/>
    </row>
    <row r="639" spans="1:42" ht="45">
      <c r="A639" t="s">
        <v>2314</v>
      </c>
      <c r="B639" s="8"/>
      <c r="C639" s="8" t="s">
        <v>2294</v>
      </c>
      <c r="D639" s="8" t="s">
        <v>1886</v>
      </c>
      <c r="E639" s="8" t="s">
        <v>94</v>
      </c>
      <c r="F639" s="8" t="s">
        <v>1929</v>
      </c>
      <c r="G639" s="8" t="s">
        <v>1929</v>
      </c>
      <c r="H639" s="9">
        <v>20000</v>
      </c>
      <c r="I639" s="9">
        <f>[1]!Tabel1[[#This Row],[Honorar]]*[1]!Tabel1[[#This Row],[Sandsynlighed]]</f>
        <v>30000</v>
      </c>
      <c r="J639" s="10" t="s">
        <v>328</v>
      </c>
      <c r="K639" s="10" t="s">
        <v>612</v>
      </c>
      <c r="L639" s="17" t="s">
        <v>2312</v>
      </c>
      <c r="M639" s="11">
        <v>0.6</v>
      </c>
      <c r="N639" s="1">
        <v>20000</v>
      </c>
      <c r="O639" s="10">
        <v>46279.611909722225</v>
      </c>
      <c r="P639" s="1" t="s">
        <v>72</v>
      </c>
      <c r="Q639" s="1" t="s">
        <v>72</v>
      </c>
      <c r="R639" s="8" t="s">
        <v>47</v>
      </c>
      <c r="S63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3330.2919708029199</v>
      </c>
      <c r="T63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3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3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3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3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3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3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3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3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3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3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3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39" s="12">
        <f ca="1">[1]!Tabel1[[#This Row],[Vægtet Honorar]]*([1]!Tabel1[[#This Row],[Sidst redigeret]]&gt;TODAY()-40)*([1]!Tabel1[[#This Row],[Er i resplan?]]&lt;&gt;"Ja")*([1]!Tabel1[[#This Row],[Status]]="Pågår")</f>
        <v>0</v>
      </c>
      <c r="AG639" s="12">
        <f ca="1">[1]!Tabel1[[#This Row],[Vægtet Honorar]]*([1]!Tabel1[[#This Row],[Sidst redigeret]]&gt;TODAY()-40)*([1]!Tabel1[[#This Row],[Status]]="Pågår")</f>
        <v>0</v>
      </c>
      <c r="AH639" s="13"/>
      <c r="AI639" s="12"/>
      <c r="AJ639" s="12"/>
      <c r="AK639" s="12"/>
      <c r="AL639" s="12"/>
      <c r="AM639" s="12"/>
      <c r="AN639" s="12"/>
      <c r="AO639" s="12"/>
      <c r="AP639" s="12"/>
    </row>
    <row r="640" spans="1:42" ht="60">
      <c r="A640" t="s">
        <v>2315</v>
      </c>
      <c r="B640" s="8"/>
      <c r="C640" s="8" t="s">
        <v>2316</v>
      </c>
      <c r="D640" s="8" t="s">
        <v>197</v>
      </c>
      <c r="E640" s="8" t="s">
        <v>167</v>
      </c>
      <c r="F640" s="8" t="s">
        <v>671</v>
      </c>
      <c r="G640" s="8" t="s">
        <v>671</v>
      </c>
      <c r="H640" s="9">
        <v>600000</v>
      </c>
      <c r="I640" s="9">
        <f>[1]!Tabel1[[#This Row],[Honorar]]*[1]!Tabel1[[#This Row],[Sandsynlighed]]</f>
        <v>15000</v>
      </c>
      <c r="J640" s="10" t="s">
        <v>328</v>
      </c>
      <c r="K640" s="10" t="s">
        <v>612</v>
      </c>
      <c r="L640" s="17" t="s">
        <v>2317</v>
      </c>
      <c r="M640" s="11">
        <v>0.6</v>
      </c>
      <c r="N640" s="1">
        <v>20000</v>
      </c>
      <c r="O640" s="10">
        <v>46279.611909722225</v>
      </c>
      <c r="P640" s="10"/>
      <c r="Q640" s="1" t="s">
        <v>72</v>
      </c>
      <c r="R640" s="8" t="s">
        <v>343</v>
      </c>
      <c r="S64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1253.434065934066</v>
      </c>
      <c r="T64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1253.434065934066</v>
      </c>
      <c r="U64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1253.434065934066</v>
      </c>
      <c r="V64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1253.434065934066</v>
      </c>
      <c r="W64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4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4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4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4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4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4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4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4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40" s="12">
        <f ca="1">[1]!Tabel1[[#This Row],[Vægtet Honorar]]*([1]!Tabel1[[#This Row],[Sidst redigeret]]&gt;TODAY()-40)*([1]!Tabel1[[#This Row],[Er i resplan?]]&lt;&gt;"Ja")*([1]!Tabel1[[#This Row],[Status]]="Pågår")</f>
        <v>15000</v>
      </c>
      <c r="AG640" s="12">
        <f ca="1">[1]!Tabel1[[#This Row],[Vægtet Honorar]]*([1]!Tabel1[[#This Row],[Sidst redigeret]]&gt;TODAY()-40)*([1]!Tabel1[[#This Row],[Status]]="Pågår")</f>
        <v>15000</v>
      </c>
      <c r="AH640" s="13"/>
      <c r="AI640" s="12"/>
      <c r="AJ640" s="12"/>
      <c r="AK640" s="12"/>
      <c r="AL640" s="12"/>
      <c r="AM640" s="12"/>
      <c r="AN640" s="12"/>
      <c r="AO640" s="12"/>
      <c r="AP640" s="12"/>
    </row>
    <row r="641" spans="1:42">
      <c r="A641" t="s">
        <v>2318</v>
      </c>
      <c r="B641" s="8"/>
      <c r="C641" s="8" t="s">
        <v>2294</v>
      </c>
      <c r="D641" s="8" t="s">
        <v>1886</v>
      </c>
      <c r="E641" s="8" t="s">
        <v>94</v>
      </c>
      <c r="F641" s="8" t="s">
        <v>2319</v>
      </c>
      <c r="G641" s="8" t="s">
        <v>2319</v>
      </c>
      <c r="H641" s="9">
        <v>32000</v>
      </c>
      <c r="I641" s="9">
        <f>[1]!Tabel1[[#This Row],[Honorar]]*[1]!Tabel1[[#This Row],[Sandsynlighed]]</f>
        <v>75000</v>
      </c>
      <c r="J641" s="10" t="s">
        <v>328</v>
      </c>
      <c r="K641" s="10" t="s">
        <v>612</v>
      </c>
      <c r="L641" s="17"/>
      <c r="M641" s="11">
        <v>0.8</v>
      </c>
      <c r="N641" s="1">
        <v>300</v>
      </c>
      <c r="O641" s="10">
        <v>46279.611909722225</v>
      </c>
      <c r="P641" s="1" t="s">
        <v>72</v>
      </c>
      <c r="Q641" s="1" t="s">
        <v>46</v>
      </c>
      <c r="R641" s="8" t="s">
        <v>47</v>
      </c>
      <c r="S64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4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4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4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4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4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4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4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4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4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4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4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4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41" s="12">
        <f ca="1">[1]!Tabel1[[#This Row],[Vægtet Honorar]]*([1]!Tabel1[[#This Row],[Sidst redigeret]]&gt;TODAY()-40)*([1]!Tabel1[[#This Row],[Er i resplan?]]&lt;&gt;"Ja")*([1]!Tabel1[[#This Row],[Status]]="Pågår")</f>
        <v>0</v>
      </c>
      <c r="AG641" s="12">
        <f ca="1">[1]!Tabel1[[#This Row],[Vægtet Honorar]]*([1]!Tabel1[[#This Row],[Sidst redigeret]]&gt;TODAY()-40)*([1]!Tabel1[[#This Row],[Status]]="Pågår")</f>
        <v>0</v>
      </c>
      <c r="AH641" s="13"/>
      <c r="AI641" s="12"/>
      <c r="AJ641" s="12"/>
      <c r="AK641" s="12"/>
      <c r="AL641" s="12"/>
      <c r="AM641" s="12"/>
      <c r="AN641" s="12"/>
      <c r="AO641" s="12"/>
      <c r="AP641" s="12"/>
    </row>
    <row r="642" spans="1:42">
      <c r="A642" t="s">
        <v>2320</v>
      </c>
      <c r="B642" s="8"/>
      <c r="C642" s="8" t="s">
        <v>2321</v>
      </c>
      <c r="D642" s="8" t="s">
        <v>990</v>
      </c>
      <c r="E642" s="8" t="s">
        <v>71</v>
      </c>
      <c r="F642" s="8" t="s">
        <v>2322</v>
      </c>
      <c r="G642" s="8" t="s">
        <v>2322</v>
      </c>
      <c r="H642" s="9">
        <v>160000</v>
      </c>
      <c r="I642" s="9">
        <f>[1]!Tabel1[[#This Row],[Honorar]]*[1]!Tabel1[[#This Row],[Sandsynlighed]]</f>
        <v>120000</v>
      </c>
      <c r="J642" s="10" t="s">
        <v>328</v>
      </c>
      <c r="K642" s="10" t="s">
        <v>612</v>
      </c>
      <c r="L642" s="17"/>
      <c r="M642" s="11">
        <v>0.5</v>
      </c>
      <c r="N642" s="1"/>
      <c r="O642" s="10">
        <v>46279.611909722225</v>
      </c>
      <c r="P642" s="10"/>
      <c r="Q642" s="1" t="s">
        <v>72</v>
      </c>
      <c r="R642" s="8" t="s">
        <v>75</v>
      </c>
      <c r="S64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4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4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4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4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4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4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4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4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4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4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4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4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42" s="12">
        <f ca="1">[1]!Tabel1[[#This Row],[Vægtet Honorar]]*([1]!Tabel1[[#This Row],[Sidst redigeret]]&gt;TODAY()-40)*([1]!Tabel1[[#This Row],[Er i resplan?]]&lt;&gt;"Ja")*([1]!Tabel1[[#This Row],[Status]]="Pågår")</f>
        <v>0</v>
      </c>
      <c r="AG642" s="12">
        <f ca="1">[1]!Tabel1[[#This Row],[Vægtet Honorar]]*([1]!Tabel1[[#This Row],[Sidst redigeret]]&gt;TODAY()-40)*([1]!Tabel1[[#This Row],[Status]]="Pågår")</f>
        <v>0</v>
      </c>
      <c r="AH642" s="13"/>
      <c r="AI642" s="12"/>
      <c r="AJ642" s="12"/>
      <c r="AK642" s="12"/>
      <c r="AL642" s="12"/>
      <c r="AM642" s="12"/>
      <c r="AN642" s="12"/>
      <c r="AO642" s="12"/>
      <c r="AP642" s="12"/>
    </row>
    <row r="643" spans="1:42" ht="60">
      <c r="A643" t="s">
        <v>2323</v>
      </c>
      <c r="B643" s="8">
        <v>242290</v>
      </c>
      <c r="C643" s="8" t="s">
        <v>2294</v>
      </c>
      <c r="D643" s="8" t="s">
        <v>2324</v>
      </c>
      <c r="E643" s="8" t="s">
        <v>94</v>
      </c>
      <c r="F643" s="8" t="s">
        <v>2325</v>
      </c>
      <c r="G643" s="8" t="s">
        <v>2211</v>
      </c>
      <c r="H643" s="9">
        <v>90000</v>
      </c>
      <c r="I643" s="9">
        <f>[1]!Tabel1[[#This Row],[Honorar]]*[1]!Tabel1[[#This Row],[Sandsynlighed]]</f>
        <v>12000</v>
      </c>
      <c r="J643" s="10" t="s">
        <v>328</v>
      </c>
      <c r="K643" s="10" t="s">
        <v>452</v>
      </c>
      <c r="L643" s="17" t="s">
        <v>2326</v>
      </c>
      <c r="M643" s="11">
        <v>1</v>
      </c>
      <c r="N643" s="1"/>
      <c r="O643" s="10">
        <v>46279.611909722225</v>
      </c>
      <c r="P643" s="1" t="s">
        <v>72</v>
      </c>
      <c r="Q643" s="1" t="s">
        <v>46</v>
      </c>
      <c r="R643" s="8" t="s">
        <v>47</v>
      </c>
      <c r="S64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1332.1167883211679</v>
      </c>
      <c r="T64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4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4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4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4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4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4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4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4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4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4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4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43" s="12">
        <f ca="1">[1]!Tabel1[[#This Row],[Vægtet Honorar]]*([1]!Tabel1[[#This Row],[Sidst redigeret]]&gt;TODAY()-40)*([1]!Tabel1[[#This Row],[Er i resplan?]]&lt;&gt;"Ja")*([1]!Tabel1[[#This Row],[Status]]="Pågår")</f>
        <v>0</v>
      </c>
      <c r="AG643" s="12">
        <f ca="1">[1]!Tabel1[[#This Row],[Vægtet Honorar]]*([1]!Tabel1[[#This Row],[Sidst redigeret]]&gt;TODAY()-40)*([1]!Tabel1[[#This Row],[Status]]="Pågår")</f>
        <v>0</v>
      </c>
      <c r="AH643" s="13"/>
      <c r="AI643" s="12"/>
      <c r="AJ643" s="12"/>
      <c r="AK643" s="12"/>
      <c r="AL643" s="12"/>
      <c r="AM643" s="12"/>
      <c r="AN643" s="12"/>
      <c r="AO643" s="12"/>
      <c r="AP643" s="12"/>
    </row>
    <row r="644" spans="1:42" ht="30">
      <c r="A644" t="s">
        <v>2327</v>
      </c>
      <c r="B644" s="8"/>
      <c r="C644" s="8" t="s">
        <v>2328</v>
      </c>
      <c r="D644" s="8" t="s">
        <v>815</v>
      </c>
      <c r="E644" s="8" t="s">
        <v>167</v>
      </c>
      <c r="F644" s="8" t="s">
        <v>671</v>
      </c>
      <c r="G644" s="8" t="s">
        <v>671</v>
      </c>
      <c r="H644" s="9">
        <v>900000</v>
      </c>
      <c r="I644" s="9">
        <f>[1]!Tabel1[[#This Row],[Honorar]]*[1]!Tabel1[[#This Row],[Sandsynlighed]]</f>
        <v>12000</v>
      </c>
      <c r="J644" s="10" t="s">
        <v>584</v>
      </c>
      <c r="K644" s="10" t="s">
        <v>328</v>
      </c>
      <c r="L644" s="17" t="s">
        <v>2329</v>
      </c>
      <c r="M644" s="11">
        <v>0.33</v>
      </c>
      <c r="N644" s="1"/>
      <c r="O644" s="10">
        <v>46279.611909722225</v>
      </c>
      <c r="P644" s="10"/>
      <c r="Q644" s="1" t="s">
        <v>72</v>
      </c>
      <c r="R644" s="8" t="s">
        <v>75</v>
      </c>
      <c r="S64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1332.1167883211679</v>
      </c>
      <c r="T64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4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4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4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4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4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4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4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4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4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4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4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44" s="12">
        <f ca="1">[1]!Tabel1[[#This Row],[Vægtet Honorar]]*([1]!Tabel1[[#This Row],[Sidst redigeret]]&gt;TODAY()-40)*([1]!Tabel1[[#This Row],[Er i resplan?]]&lt;&gt;"Ja")*([1]!Tabel1[[#This Row],[Status]]="Pågår")</f>
        <v>0</v>
      </c>
      <c r="AG644" s="12">
        <f ca="1">[1]!Tabel1[[#This Row],[Vægtet Honorar]]*([1]!Tabel1[[#This Row],[Sidst redigeret]]&gt;TODAY()-40)*([1]!Tabel1[[#This Row],[Status]]="Pågår")</f>
        <v>0</v>
      </c>
      <c r="AH644" s="13"/>
      <c r="AI644" s="12"/>
      <c r="AJ644" s="12"/>
      <c r="AK644" s="12"/>
      <c r="AL644" s="12"/>
      <c r="AM644" s="12"/>
      <c r="AN644" s="12"/>
      <c r="AO644" s="12"/>
      <c r="AP644" s="12"/>
    </row>
    <row r="645" spans="1:42" ht="60">
      <c r="A645" t="s">
        <v>2330</v>
      </c>
      <c r="B645" s="8">
        <v>241087</v>
      </c>
      <c r="C645" s="8" t="s">
        <v>2331</v>
      </c>
      <c r="D645" s="8" t="s">
        <v>119</v>
      </c>
      <c r="E645" s="8" t="s">
        <v>71</v>
      </c>
      <c r="F645" s="8" t="s">
        <v>2332</v>
      </c>
      <c r="G645" s="8" t="s">
        <v>2332</v>
      </c>
      <c r="H645" s="9">
        <v>100000</v>
      </c>
      <c r="I645" s="9">
        <f>[1]!Tabel1[[#This Row],[Honorar]]*[1]!Tabel1[[#This Row],[Sandsynlighed]]</f>
        <v>360000</v>
      </c>
      <c r="J645" s="10" t="s">
        <v>328</v>
      </c>
      <c r="K645" s="10" t="s">
        <v>328</v>
      </c>
      <c r="L645" s="17" t="s">
        <v>2333</v>
      </c>
      <c r="M645" s="11">
        <v>1</v>
      </c>
      <c r="N645" s="1"/>
      <c r="O645" s="10">
        <v>46279.611909722225</v>
      </c>
      <c r="P645" s="10"/>
      <c r="Q645" s="1" t="s">
        <v>46</v>
      </c>
      <c r="R645" s="8" t="s">
        <v>47</v>
      </c>
      <c r="S64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39963.503649635037</v>
      </c>
      <c r="T64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4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4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4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4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4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4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4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4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4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4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4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45" s="12">
        <f ca="1">[1]!Tabel1[[#This Row],[Vægtet Honorar]]*([1]!Tabel1[[#This Row],[Sidst redigeret]]&gt;TODAY()-40)*([1]!Tabel1[[#This Row],[Er i resplan?]]&lt;&gt;"Ja")*([1]!Tabel1[[#This Row],[Status]]="Pågår")</f>
        <v>360000</v>
      </c>
      <c r="AG645" s="12">
        <f ca="1">[1]!Tabel1[[#This Row],[Vægtet Honorar]]*([1]!Tabel1[[#This Row],[Sidst redigeret]]&gt;TODAY()-40)*([1]!Tabel1[[#This Row],[Status]]="Pågår")</f>
        <v>360000</v>
      </c>
      <c r="AH645" s="13"/>
      <c r="AI645" s="12"/>
      <c r="AJ645" s="12"/>
      <c r="AK645" s="12"/>
      <c r="AL645" s="12"/>
      <c r="AM645" s="12"/>
      <c r="AN645" s="12"/>
      <c r="AO645" s="12"/>
      <c r="AP645" s="12"/>
    </row>
    <row r="646" spans="1:42">
      <c r="A646" t="s">
        <v>2334</v>
      </c>
      <c r="B646" s="8"/>
      <c r="C646" s="8" t="s">
        <v>2335</v>
      </c>
      <c r="D646" s="8" t="s">
        <v>158</v>
      </c>
      <c r="E646" s="8" t="s">
        <v>167</v>
      </c>
      <c r="F646" s="8" t="s">
        <v>1357</v>
      </c>
      <c r="G646" s="8" t="s">
        <v>1357</v>
      </c>
      <c r="H646" s="9">
        <v>150000</v>
      </c>
      <c r="I646" s="9">
        <f>[1]!Tabel1[[#This Row],[Honorar]]*[1]!Tabel1[[#This Row],[Sandsynlighed]]</f>
        <v>25600</v>
      </c>
      <c r="J646" s="10" t="s">
        <v>584</v>
      </c>
      <c r="K646" s="10" t="s">
        <v>328</v>
      </c>
      <c r="L646" s="17"/>
      <c r="M646" s="11">
        <v>0.25</v>
      </c>
      <c r="N646" s="1"/>
      <c r="O646" s="10">
        <v>46279.611909722225</v>
      </c>
      <c r="P646" s="10"/>
      <c r="Q646" s="1" t="s">
        <v>72</v>
      </c>
      <c r="R646" s="8" t="s">
        <v>49</v>
      </c>
      <c r="S64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4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4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4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4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4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4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4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4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4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4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4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4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46" s="12">
        <f ca="1">[1]!Tabel1[[#This Row],[Vægtet Honorar]]*([1]!Tabel1[[#This Row],[Sidst redigeret]]&gt;TODAY()-40)*([1]!Tabel1[[#This Row],[Er i resplan?]]&lt;&gt;"Ja")*([1]!Tabel1[[#This Row],[Status]]="Pågår")</f>
        <v>0</v>
      </c>
      <c r="AG646" s="12">
        <f ca="1">[1]!Tabel1[[#This Row],[Vægtet Honorar]]*([1]!Tabel1[[#This Row],[Sidst redigeret]]&gt;TODAY()-40)*([1]!Tabel1[[#This Row],[Status]]="Pågår")</f>
        <v>0</v>
      </c>
      <c r="AH646" s="13"/>
      <c r="AI646" s="12"/>
      <c r="AJ646" s="12"/>
      <c r="AK646" s="12"/>
      <c r="AL646" s="12"/>
      <c r="AM646" s="12"/>
      <c r="AN646" s="12"/>
      <c r="AO646" s="12"/>
      <c r="AP646" s="12"/>
    </row>
    <row r="647" spans="1:42">
      <c r="A647" t="s">
        <v>2336</v>
      </c>
      <c r="B647" s="8"/>
      <c r="C647" s="8" t="s">
        <v>2337</v>
      </c>
      <c r="D647" s="8" t="s">
        <v>1886</v>
      </c>
      <c r="E647" s="8" t="s">
        <v>94</v>
      </c>
      <c r="F647" s="8" t="s">
        <v>2338</v>
      </c>
      <c r="G647" s="8" t="s">
        <v>2338</v>
      </c>
      <c r="H647" s="9">
        <v>20000</v>
      </c>
      <c r="I647" s="9">
        <f>[1]!Tabel1[[#This Row],[Honorar]]*[1]!Tabel1[[#This Row],[Sandsynlighed]]</f>
        <v>80000</v>
      </c>
      <c r="J647" s="10" t="s">
        <v>584</v>
      </c>
      <c r="K647" s="10" t="s">
        <v>328</v>
      </c>
      <c r="L647" s="17"/>
      <c r="M647" s="11">
        <v>0.9</v>
      </c>
      <c r="N647" s="1"/>
      <c r="O647" s="10">
        <v>46279.611909722225</v>
      </c>
      <c r="P647" s="1" t="s">
        <v>72</v>
      </c>
      <c r="Q647" s="1" t="s">
        <v>72</v>
      </c>
      <c r="R647" s="8" t="s">
        <v>47</v>
      </c>
      <c r="S64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4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4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4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4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4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4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4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4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4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4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4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4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47" s="12">
        <f ca="1">[1]!Tabel1[[#This Row],[Vægtet Honorar]]*([1]!Tabel1[[#This Row],[Sidst redigeret]]&gt;TODAY()-40)*([1]!Tabel1[[#This Row],[Er i resplan?]]&lt;&gt;"Ja")*([1]!Tabel1[[#This Row],[Status]]="Pågår")</f>
        <v>0</v>
      </c>
      <c r="AG647" s="12">
        <f ca="1">[1]!Tabel1[[#This Row],[Vægtet Honorar]]*([1]!Tabel1[[#This Row],[Sidst redigeret]]&gt;TODAY()-40)*([1]!Tabel1[[#This Row],[Status]]="Pågår")</f>
        <v>0</v>
      </c>
      <c r="AH647" s="13"/>
      <c r="AI647" s="12"/>
      <c r="AJ647" s="12"/>
      <c r="AK647" s="12"/>
      <c r="AL647" s="12"/>
      <c r="AM647" s="12"/>
      <c r="AN647" s="12"/>
      <c r="AO647" s="12"/>
      <c r="AP647" s="12"/>
    </row>
    <row r="648" spans="1:42">
      <c r="A648" t="s">
        <v>2339</v>
      </c>
      <c r="B648" s="8"/>
      <c r="C648" s="8" t="s">
        <v>2340</v>
      </c>
      <c r="D648" s="8" t="s">
        <v>1886</v>
      </c>
      <c r="E648" s="8" t="s">
        <v>94</v>
      </c>
      <c r="F648" s="8" t="s">
        <v>2341</v>
      </c>
      <c r="G648" s="8" t="s">
        <v>2341</v>
      </c>
      <c r="H648" s="9">
        <v>200000</v>
      </c>
      <c r="I648" s="9">
        <f>[1]!Tabel1[[#This Row],[Honorar]]*[1]!Tabel1[[#This Row],[Sandsynlighed]]</f>
        <v>90000</v>
      </c>
      <c r="J648" s="10" t="s">
        <v>584</v>
      </c>
      <c r="K648" s="10" t="s">
        <v>328</v>
      </c>
      <c r="L648" s="17"/>
      <c r="M648" s="11">
        <v>0.9</v>
      </c>
      <c r="N648" s="1"/>
      <c r="O648" s="10">
        <v>46279.611909722225</v>
      </c>
      <c r="P648" s="1" t="s">
        <v>72</v>
      </c>
      <c r="Q648" s="1" t="s">
        <v>46</v>
      </c>
      <c r="R648" s="8" t="s">
        <v>47</v>
      </c>
      <c r="S64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4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4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4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4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4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4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4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4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4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4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4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4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48" s="12">
        <f ca="1">[1]!Tabel1[[#This Row],[Vægtet Honorar]]*([1]!Tabel1[[#This Row],[Sidst redigeret]]&gt;TODAY()-40)*([1]!Tabel1[[#This Row],[Er i resplan?]]&lt;&gt;"Ja")*([1]!Tabel1[[#This Row],[Status]]="Pågår")</f>
        <v>0</v>
      </c>
      <c r="AG648" s="12">
        <f ca="1">[1]!Tabel1[[#This Row],[Vægtet Honorar]]*([1]!Tabel1[[#This Row],[Sidst redigeret]]&gt;TODAY()-40)*([1]!Tabel1[[#This Row],[Status]]="Pågår")</f>
        <v>0</v>
      </c>
      <c r="AH648" s="13"/>
      <c r="AI648" s="12"/>
      <c r="AJ648" s="12"/>
      <c r="AK648" s="12"/>
      <c r="AL648" s="12"/>
      <c r="AM648" s="12"/>
      <c r="AN648" s="12"/>
      <c r="AO648" s="12"/>
      <c r="AP648" s="12"/>
    </row>
    <row r="649" spans="1:42">
      <c r="A649" t="s">
        <v>2342</v>
      </c>
      <c r="B649" s="8"/>
      <c r="C649" s="8" t="s">
        <v>2343</v>
      </c>
      <c r="D649" s="8" t="s">
        <v>2324</v>
      </c>
      <c r="E649" s="8" t="s">
        <v>94</v>
      </c>
      <c r="F649" s="8" t="s">
        <v>2344</v>
      </c>
      <c r="G649" s="8" t="s">
        <v>2345</v>
      </c>
      <c r="H649" s="9">
        <v>100000</v>
      </c>
      <c r="I649" s="9">
        <f>[1]!Tabel1[[#This Row],[Honorar]]*[1]!Tabel1[[#This Row],[Sandsynlighed]]</f>
        <v>297000</v>
      </c>
      <c r="J649" s="10" t="s">
        <v>328</v>
      </c>
      <c r="K649" s="10" t="s">
        <v>612</v>
      </c>
      <c r="L649" s="17"/>
      <c r="M649" s="11">
        <v>0.3</v>
      </c>
      <c r="N649" s="1"/>
      <c r="O649" s="10">
        <v>46279.611909722225</v>
      </c>
      <c r="P649" s="1" t="s">
        <v>72</v>
      </c>
      <c r="Q649" s="1" t="s">
        <v>72</v>
      </c>
      <c r="R649" s="8" t="s">
        <v>47</v>
      </c>
      <c r="S64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4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4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4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4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4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4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4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4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4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4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4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4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49" s="12">
        <f ca="1">[1]!Tabel1[[#This Row],[Vægtet Honorar]]*([1]!Tabel1[[#This Row],[Sidst redigeret]]&gt;TODAY()-40)*([1]!Tabel1[[#This Row],[Er i resplan?]]&lt;&gt;"Ja")*([1]!Tabel1[[#This Row],[Status]]="Pågår")</f>
        <v>0</v>
      </c>
      <c r="AG649" s="12">
        <f ca="1">[1]!Tabel1[[#This Row],[Vægtet Honorar]]*([1]!Tabel1[[#This Row],[Sidst redigeret]]&gt;TODAY()-40)*([1]!Tabel1[[#This Row],[Status]]="Pågår")</f>
        <v>0</v>
      </c>
      <c r="AH649" s="13"/>
      <c r="AI649" s="12"/>
      <c r="AJ649" s="12"/>
      <c r="AK649" s="12"/>
      <c r="AL649" s="12"/>
      <c r="AM649" s="12"/>
      <c r="AN649" s="12"/>
      <c r="AO649" s="12"/>
      <c r="AP649" s="12"/>
    </row>
    <row r="650" spans="1:42">
      <c r="A650" t="s">
        <v>2346</v>
      </c>
      <c r="B650" s="8"/>
      <c r="C650" s="8" t="s">
        <v>2347</v>
      </c>
      <c r="D650" s="8" t="s">
        <v>57</v>
      </c>
      <c r="E650" s="8" t="s">
        <v>94</v>
      </c>
      <c r="F650" s="8" t="s">
        <v>2348</v>
      </c>
      <c r="G650" s="8" t="s">
        <v>2349</v>
      </c>
      <c r="H650" s="9">
        <v>3000000</v>
      </c>
      <c r="I650" s="9">
        <f>[1]!Tabel1[[#This Row],[Honorar]]*[1]!Tabel1[[#This Row],[Sandsynlighed]]</f>
        <v>100000</v>
      </c>
      <c r="J650" s="10" t="s">
        <v>328</v>
      </c>
      <c r="K650" s="10" t="s">
        <v>1287</v>
      </c>
      <c r="L650" s="17" t="s">
        <v>2350</v>
      </c>
      <c r="M650" s="11">
        <v>0.02</v>
      </c>
      <c r="N650" s="1"/>
      <c r="O650" s="10">
        <v>46279.611909722225</v>
      </c>
      <c r="P650" s="1" t="s">
        <v>72</v>
      </c>
      <c r="Q650" s="1" t="s">
        <v>72</v>
      </c>
      <c r="R650" s="8" t="s">
        <v>75</v>
      </c>
      <c r="S65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5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5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5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5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5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5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5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5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5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5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5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5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50" s="12">
        <f ca="1">[1]!Tabel1[[#This Row],[Vægtet Honorar]]*([1]!Tabel1[[#This Row],[Sidst redigeret]]&gt;TODAY()-40)*([1]!Tabel1[[#This Row],[Er i resplan?]]&lt;&gt;"Ja")*([1]!Tabel1[[#This Row],[Status]]="Pågår")</f>
        <v>0</v>
      </c>
      <c r="AG650" s="12">
        <f ca="1">[1]!Tabel1[[#This Row],[Vægtet Honorar]]*([1]!Tabel1[[#This Row],[Sidst redigeret]]&gt;TODAY()-40)*([1]!Tabel1[[#This Row],[Status]]="Pågår")</f>
        <v>0</v>
      </c>
      <c r="AH650" s="13"/>
      <c r="AI650" s="12"/>
      <c r="AJ650" s="12" t="s">
        <v>1737</v>
      </c>
      <c r="AK650" s="12"/>
      <c r="AL650" s="12"/>
      <c r="AM650" s="12"/>
      <c r="AN650" s="12" t="s">
        <v>2351</v>
      </c>
      <c r="AO650" s="12"/>
      <c r="AP650" s="12"/>
    </row>
    <row r="651" spans="1:42" ht="90">
      <c r="A651" t="s">
        <v>2352</v>
      </c>
      <c r="B651" s="8"/>
      <c r="C651" s="8" t="s">
        <v>2353</v>
      </c>
      <c r="D651" s="8" t="s">
        <v>298</v>
      </c>
      <c r="E651" s="8" t="s">
        <v>167</v>
      </c>
      <c r="F651" s="8" t="s">
        <v>2354</v>
      </c>
      <c r="G651" s="8" t="s">
        <v>2355</v>
      </c>
      <c r="H651" s="9">
        <v>4840000</v>
      </c>
      <c r="I651" s="9">
        <f>[1]!Tabel1[[#This Row],[Honorar]]*[1]!Tabel1[[#This Row],[Sandsynlighed]]</f>
        <v>37500</v>
      </c>
      <c r="J651" s="10" t="s">
        <v>452</v>
      </c>
      <c r="K651" s="10" t="s">
        <v>1287</v>
      </c>
      <c r="L651" s="17" t="s">
        <v>2356</v>
      </c>
      <c r="M651" s="11">
        <v>0.25</v>
      </c>
      <c r="N651" s="1">
        <v>10000</v>
      </c>
      <c r="O651" s="10">
        <v>46279.611909722225</v>
      </c>
      <c r="P651" s="10"/>
      <c r="Q651" s="1" t="s">
        <v>72</v>
      </c>
      <c r="R651" s="8" t="s">
        <v>343</v>
      </c>
      <c r="S65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6301.7955801104981</v>
      </c>
      <c r="T65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5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5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5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5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5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5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5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5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5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5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5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51" s="12">
        <f ca="1">[1]!Tabel1[[#This Row],[Vægtet Honorar]]*([1]!Tabel1[[#This Row],[Sidst redigeret]]&gt;TODAY()-40)*([1]!Tabel1[[#This Row],[Er i resplan?]]&lt;&gt;"Ja")*([1]!Tabel1[[#This Row],[Status]]="Pågår")</f>
        <v>0</v>
      </c>
      <c r="AG651" s="12">
        <f ca="1">[1]!Tabel1[[#This Row],[Vægtet Honorar]]*([1]!Tabel1[[#This Row],[Sidst redigeret]]&gt;TODAY()-40)*([1]!Tabel1[[#This Row],[Status]]="Pågår")</f>
        <v>0</v>
      </c>
      <c r="AH651" s="13"/>
      <c r="AI651" s="12"/>
      <c r="AJ651" s="12" t="s">
        <v>2355</v>
      </c>
      <c r="AK651" s="12" t="s">
        <v>2357</v>
      </c>
      <c r="AL651" s="12"/>
      <c r="AM651" s="12"/>
      <c r="AN651" s="12"/>
      <c r="AO651" s="12"/>
      <c r="AP651" s="12"/>
    </row>
    <row r="652" spans="1:42">
      <c r="A652" t="s">
        <v>2358</v>
      </c>
      <c r="B652" s="8"/>
      <c r="C652" s="8" t="s">
        <v>2359</v>
      </c>
      <c r="D652" s="8" t="s">
        <v>158</v>
      </c>
      <c r="E652" s="8" t="s">
        <v>167</v>
      </c>
      <c r="F652" s="8" t="s">
        <v>1357</v>
      </c>
      <c r="G652" s="8" t="s">
        <v>1256</v>
      </c>
      <c r="H652" s="9">
        <v>100000</v>
      </c>
      <c r="I652" s="9">
        <f>[1]!Tabel1[[#This Row],[Honorar]]*[1]!Tabel1[[#This Row],[Sandsynlighed]]</f>
        <v>18000</v>
      </c>
      <c r="J652" s="10" t="s">
        <v>1257</v>
      </c>
      <c r="K652" s="10" t="s">
        <v>452</v>
      </c>
      <c r="L652" s="17"/>
      <c r="M652" s="11">
        <v>0.75</v>
      </c>
      <c r="N652" s="1"/>
      <c r="O652" s="10">
        <v>46279.611909722225</v>
      </c>
      <c r="P652" s="10"/>
      <c r="Q652" s="1" t="s">
        <v>46</v>
      </c>
      <c r="R652" s="8" t="s">
        <v>47</v>
      </c>
      <c r="S65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3024.8618784530386</v>
      </c>
      <c r="T65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5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5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5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5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5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5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5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5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5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5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5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52" s="12">
        <f ca="1">[1]!Tabel1[[#This Row],[Vægtet Honorar]]*([1]!Tabel1[[#This Row],[Sidst redigeret]]&gt;TODAY()-40)*([1]!Tabel1[[#This Row],[Er i resplan?]]&lt;&gt;"Ja")*([1]!Tabel1[[#This Row],[Status]]="Pågår")</f>
        <v>0</v>
      </c>
      <c r="AG652" s="12">
        <f ca="1">[1]!Tabel1[[#This Row],[Vægtet Honorar]]*([1]!Tabel1[[#This Row],[Sidst redigeret]]&gt;TODAY()-40)*([1]!Tabel1[[#This Row],[Status]]="Pågår")</f>
        <v>0</v>
      </c>
      <c r="AH652" s="13"/>
      <c r="AI652" s="12"/>
      <c r="AJ652" s="12"/>
      <c r="AK652" s="12"/>
      <c r="AL652" s="12"/>
      <c r="AM652" s="12"/>
      <c r="AN652" s="12"/>
      <c r="AO652" s="12"/>
      <c r="AP652" s="12"/>
    </row>
    <row r="653" spans="1:42">
      <c r="A653" t="s">
        <v>2360</v>
      </c>
      <c r="B653" s="8"/>
      <c r="C653" s="8" t="s">
        <v>2361</v>
      </c>
      <c r="D653" s="8" t="s">
        <v>93</v>
      </c>
      <c r="E653" s="8" t="s">
        <v>94</v>
      </c>
      <c r="F653" s="8" t="s">
        <v>2362</v>
      </c>
      <c r="G653" s="8" t="s">
        <v>2269</v>
      </c>
      <c r="H653" s="9">
        <v>50000</v>
      </c>
      <c r="I653" s="9">
        <f>[1]!Tabel1[[#This Row],[Honorar]]*[1]!Tabel1[[#This Row],[Sandsynlighed]]</f>
        <v>180000</v>
      </c>
      <c r="J653" s="10" t="s">
        <v>452</v>
      </c>
      <c r="K653" s="10" t="s">
        <v>612</v>
      </c>
      <c r="L653" s="17"/>
      <c r="M653" s="11">
        <v>0.75</v>
      </c>
      <c r="N653" s="1"/>
      <c r="O653" s="10">
        <v>46279.611909722225</v>
      </c>
      <c r="P653" s="1" t="s">
        <v>72</v>
      </c>
      <c r="Q653" s="1" t="s">
        <v>72</v>
      </c>
      <c r="R653" s="8" t="s">
        <v>49</v>
      </c>
      <c r="S65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5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5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5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5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5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5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5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5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5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5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5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5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53" s="12">
        <f ca="1">[1]!Tabel1[[#This Row],[Vægtet Honorar]]*([1]!Tabel1[[#This Row],[Sidst redigeret]]&gt;TODAY()-40)*([1]!Tabel1[[#This Row],[Er i resplan?]]&lt;&gt;"Ja")*([1]!Tabel1[[#This Row],[Status]]="Pågår")</f>
        <v>0</v>
      </c>
      <c r="AG653" s="12">
        <f ca="1">[1]!Tabel1[[#This Row],[Vægtet Honorar]]*([1]!Tabel1[[#This Row],[Sidst redigeret]]&gt;TODAY()-40)*([1]!Tabel1[[#This Row],[Status]]="Pågår")</f>
        <v>0</v>
      </c>
      <c r="AH653" s="13"/>
      <c r="AI653" s="12"/>
      <c r="AJ653" s="12"/>
      <c r="AK653" s="12"/>
      <c r="AL653" s="12"/>
      <c r="AM653" s="12"/>
      <c r="AN653" s="12"/>
      <c r="AO653" s="12"/>
      <c r="AP653" s="12"/>
    </row>
    <row r="654" spans="1:42">
      <c r="A654" t="s">
        <v>2363</v>
      </c>
      <c r="B654" s="8"/>
      <c r="C654" s="8" t="s">
        <v>2364</v>
      </c>
      <c r="D654" s="8" t="s">
        <v>134</v>
      </c>
      <c r="E654" s="8" t="s">
        <v>94</v>
      </c>
      <c r="F654" s="8" t="s">
        <v>2365</v>
      </c>
      <c r="G654" s="8" t="s">
        <v>2269</v>
      </c>
      <c r="H654" s="9">
        <v>90000</v>
      </c>
      <c r="I654" s="9">
        <f>[1]!Tabel1[[#This Row],[Honorar]]*[1]!Tabel1[[#This Row],[Sandsynlighed]]</f>
        <v>30000</v>
      </c>
      <c r="J654" s="10" t="s">
        <v>328</v>
      </c>
      <c r="K654" s="10" t="s">
        <v>328</v>
      </c>
      <c r="L654" s="17"/>
      <c r="M654" s="11">
        <v>0.5</v>
      </c>
      <c r="N654" s="1"/>
      <c r="O654" s="10">
        <v>46279.611909722225</v>
      </c>
      <c r="P654" s="1" t="s">
        <v>72</v>
      </c>
      <c r="Q654" s="1" t="s">
        <v>72</v>
      </c>
      <c r="R654" s="8" t="s">
        <v>75</v>
      </c>
      <c r="S65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3330.2919708029199</v>
      </c>
      <c r="T65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5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5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5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5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5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5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5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5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5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5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5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54" s="12">
        <f ca="1">[1]!Tabel1[[#This Row],[Vægtet Honorar]]*([1]!Tabel1[[#This Row],[Sidst redigeret]]&gt;TODAY()-40)*([1]!Tabel1[[#This Row],[Er i resplan?]]&lt;&gt;"Ja")*([1]!Tabel1[[#This Row],[Status]]="Pågår")</f>
        <v>0</v>
      </c>
      <c r="AG654" s="12">
        <f ca="1">[1]!Tabel1[[#This Row],[Vægtet Honorar]]*([1]!Tabel1[[#This Row],[Sidst redigeret]]&gt;TODAY()-40)*([1]!Tabel1[[#This Row],[Status]]="Pågår")</f>
        <v>0</v>
      </c>
      <c r="AH654" s="13"/>
      <c r="AI654" s="12"/>
      <c r="AJ654" s="12"/>
      <c r="AK654" s="12"/>
      <c r="AL654" s="12"/>
      <c r="AM654" s="12"/>
      <c r="AN654" s="12"/>
      <c r="AO654" s="12"/>
      <c r="AP654" s="12"/>
    </row>
    <row r="655" spans="1:42" ht="30">
      <c r="A655" t="s">
        <v>2366</v>
      </c>
      <c r="B655" s="8"/>
      <c r="C655" s="8" t="s">
        <v>2367</v>
      </c>
      <c r="D655" s="8" t="s">
        <v>2368</v>
      </c>
      <c r="E655" s="8" t="s">
        <v>94</v>
      </c>
      <c r="F655" s="8" t="s">
        <v>844</v>
      </c>
      <c r="G655" s="8" t="s">
        <v>844</v>
      </c>
      <c r="H655" s="9">
        <v>1000000</v>
      </c>
      <c r="I655" s="9">
        <f>[1]!Tabel1[[#This Row],[Honorar]]*[1]!Tabel1[[#This Row],[Sandsynlighed]]</f>
        <v>60000</v>
      </c>
      <c r="J655" s="10" t="s">
        <v>452</v>
      </c>
      <c r="K655" s="10" t="s">
        <v>612</v>
      </c>
      <c r="L655" s="17" t="s">
        <v>2369</v>
      </c>
      <c r="M655" s="11">
        <v>0.2</v>
      </c>
      <c r="N655" s="1">
        <v>80000</v>
      </c>
      <c r="O655" s="10">
        <v>46279.611909722225</v>
      </c>
      <c r="P655" s="1" t="s">
        <v>72</v>
      </c>
      <c r="Q655" s="1" t="s">
        <v>72</v>
      </c>
      <c r="R655" s="8" t="s">
        <v>75</v>
      </c>
      <c r="S65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5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5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5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5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5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5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5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5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5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5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5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5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55" s="12">
        <f ca="1">[1]!Tabel1[[#This Row],[Vægtet Honorar]]*([1]!Tabel1[[#This Row],[Sidst redigeret]]&gt;TODAY()-40)*([1]!Tabel1[[#This Row],[Er i resplan?]]&lt;&gt;"Ja")*([1]!Tabel1[[#This Row],[Status]]="Pågår")</f>
        <v>0</v>
      </c>
      <c r="AG655" s="12">
        <f ca="1">[1]!Tabel1[[#This Row],[Vægtet Honorar]]*([1]!Tabel1[[#This Row],[Sidst redigeret]]&gt;TODAY()-40)*([1]!Tabel1[[#This Row],[Status]]="Pågår")</f>
        <v>0</v>
      </c>
      <c r="AH655" s="13"/>
      <c r="AI655" s="12"/>
      <c r="AJ655" s="12"/>
      <c r="AK655" s="12"/>
      <c r="AL655" s="12"/>
      <c r="AM655" s="12"/>
      <c r="AN655" s="12"/>
      <c r="AO655" s="12"/>
      <c r="AP655" s="12"/>
    </row>
    <row r="656" spans="1:42" ht="75">
      <c r="A656" t="s">
        <v>2370</v>
      </c>
      <c r="B656" s="8"/>
      <c r="C656" s="8" t="s">
        <v>2371</v>
      </c>
      <c r="D656" s="8" t="s">
        <v>2372</v>
      </c>
      <c r="E656" s="8" t="s">
        <v>94</v>
      </c>
      <c r="F656" s="8" t="s">
        <v>968</v>
      </c>
      <c r="G656" s="8" t="s">
        <v>968</v>
      </c>
      <c r="H656" s="9">
        <v>2000000</v>
      </c>
      <c r="I656" s="9">
        <f>[1]!Tabel1[[#This Row],[Honorar]]*[1]!Tabel1[[#This Row],[Sandsynlighed]]</f>
        <v>1210000</v>
      </c>
      <c r="J656" s="10" t="s">
        <v>452</v>
      </c>
      <c r="K656" s="10" t="s">
        <v>452</v>
      </c>
      <c r="L656" s="17" t="s">
        <v>2373</v>
      </c>
      <c r="M656" s="11">
        <v>0.05</v>
      </c>
      <c r="N656" s="1"/>
      <c r="O656" s="10">
        <v>46279.611909722225</v>
      </c>
      <c r="P656" s="1" t="s">
        <v>72</v>
      </c>
      <c r="Q656" s="1" t="s">
        <v>72</v>
      </c>
      <c r="R656" s="8" t="s">
        <v>49</v>
      </c>
      <c r="S65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80710.891812865491</v>
      </c>
      <c r="T65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5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5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5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5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5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5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5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5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5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5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5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56" s="12">
        <f ca="1">[1]!Tabel1[[#This Row],[Vægtet Honorar]]*([1]!Tabel1[[#This Row],[Sidst redigeret]]&gt;TODAY()-40)*([1]!Tabel1[[#This Row],[Er i resplan?]]&lt;&gt;"Ja")*([1]!Tabel1[[#This Row],[Status]]="Pågår")</f>
        <v>1210000</v>
      </c>
      <c r="AG656" s="12">
        <f ca="1">[1]!Tabel1[[#This Row],[Vægtet Honorar]]*([1]!Tabel1[[#This Row],[Sidst redigeret]]&gt;TODAY()-40)*([1]!Tabel1[[#This Row],[Status]]="Pågår")</f>
        <v>1210000</v>
      </c>
      <c r="AH656" s="13"/>
      <c r="AI656" s="12"/>
      <c r="AJ656" s="12" t="s">
        <v>767</v>
      </c>
      <c r="AK656" s="12" t="s">
        <v>2374</v>
      </c>
      <c r="AL656" s="12"/>
      <c r="AM656" s="12"/>
      <c r="AN656" s="12"/>
      <c r="AO656" s="12"/>
      <c r="AP656" s="12"/>
    </row>
    <row r="657" spans="1:42">
      <c r="A657" t="s">
        <v>2375</v>
      </c>
      <c r="B657" s="8"/>
      <c r="C657" s="8" t="s">
        <v>2376</v>
      </c>
      <c r="D657" s="8" t="s">
        <v>2377</v>
      </c>
      <c r="E657" s="8" t="s">
        <v>94</v>
      </c>
      <c r="F657" s="8" t="s">
        <v>2378</v>
      </c>
      <c r="G657" s="8" t="s">
        <v>968</v>
      </c>
      <c r="H657" s="9">
        <v>20000</v>
      </c>
      <c r="I657" s="9">
        <f>[1]!Tabel1[[#This Row],[Honorar]]*[1]!Tabel1[[#This Row],[Sandsynlighed]]</f>
        <v>75000</v>
      </c>
      <c r="J657" s="10" t="s">
        <v>328</v>
      </c>
      <c r="K657" s="10" t="s">
        <v>612</v>
      </c>
      <c r="L657" s="17"/>
      <c r="M657" s="11">
        <v>0.9</v>
      </c>
      <c r="N657" s="1"/>
      <c r="O657" s="10">
        <v>46279.611909722225</v>
      </c>
      <c r="P657" s="1" t="s">
        <v>72</v>
      </c>
      <c r="Q657" s="1" t="s">
        <v>72</v>
      </c>
      <c r="R657" s="8" t="s">
        <v>47</v>
      </c>
      <c r="S65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5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5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5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5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5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5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5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5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5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5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5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5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57" s="12">
        <f ca="1">[1]!Tabel1[[#This Row],[Vægtet Honorar]]*([1]!Tabel1[[#This Row],[Sidst redigeret]]&gt;TODAY()-40)*([1]!Tabel1[[#This Row],[Er i resplan?]]&lt;&gt;"Ja")*([1]!Tabel1[[#This Row],[Status]]="Pågår")</f>
        <v>0</v>
      </c>
      <c r="AG657" s="12">
        <f ca="1">[1]!Tabel1[[#This Row],[Vægtet Honorar]]*([1]!Tabel1[[#This Row],[Sidst redigeret]]&gt;TODAY()-40)*([1]!Tabel1[[#This Row],[Status]]="Pågår")</f>
        <v>0</v>
      </c>
      <c r="AH657" s="13"/>
      <c r="AI657" s="12"/>
      <c r="AJ657" s="12"/>
      <c r="AK657" s="12"/>
      <c r="AL657" s="12"/>
      <c r="AM657" s="12"/>
      <c r="AN657" s="12"/>
      <c r="AO657" s="12"/>
      <c r="AP657" s="12"/>
    </row>
    <row r="658" spans="1:42" ht="60">
      <c r="A658" t="s">
        <v>2379</v>
      </c>
      <c r="B658" s="8"/>
      <c r="C658" s="8" t="s">
        <v>2380</v>
      </c>
      <c r="D658" s="8" t="s">
        <v>2368</v>
      </c>
      <c r="E658" s="8" t="s">
        <v>94</v>
      </c>
      <c r="F658" s="8" t="s">
        <v>968</v>
      </c>
      <c r="G658" s="8" t="s">
        <v>968</v>
      </c>
      <c r="H658" s="9">
        <v>5000000</v>
      </c>
      <c r="I658" s="9">
        <f>[1]!Tabel1[[#This Row],[Honorar]]*[1]!Tabel1[[#This Row],[Sandsynlighed]]</f>
        <v>37500</v>
      </c>
      <c r="J658" s="10" t="s">
        <v>329</v>
      </c>
      <c r="K658" s="10" t="s">
        <v>585</v>
      </c>
      <c r="L658" s="17" t="s">
        <v>2381</v>
      </c>
      <c r="M658" s="11">
        <v>0.1</v>
      </c>
      <c r="N658" s="1">
        <v>2500</v>
      </c>
      <c r="O658" s="10">
        <v>46279.611909722225</v>
      </c>
      <c r="P658" s="1" t="s">
        <v>72</v>
      </c>
      <c r="Q658" s="1" t="s">
        <v>72</v>
      </c>
      <c r="R658" s="8" t="s">
        <v>49</v>
      </c>
      <c r="S65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6232.9234972677596</v>
      </c>
      <c r="T65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5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5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5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5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5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5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5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5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5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5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5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58" s="12">
        <f ca="1">[1]!Tabel1[[#This Row],[Vægtet Honorar]]*([1]!Tabel1[[#This Row],[Sidst redigeret]]&gt;TODAY()-40)*([1]!Tabel1[[#This Row],[Er i resplan?]]&lt;&gt;"Ja")*([1]!Tabel1[[#This Row],[Status]]="Pågår")</f>
        <v>0</v>
      </c>
      <c r="AG658" s="12">
        <f ca="1">[1]!Tabel1[[#This Row],[Vægtet Honorar]]*([1]!Tabel1[[#This Row],[Sidst redigeret]]&gt;TODAY()-40)*([1]!Tabel1[[#This Row],[Status]]="Pågår")</f>
        <v>0</v>
      </c>
      <c r="AH658" s="13"/>
      <c r="AI658" s="12"/>
      <c r="AJ658" s="12" t="s">
        <v>767</v>
      </c>
      <c r="AK658" s="12" t="s">
        <v>2382</v>
      </c>
      <c r="AL658" s="12"/>
      <c r="AM658" s="12"/>
      <c r="AN658" s="12"/>
      <c r="AO658" s="12"/>
      <c r="AP658" s="12"/>
    </row>
    <row r="659" spans="1:42">
      <c r="A659" t="s">
        <v>2383</v>
      </c>
      <c r="B659" s="8"/>
      <c r="C659" s="8" t="s">
        <v>2384</v>
      </c>
      <c r="D659" s="8" t="s">
        <v>1886</v>
      </c>
      <c r="E659" s="8" t="s">
        <v>94</v>
      </c>
      <c r="F659" s="8" t="s">
        <v>2385</v>
      </c>
      <c r="G659" s="8" t="s">
        <v>2386</v>
      </c>
      <c r="H659" s="9">
        <v>20000</v>
      </c>
      <c r="I659" s="9">
        <f>[1]!Tabel1[[#This Row],[Honorar]]*[1]!Tabel1[[#This Row],[Sandsynlighed]]</f>
        <v>45000</v>
      </c>
      <c r="J659" s="10" t="s">
        <v>584</v>
      </c>
      <c r="K659" s="10" t="s">
        <v>328</v>
      </c>
      <c r="L659" s="17"/>
      <c r="M659" s="11">
        <v>0.8</v>
      </c>
      <c r="N659" s="1"/>
      <c r="O659" s="10">
        <v>46279.611909722225</v>
      </c>
      <c r="P659" s="1" t="s">
        <v>72</v>
      </c>
      <c r="Q659" s="1" t="s">
        <v>46</v>
      </c>
      <c r="R659" s="8" t="s">
        <v>47</v>
      </c>
      <c r="S65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5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5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5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5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5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5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5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5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5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5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5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5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59" s="12">
        <f ca="1">[1]!Tabel1[[#This Row],[Vægtet Honorar]]*([1]!Tabel1[[#This Row],[Sidst redigeret]]&gt;TODAY()-40)*([1]!Tabel1[[#This Row],[Er i resplan?]]&lt;&gt;"Ja")*([1]!Tabel1[[#This Row],[Status]]="Pågår")</f>
        <v>0</v>
      </c>
      <c r="AG659" s="12">
        <f ca="1">[1]!Tabel1[[#This Row],[Vægtet Honorar]]*([1]!Tabel1[[#This Row],[Sidst redigeret]]&gt;TODAY()-40)*([1]!Tabel1[[#This Row],[Status]]="Pågår")</f>
        <v>0</v>
      </c>
      <c r="AH659" s="13"/>
      <c r="AI659" s="12"/>
      <c r="AJ659" s="12"/>
      <c r="AK659" s="12"/>
      <c r="AL659" s="12"/>
      <c r="AM659" s="12"/>
      <c r="AN659" s="12"/>
      <c r="AO659" s="12"/>
      <c r="AP659" s="12"/>
    </row>
    <row r="660" spans="1:42">
      <c r="A660" t="s">
        <v>2387</v>
      </c>
      <c r="B660" s="8"/>
      <c r="C660" s="8" t="s">
        <v>2388</v>
      </c>
      <c r="D660" s="8" t="s">
        <v>1886</v>
      </c>
      <c r="E660" s="8" t="s">
        <v>94</v>
      </c>
      <c r="F660" s="8" t="s">
        <v>2341</v>
      </c>
      <c r="G660" s="8" t="s">
        <v>2341</v>
      </c>
      <c r="H660" s="9">
        <v>40000</v>
      </c>
      <c r="I660" s="9">
        <f>[1]!Tabel1[[#This Row],[Honorar]]*[1]!Tabel1[[#This Row],[Sandsynlighed]]</f>
        <v>200000</v>
      </c>
      <c r="J660" s="10" t="s">
        <v>584</v>
      </c>
      <c r="K660" s="10" t="s">
        <v>328</v>
      </c>
      <c r="L660" s="17"/>
      <c r="M660" s="11">
        <v>0.5</v>
      </c>
      <c r="N660" s="1">
        <v>500</v>
      </c>
      <c r="O660" s="10">
        <v>46279.611909722225</v>
      </c>
      <c r="P660" s="1" t="s">
        <v>72</v>
      </c>
      <c r="Q660" s="1" t="s">
        <v>46</v>
      </c>
      <c r="R660" s="8" t="s">
        <v>47</v>
      </c>
      <c r="S66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6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6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6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6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6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6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6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6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6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6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6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6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60" s="12">
        <f ca="1">[1]!Tabel1[[#This Row],[Vægtet Honorar]]*([1]!Tabel1[[#This Row],[Sidst redigeret]]&gt;TODAY()-40)*([1]!Tabel1[[#This Row],[Er i resplan?]]&lt;&gt;"Ja")*([1]!Tabel1[[#This Row],[Status]]="Pågår")</f>
        <v>0</v>
      </c>
      <c r="AG660" s="12">
        <f ca="1">[1]!Tabel1[[#This Row],[Vægtet Honorar]]*([1]!Tabel1[[#This Row],[Sidst redigeret]]&gt;TODAY()-40)*([1]!Tabel1[[#This Row],[Status]]="Pågår")</f>
        <v>0</v>
      </c>
      <c r="AH660" s="13"/>
      <c r="AI660" s="12"/>
      <c r="AJ660" s="12"/>
      <c r="AK660" s="12"/>
      <c r="AL660" s="12"/>
      <c r="AM660" s="12"/>
      <c r="AN660" s="12"/>
      <c r="AO660" s="12"/>
      <c r="AP660" s="12"/>
    </row>
    <row r="661" spans="1:42">
      <c r="A661" t="s">
        <v>2389</v>
      </c>
      <c r="B661" s="8"/>
      <c r="C661" s="8" t="s">
        <v>2390</v>
      </c>
      <c r="D661" s="8" t="s">
        <v>203</v>
      </c>
      <c r="E661" s="8" t="s">
        <v>167</v>
      </c>
      <c r="F661" s="8" t="s">
        <v>2391</v>
      </c>
      <c r="G661" s="8" t="s">
        <v>2392</v>
      </c>
      <c r="H661" s="9">
        <v>15000000</v>
      </c>
      <c r="I661" s="9">
        <f>[1]!Tabel1[[#This Row],[Honorar]]*[1]!Tabel1[[#This Row],[Sandsynlighed]]</f>
        <v>100000</v>
      </c>
      <c r="J661" s="10" t="s">
        <v>1061</v>
      </c>
      <c r="K661" s="10" t="s">
        <v>1430</v>
      </c>
      <c r="L661" s="17"/>
      <c r="M661" s="11">
        <v>0.05</v>
      </c>
      <c r="N661" s="1">
        <v>5000</v>
      </c>
      <c r="O661" s="10">
        <v>46279.611909722225</v>
      </c>
      <c r="P661" s="10"/>
      <c r="Q661" s="1" t="s">
        <v>72</v>
      </c>
      <c r="R661" s="8" t="s">
        <v>75</v>
      </c>
      <c r="S66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33424.908424908426</v>
      </c>
      <c r="T66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6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6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6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6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6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6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6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6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6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6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6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61" s="12">
        <f ca="1">[1]!Tabel1[[#This Row],[Vægtet Honorar]]*([1]!Tabel1[[#This Row],[Sidst redigeret]]&gt;TODAY()-40)*([1]!Tabel1[[#This Row],[Er i resplan?]]&lt;&gt;"Ja")*([1]!Tabel1[[#This Row],[Status]]="Pågår")</f>
        <v>0</v>
      </c>
      <c r="AG661" s="12">
        <f ca="1">[1]!Tabel1[[#This Row],[Vægtet Honorar]]*([1]!Tabel1[[#This Row],[Sidst redigeret]]&gt;TODAY()-40)*([1]!Tabel1[[#This Row],[Status]]="Pågår")</f>
        <v>0</v>
      </c>
      <c r="AH661" s="13"/>
      <c r="AI661" s="12"/>
      <c r="AJ661" s="12"/>
      <c r="AK661" s="12" t="s">
        <v>2393</v>
      </c>
      <c r="AL661" s="12"/>
      <c r="AM661" s="12"/>
      <c r="AN661" s="12"/>
      <c r="AO661" s="12"/>
      <c r="AP661" s="12"/>
    </row>
    <row r="662" spans="1:42" ht="75">
      <c r="A662" t="s">
        <v>2394</v>
      </c>
      <c r="B662" s="8"/>
      <c r="C662" s="8" t="s">
        <v>2395</v>
      </c>
      <c r="D662" s="8" t="s">
        <v>93</v>
      </c>
      <c r="E662" s="8" t="s">
        <v>94</v>
      </c>
      <c r="F662" s="8" t="s">
        <v>2396</v>
      </c>
      <c r="G662" s="8" t="s">
        <v>1737</v>
      </c>
      <c r="H662" s="9">
        <v>150000</v>
      </c>
      <c r="I662" s="9">
        <f>[1]!Tabel1[[#This Row],[Honorar]]*[1]!Tabel1[[#This Row],[Sandsynlighed]]</f>
        <v>18000</v>
      </c>
      <c r="J662" s="10" t="s">
        <v>452</v>
      </c>
      <c r="K662" s="10" t="s">
        <v>452</v>
      </c>
      <c r="L662" s="17" t="s">
        <v>2397</v>
      </c>
      <c r="M662" s="11">
        <v>0.5</v>
      </c>
      <c r="N662" s="1" t="s">
        <v>777</v>
      </c>
      <c r="O662" s="10">
        <v>46279.611909722225</v>
      </c>
      <c r="P662" s="1" t="s">
        <v>72</v>
      </c>
      <c r="Q662" s="1" t="s">
        <v>72</v>
      </c>
      <c r="R662" s="8" t="s">
        <v>47</v>
      </c>
      <c r="S66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1998.175182481752</v>
      </c>
      <c r="T66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6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6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6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6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6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6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6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6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6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6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6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62" s="12">
        <f ca="1">[1]!Tabel1[[#This Row],[Vægtet Honorar]]*([1]!Tabel1[[#This Row],[Sidst redigeret]]&gt;TODAY()-40)*([1]!Tabel1[[#This Row],[Er i resplan?]]&lt;&gt;"Ja")*([1]!Tabel1[[#This Row],[Status]]="Pågår")</f>
        <v>0</v>
      </c>
      <c r="AG662" s="12">
        <f ca="1">[1]!Tabel1[[#This Row],[Vægtet Honorar]]*([1]!Tabel1[[#This Row],[Sidst redigeret]]&gt;TODAY()-40)*([1]!Tabel1[[#This Row],[Status]]="Pågår")</f>
        <v>0</v>
      </c>
      <c r="AH662" s="13"/>
      <c r="AI662" s="12"/>
      <c r="AJ662" s="12"/>
      <c r="AK662" s="12"/>
      <c r="AL662" s="12"/>
      <c r="AM662" s="12"/>
      <c r="AN662" s="12"/>
      <c r="AO662" s="12"/>
      <c r="AP662" s="12"/>
    </row>
    <row r="663" spans="1:42" ht="180">
      <c r="A663" t="s">
        <v>2398</v>
      </c>
      <c r="B663" s="8"/>
      <c r="C663" s="8" t="s">
        <v>2399</v>
      </c>
      <c r="D663" s="8" t="s">
        <v>70</v>
      </c>
      <c r="E663" s="8" t="s">
        <v>102</v>
      </c>
      <c r="F663" s="8" t="s">
        <v>2399</v>
      </c>
      <c r="G663" s="8" t="s">
        <v>2399</v>
      </c>
      <c r="H663" s="9">
        <v>1000000</v>
      </c>
      <c r="I663" s="9">
        <f>[1]!Tabel1[[#This Row],[Honorar]]*[1]!Tabel1[[#This Row],[Sandsynlighed]]</f>
        <v>500000</v>
      </c>
      <c r="J663" s="10" t="s">
        <v>1287</v>
      </c>
      <c r="K663" s="10" t="s">
        <v>585</v>
      </c>
      <c r="L663" s="17" t="s">
        <v>2400</v>
      </c>
      <c r="M663" s="11">
        <v>1</v>
      </c>
      <c r="N663" s="1" t="s">
        <v>777</v>
      </c>
      <c r="O663" s="10">
        <v>46279.611909722225</v>
      </c>
      <c r="P663" s="10"/>
      <c r="Q663" s="1" t="s">
        <v>46</v>
      </c>
      <c r="R663" s="8" t="s">
        <v>47</v>
      </c>
      <c r="S66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27803.168799512492</v>
      </c>
      <c r="T66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6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6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6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6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6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6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6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6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6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6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6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63" s="12">
        <f ca="1">[1]!Tabel1[[#This Row],[Vægtet Honorar]]*([1]!Tabel1[[#This Row],[Sidst redigeret]]&gt;TODAY()-40)*([1]!Tabel1[[#This Row],[Er i resplan?]]&lt;&gt;"Ja")*([1]!Tabel1[[#This Row],[Status]]="Pågår")</f>
        <v>0</v>
      </c>
      <c r="AG663" s="12">
        <f ca="1">[1]!Tabel1[[#This Row],[Vægtet Honorar]]*([1]!Tabel1[[#This Row],[Sidst redigeret]]&gt;TODAY()-40)*([1]!Tabel1[[#This Row],[Status]]="Pågår")</f>
        <v>0</v>
      </c>
      <c r="AH663" s="13">
        <v>45876.479143518518</v>
      </c>
      <c r="AI663" s="12"/>
      <c r="AJ663" s="12"/>
      <c r="AK663" s="12"/>
      <c r="AL663" s="12"/>
      <c r="AM663" s="12"/>
      <c r="AN663" s="12"/>
      <c r="AO663" s="12"/>
      <c r="AP663" s="12"/>
    </row>
    <row r="664" spans="1:42" ht="60">
      <c r="A664" t="s">
        <v>2401</v>
      </c>
      <c r="B664" s="8"/>
      <c r="C664" s="8" t="s">
        <v>2402</v>
      </c>
      <c r="D664" s="8" t="s">
        <v>1771</v>
      </c>
      <c r="E664" s="8" t="s">
        <v>167</v>
      </c>
      <c r="F664" s="8" t="s">
        <v>2403</v>
      </c>
      <c r="G664" s="8" t="s">
        <v>2404</v>
      </c>
      <c r="H664" s="9">
        <v>3000000</v>
      </c>
      <c r="I664" s="9">
        <f>[1]!Tabel1[[#This Row],[Honorar]]*[1]!Tabel1[[#This Row],[Sandsynlighed]]</f>
        <v>16000</v>
      </c>
      <c r="J664" s="10" t="s">
        <v>2405</v>
      </c>
      <c r="K664" s="10" t="s">
        <v>898</v>
      </c>
      <c r="L664" s="17" t="s">
        <v>2406</v>
      </c>
      <c r="M664" s="11">
        <v>0.02</v>
      </c>
      <c r="N664" s="1" t="s">
        <v>2407</v>
      </c>
      <c r="O664" s="10">
        <v>46279.611909722225</v>
      </c>
      <c r="P664" s="10"/>
      <c r="Q664" s="1" t="s">
        <v>72</v>
      </c>
      <c r="R664" s="8" t="s">
        <v>343</v>
      </c>
      <c r="S664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64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64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64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64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64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64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64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64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64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64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64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64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64" s="12">
        <f ca="1">[1]!Tabel1[[#This Row],[Vægtet Honorar]]*([1]!Tabel1[[#This Row],[Sidst redigeret]]&gt;TODAY()-40)*([1]!Tabel1[[#This Row],[Er i resplan?]]&lt;&gt;"Ja")*([1]!Tabel1[[#This Row],[Status]]="Pågår")</f>
        <v>0</v>
      </c>
      <c r="AG664" s="12">
        <f ca="1">[1]!Tabel1[[#This Row],[Vægtet Honorar]]*([1]!Tabel1[[#This Row],[Sidst redigeret]]&gt;TODAY()-40)*([1]!Tabel1[[#This Row],[Status]]="Pågår")</f>
        <v>0</v>
      </c>
      <c r="AH664" s="13"/>
      <c r="AI664" s="12"/>
      <c r="AJ664" s="12" t="s">
        <v>600</v>
      </c>
      <c r="AK664" s="12"/>
      <c r="AL664" s="12"/>
      <c r="AM664" s="12"/>
      <c r="AN664" s="12"/>
      <c r="AO664" s="12"/>
      <c r="AP664" s="12"/>
    </row>
    <row r="665" spans="1:42" ht="60">
      <c r="A665" t="s">
        <v>2408</v>
      </c>
      <c r="B665" s="8"/>
      <c r="C665" s="8" t="s">
        <v>2409</v>
      </c>
      <c r="D665" s="8" t="s">
        <v>358</v>
      </c>
      <c r="E665" s="8" t="s">
        <v>102</v>
      </c>
      <c r="F665" s="8"/>
      <c r="G665" s="8" t="s">
        <v>1672</v>
      </c>
      <c r="H665" s="9">
        <v>3000000</v>
      </c>
      <c r="I665" s="9">
        <f>[1]!Tabel1[[#This Row],[Honorar]]*[1]!Tabel1[[#This Row],[Sandsynlighed]]</f>
        <v>20000</v>
      </c>
      <c r="J665" s="10" t="s">
        <v>1191</v>
      </c>
      <c r="K665" s="10" t="s">
        <v>342</v>
      </c>
      <c r="L665" s="17" t="s">
        <v>2410</v>
      </c>
      <c r="M665" s="11">
        <v>0.25</v>
      </c>
      <c r="N665" s="1">
        <v>3600</v>
      </c>
      <c r="O665" s="10">
        <v>46279.611909722225</v>
      </c>
      <c r="P665" s="10"/>
      <c r="Q665" s="1" t="s">
        <v>72</v>
      </c>
      <c r="R665" s="8" t="s">
        <v>49</v>
      </c>
      <c r="S665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65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65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65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65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65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65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65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65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65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65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65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65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65" s="12">
        <f ca="1">[1]!Tabel1[[#This Row],[Vægtet Honorar]]*([1]!Tabel1[[#This Row],[Sidst redigeret]]&gt;TODAY()-40)*([1]!Tabel1[[#This Row],[Er i resplan?]]&lt;&gt;"Ja")*([1]!Tabel1[[#This Row],[Status]]="Pågår")</f>
        <v>0</v>
      </c>
      <c r="AG665" s="12">
        <f ca="1">[1]!Tabel1[[#This Row],[Vægtet Honorar]]*([1]!Tabel1[[#This Row],[Sidst redigeret]]&gt;TODAY()-40)*([1]!Tabel1[[#This Row],[Status]]="Pågår")</f>
        <v>0</v>
      </c>
      <c r="AH665" s="13"/>
      <c r="AI665" s="12"/>
      <c r="AJ665" s="12"/>
      <c r="AK665" s="12"/>
      <c r="AL665" s="12"/>
      <c r="AM665" s="12"/>
      <c r="AN665" s="12"/>
      <c r="AO665" s="12"/>
      <c r="AP665" s="12"/>
    </row>
    <row r="666" spans="1:42" ht="210">
      <c r="A666" t="s">
        <v>2411</v>
      </c>
      <c r="B666" s="8"/>
      <c r="C666" s="8" t="s">
        <v>2412</v>
      </c>
      <c r="D666" s="8" t="s">
        <v>720</v>
      </c>
      <c r="E666" s="8" t="s">
        <v>71</v>
      </c>
      <c r="F666" s="8" t="s">
        <v>1012</v>
      </c>
      <c r="G666" s="8" t="s">
        <v>2413</v>
      </c>
      <c r="H666" s="9">
        <v>2500000</v>
      </c>
      <c r="I666" s="9">
        <f>[1]!Tabel1[[#This Row],[Honorar]]*[1]!Tabel1[[#This Row],[Sandsynlighed]]</f>
        <v>750000</v>
      </c>
      <c r="J666" s="10" t="s">
        <v>452</v>
      </c>
      <c r="K666" s="10" t="s">
        <v>329</v>
      </c>
      <c r="L666" s="17" t="s">
        <v>2414</v>
      </c>
      <c r="M666" s="11">
        <v>0.05</v>
      </c>
      <c r="N666" s="1">
        <v>3000</v>
      </c>
      <c r="O666" s="10">
        <v>46279.611909722225</v>
      </c>
      <c r="P666" s="10"/>
      <c r="Q666" s="1" t="s">
        <v>72</v>
      </c>
      <c r="R666" s="8" t="s">
        <v>75</v>
      </c>
      <c r="S666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66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66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66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66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66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66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66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66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66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66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66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66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66" s="12">
        <f ca="1">[1]!Tabel1[[#This Row],[Vægtet Honorar]]*([1]!Tabel1[[#This Row],[Sidst redigeret]]&gt;TODAY()-40)*([1]!Tabel1[[#This Row],[Er i resplan?]]&lt;&gt;"Ja")*([1]!Tabel1[[#This Row],[Status]]="Pågår")</f>
        <v>0</v>
      </c>
      <c r="AG666" s="12">
        <f ca="1">[1]!Tabel1[[#This Row],[Vægtet Honorar]]*([1]!Tabel1[[#This Row],[Sidst redigeret]]&gt;TODAY()-40)*([1]!Tabel1[[#This Row],[Status]]="Pågår")</f>
        <v>0</v>
      </c>
      <c r="AH666" s="13"/>
      <c r="AI666" s="12" t="s">
        <v>2415</v>
      </c>
      <c r="AJ666" s="12" t="s">
        <v>1737</v>
      </c>
      <c r="AK666" s="12"/>
      <c r="AL666" s="12" t="s">
        <v>1009</v>
      </c>
      <c r="AM666" s="12"/>
      <c r="AN666" s="12"/>
      <c r="AO666" s="12"/>
      <c r="AP666" s="12"/>
    </row>
    <row r="667" spans="1:42" ht="75">
      <c r="A667" t="s">
        <v>2416</v>
      </c>
      <c r="B667" s="8"/>
      <c r="C667" s="8" t="s">
        <v>2417</v>
      </c>
      <c r="D667" s="8" t="s">
        <v>720</v>
      </c>
      <c r="E667" s="8" t="s">
        <v>71</v>
      </c>
      <c r="F667" s="8" t="s">
        <v>547</v>
      </c>
      <c r="G667" s="8" t="s">
        <v>2418</v>
      </c>
      <c r="H667" s="9">
        <v>1500000</v>
      </c>
      <c r="I667" s="9">
        <f>[1]!Tabel1[[#This Row],[Honorar]]*[1]!Tabel1[[#This Row],[Sandsynlighed]]</f>
        <v>75000</v>
      </c>
      <c r="J667" s="10" t="s">
        <v>329</v>
      </c>
      <c r="K667" s="10" t="s">
        <v>1191</v>
      </c>
      <c r="L667" s="17" t="s">
        <v>2419</v>
      </c>
      <c r="M667" s="11">
        <v>0.05</v>
      </c>
      <c r="N667" s="1">
        <v>2500</v>
      </c>
      <c r="O667" s="10">
        <v>46279.611909722225</v>
      </c>
      <c r="P667" s="10"/>
      <c r="Q667" s="1" t="s">
        <v>72</v>
      </c>
      <c r="R667" s="8" t="s">
        <v>343</v>
      </c>
      <c r="S667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25068.68131868132</v>
      </c>
      <c r="T667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67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67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67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67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67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67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67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67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67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67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67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67" s="12">
        <f ca="1">[1]!Tabel1[[#This Row],[Vægtet Honorar]]*([1]!Tabel1[[#This Row],[Sidst redigeret]]&gt;TODAY()-40)*([1]!Tabel1[[#This Row],[Er i resplan?]]&lt;&gt;"Ja")*([1]!Tabel1[[#This Row],[Status]]="Pågår")</f>
        <v>0</v>
      </c>
      <c r="AG667" s="12">
        <f ca="1">[1]!Tabel1[[#This Row],[Vægtet Honorar]]*([1]!Tabel1[[#This Row],[Sidst redigeret]]&gt;TODAY()-40)*([1]!Tabel1[[#This Row],[Status]]="Pågår")</f>
        <v>0</v>
      </c>
      <c r="AH667" s="13"/>
      <c r="AI667" s="12" t="s">
        <v>1100</v>
      </c>
      <c r="AJ667" s="12" t="s">
        <v>1864</v>
      </c>
      <c r="AK667" s="12"/>
      <c r="AL667" s="12"/>
      <c r="AM667" s="12"/>
      <c r="AN667" s="12"/>
      <c r="AO667" s="12"/>
      <c r="AP667" s="12"/>
    </row>
    <row r="668" spans="1:42" ht="30">
      <c r="A668" t="s">
        <v>2420</v>
      </c>
      <c r="B668" s="8"/>
      <c r="C668" s="8" t="s">
        <v>2421</v>
      </c>
      <c r="D668" s="8" t="s">
        <v>720</v>
      </c>
      <c r="E668" s="8" t="s">
        <v>71</v>
      </c>
      <c r="F668" s="8" t="s">
        <v>2187</v>
      </c>
      <c r="G668" s="8" t="s">
        <v>2422</v>
      </c>
      <c r="H668" s="9">
        <v>750000</v>
      </c>
      <c r="I668" s="9">
        <f>[1]!Tabel1[[#This Row],[Honorar]]*[1]!Tabel1[[#This Row],[Sandsynlighed]]</f>
        <v>1000000</v>
      </c>
      <c r="J668" s="10" t="s">
        <v>1191</v>
      </c>
      <c r="K668" s="10" t="s">
        <v>342</v>
      </c>
      <c r="L668" s="17" t="s">
        <v>2423</v>
      </c>
      <c r="M668" s="11">
        <v>0</v>
      </c>
      <c r="N668" s="1">
        <v>1860</v>
      </c>
      <c r="O668" s="10">
        <v>46279.611909722225</v>
      </c>
      <c r="P668" s="10"/>
      <c r="Q668" s="1" t="s">
        <v>72</v>
      </c>
      <c r="R668" s="8" t="s">
        <v>49</v>
      </c>
      <c r="S668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68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68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68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68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68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68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68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68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68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68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68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68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68" s="12">
        <f ca="1">[1]!Tabel1[[#This Row],[Vægtet Honorar]]*([1]!Tabel1[[#This Row],[Sidst redigeret]]&gt;TODAY()-40)*([1]!Tabel1[[#This Row],[Er i resplan?]]&lt;&gt;"Ja")*([1]!Tabel1[[#This Row],[Status]]="Pågår")</f>
        <v>0</v>
      </c>
      <c r="AG668" s="12">
        <f ca="1">[1]!Tabel1[[#This Row],[Vægtet Honorar]]*([1]!Tabel1[[#This Row],[Sidst redigeret]]&gt;TODAY()-40)*([1]!Tabel1[[#This Row],[Status]]="Pågår")</f>
        <v>0</v>
      </c>
      <c r="AH668" s="13"/>
      <c r="AI668" s="12"/>
      <c r="AJ668" s="12" t="s">
        <v>905</v>
      </c>
      <c r="AK668" s="12"/>
      <c r="AL668" s="12"/>
      <c r="AM668" s="12"/>
      <c r="AN668" s="12"/>
      <c r="AO668" s="12"/>
      <c r="AP668" s="12"/>
    </row>
    <row r="669" spans="1:42">
      <c r="A669" t="s">
        <v>2424</v>
      </c>
      <c r="B669" s="8"/>
      <c r="C669" s="8" t="s">
        <v>2425</v>
      </c>
      <c r="D669" s="8" t="s">
        <v>93</v>
      </c>
      <c r="E669" s="8" t="s">
        <v>94</v>
      </c>
      <c r="F669" s="8" t="s">
        <v>1954</v>
      </c>
      <c r="G669" s="8" t="s">
        <v>1954</v>
      </c>
      <c r="H669" s="9">
        <v>750000</v>
      </c>
      <c r="I669" s="9">
        <f>[1]!Tabel1[[#This Row],[Honorar]]*[1]!Tabel1[[#This Row],[Sandsynlighed]]</f>
        <v>60000</v>
      </c>
      <c r="J669" s="10" t="s">
        <v>452</v>
      </c>
      <c r="K669" s="10" t="s">
        <v>329</v>
      </c>
      <c r="L669" s="17"/>
      <c r="M669" s="11">
        <v>0.1</v>
      </c>
      <c r="N669" s="1"/>
      <c r="O669" s="10">
        <v>46279.611909722225</v>
      </c>
      <c r="P669" s="1" t="s">
        <v>72</v>
      </c>
      <c r="Q669" s="1" t="s">
        <v>72</v>
      </c>
      <c r="R669" s="8" t="s">
        <v>75</v>
      </c>
      <c r="S669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2851.5625</v>
      </c>
      <c r="T669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69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69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69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69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69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69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2851.5625</v>
      </c>
      <c r="AA669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2851.5625</v>
      </c>
      <c r="AB669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2851.5625</v>
      </c>
      <c r="AC669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2851.5625</v>
      </c>
      <c r="AD669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2851.5625</v>
      </c>
      <c r="AE669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2851.5625</v>
      </c>
      <c r="AF669" s="12">
        <f ca="1">[1]!Tabel1[[#This Row],[Vægtet Honorar]]*([1]!Tabel1[[#This Row],[Sidst redigeret]]&gt;TODAY()-40)*([1]!Tabel1[[#This Row],[Er i resplan?]]&lt;&gt;"Ja")*([1]!Tabel1[[#This Row],[Status]]="Pågår")</f>
        <v>60000</v>
      </c>
      <c r="AG669" s="12">
        <f ca="1">[1]!Tabel1[[#This Row],[Vægtet Honorar]]*([1]!Tabel1[[#This Row],[Sidst redigeret]]&gt;TODAY()-40)*([1]!Tabel1[[#This Row],[Status]]="Pågår")</f>
        <v>60000</v>
      </c>
      <c r="AH669" s="13"/>
      <c r="AI669" s="12"/>
      <c r="AJ669" s="12" t="s">
        <v>2426</v>
      </c>
      <c r="AK669" s="12"/>
      <c r="AL669" s="12"/>
      <c r="AM669" s="12"/>
      <c r="AN669" s="12"/>
      <c r="AO669" s="12"/>
      <c r="AP669" s="12"/>
    </row>
    <row r="670" spans="1:42">
      <c r="A670" t="s">
        <v>2427</v>
      </c>
      <c r="B670" s="8"/>
      <c r="C670" s="8" t="s">
        <v>2428</v>
      </c>
      <c r="D670" s="8" t="s">
        <v>158</v>
      </c>
      <c r="E670" s="8" t="s">
        <v>167</v>
      </c>
      <c r="F670" s="8" t="s">
        <v>671</v>
      </c>
      <c r="G670" s="8" t="s">
        <v>671</v>
      </c>
      <c r="H670" s="9">
        <v>250000</v>
      </c>
      <c r="I670" s="9">
        <f>[1]!Tabel1[[#This Row],[Honorar]]*[1]!Tabel1[[#This Row],[Sandsynlighed]]</f>
        <v>750000</v>
      </c>
      <c r="J670" s="10" t="s">
        <v>584</v>
      </c>
      <c r="K670" s="10" t="s">
        <v>612</v>
      </c>
      <c r="L670" s="17"/>
      <c r="M670" s="11">
        <v>0.95</v>
      </c>
      <c r="N670" s="1"/>
      <c r="O670" s="10">
        <v>46279.611909722225</v>
      </c>
      <c r="P670" s="10"/>
      <c r="Q670" s="1" t="s">
        <v>46</v>
      </c>
      <c r="R670" s="8" t="s">
        <v>47</v>
      </c>
      <c r="S670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50027.412280701748</v>
      </c>
      <c r="T670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50027.412280701748</v>
      </c>
      <c r="U670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50027.412280701748</v>
      </c>
      <c r="V670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50027.412280701748</v>
      </c>
      <c r="W670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70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70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70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70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70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70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70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70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70" s="12">
        <f ca="1">[1]!Tabel1[[#This Row],[Vægtet Honorar]]*([1]!Tabel1[[#This Row],[Sidst redigeret]]&gt;TODAY()-40)*([1]!Tabel1[[#This Row],[Er i resplan?]]&lt;&gt;"Ja")*([1]!Tabel1[[#This Row],[Status]]="Pågår")</f>
        <v>0</v>
      </c>
      <c r="AG670" s="12">
        <f ca="1">[1]!Tabel1[[#This Row],[Vægtet Honorar]]*([1]!Tabel1[[#This Row],[Sidst redigeret]]&gt;TODAY()-40)*([1]!Tabel1[[#This Row],[Status]]="Pågår")</f>
        <v>0</v>
      </c>
      <c r="AH670" s="13"/>
      <c r="AI670" s="12"/>
      <c r="AJ670" s="12"/>
      <c r="AK670" s="12"/>
      <c r="AL670" s="12"/>
      <c r="AM670" s="12"/>
      <c r="AN670" s="12"/>
      <c r="AO670" s="12"/>
      <c r="AP670" s="12"/>
    </row>
    <row r="671" spans="1:42">
      <c r="A671" t="s">
        <v>2429</v>
      </c>
      <c r="B671" s="8"/>
      <c r="C671" s="8" t="s">
        <v>2430</v>
      </c>
      <c r="D671" s="8" t="s">
        <v>158</v>
      </c>
      <c r="E671" s="8" t="s">
        <v>167</v>
      </c>
      <c r="F671" s="8" t="s">
        <v>671</v>
      </c>
      <c r="G671" s="8" t="s">
        <v>671</v>
      </c>
      <c r="H671" s="9">
        <v>396000</v>
      </c>
      <c r="I671" s="9">
        <f>[1]!Tabel1[[#This Row],[Honorar]]*[1]!Tabel1[[#This Row],[Sandsynlighed]]</f>
        <v>125000</v>
      </c>
      <c r="J671" s="10" t="s">
        <v>584</v>
      </c>
      <c r="K671" s="10" t="s">
        <v>328</v>
      </c>
      <c r="L671" s="17"/>
      <c r="M671" s="11">
        <v>0.3</v>
      </c>
      <c r="N671" s="1"/>
      <c r="O671" s="10">
        <v>46279.611909722225</v>
      </c>
      <c r="P671" s="10"/>
      <c r="Q671" s="1" t="s">
        <v>46</v>
      </c>
      <c r="R671" s="8" t="s">
        <v>47</v>
      </c>
      <c r="S671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71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71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71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71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71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71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71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71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71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71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71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71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71" s="12">
        <f ca="1">[1]!Tabel1[[#This Row],[Vægtet Honorar]]*([1]!Tabel1[[#This Row],[Sidst redigeret]]&gt;TODAY()-40)*([1]!Tabel1[[#This Row],[Er i resplan?]]&lt;&gt;"Ja")*([1]!Tabel1[[#This Row],[Status]]="Pågår")</f>
        <v>0</v>
      </c>
      <c r="AG671" s="12">
        <f ca="1">[1]!Tabel1[[#This Row],[Vægtet Honorar]]*([1]!Tabel1[[#This Row],[Sidst redigeret]]&gt;TODAY()-40)*([1]!Tabel1[[#This Row],[Status]]="Pågår")</f>
        <v>0</v>
      </c>
      <c r="AH671" s="13"/>
      <c r="AI671" s="12"/>
      <c r="AJ671" s="12"/>
      <c r="AK671" s="12"/>
      <c r="AL671" s="12"/>
      <c r="AM671" s="12"/>
      <c r="AN671" s="12"/>
      <c r="AO671" s="12"/>
      <c r="AP671" s="12"/>
    </row>
    <row r="672" spans="1:42">
      <c r="A672" t="s">
        <v>2431</v>
      </c>
      <c r="B672" s="8"/>
      <c r="C672" s="8" t="s">
        <v>2432</v>
      </c>
      <c r="D672" s="8" t="s">
        <v>44</v>
      </c>
      <c r="E672" s="8" t="s">
        <v>71</v>
      </c>
      <c r="F672" s="8" t="s">
        <v>1833</v>
      </c>
      <c r="G672" s="8" t="s">
        <v>1833</v>
      </c>
      <c r="H672" s="9">
        <v>7000000</v>
      </c>
      <c r="I672" s="9">
        <f>[1]!Tabel1[[#This Row],[Honorar]]*[1]!Tabel1[[#This Row],[Sandsynlighed]]</f>
        <v>75000</v>
      </c>
      <c r="J672" s="10" t="s">
        <v>452</v>
      </c>
      <c r="K672" s="10" t="s">
        <v>1191</v>
      </c>
      <c r="L672" s="17"/>
      <c r="M672" s="11">
        <v>0.02</v>
      </c>
      <c r="N672" s="1">
        <v>2800</v>
      </c>
      <c r="O672" s="10">
        <v>46279.611909722225</v>
      </c>
      <c r="P672" s="10"/>
      <c r="Q672" s="1" t="s">
        <v>72</v>
      </c>
      <c r="R672" s="8" t="s">
        <v>49</v>
      </c>
      <c r="S672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8325.7299270072999</v>
      </c>
      <c r="T672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72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72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72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72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72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72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72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72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72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72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72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72" s="12">
        <f ca="1">[1]!Tabel1[[#This Row],[Vægtet Honorar]]*([1]!Tabel1[[#This Row],[Sidst redigeret]]&gt;TODAY()-40)*([1]!Tabel1[[#This Row],[Er i resplan?]]&lt;&gt;"Ja")*([1]!Tabel1[[#This Row],[Status]]="Pågår")</f>
        <v>75000</v>
      </c>
      <c r="AG672" s="12">
        <f ca="1">[1]!Tabel1[[#This Row],[Vægtet Honorar]]*([1]!Tabel1[[#This Row],[Sidst redigeret]]&gt;TODAY()-40)*([1]!Tabel1[[#This Row],[Status]]="Pågår")</f>
        <v>75000</v>
      </c>
      <c r="AH672" s="13"/>
      <c r="AI672" s="12"/>
      <c r="AJ672" s="12" t="s">
        <v>1213</v>
      </c>
      <c r="AK672" s="12" t="s">
        <v>2433</v>
      </c>
      <c r="AL672" s="12"/>
      <c r="AM672" s="12"/>
      <c r="AN672" s="12"/>
      <c r="AO672" s="12"/>
      <c r="AP672" s="12"/>
    </row>
    <row r="673" spans="1:42" ht="90">
      <c r="A673" t="s">
        <v>2434</v>
      </c>
      <c r="B673" s="8"/>
      <c r="C673" s="8" t="s">
        <v>2435</v>
      </c>
      <c r="D673" s="8" t="s">
        <v>119</v>
      </c>
      <c r="E673" s="8" t="s">
        <v>71</v>
      </c>
      <c r="F673" s="8" t="s">
        <v>721</v>
      </c>
      <c r="G673" s="8" t="s">
        <v>2436</v>
      </c>
      <c r="H673" s="9">
        <v>125000</v>
      </c>
      <c r="I673" s="9">
        <f>[1]!Tabel1[[#This Row],[Honorar]]*[1]!Tabel1[[#This Row],[Sandsynlighed]]</f>
        <v>0</v>
      </c>
      <c r="J673" s="10" t="s">
        <v>328</v>
      </c>
      <c r="K673" s="10" t="s">
        <v>622</v>
      </c>
      <c r="L673" s="17" t="s">
        <v>2437</v>
      </c>
      <c r="M673" s="11">
        <v>1</v>
      </c>
      <c r="N673" s="1">
        <v>50</v>
      </c>
      <c r="O673" s="10">
        <v>46279.611909722225</v>
      </c>
      <c r="P673" s="10"/>
      <c r="Q673" s="1" t="s">
        <v>46</v>
      </c>
      <c r="R673" s="8" t="s">
        <v>47</v>
      </c>
      <c r="S673" s="12">
        <f>IFERROR(IF(AND([1]!Tabel1[[#This Row],[Status]]&lt;&gt;"Tabt",[1]!Tabel1[[#This Row],[Er i resplan?]]&lt;&gt;"Ja"),[1]!Tabel1[[#This Row],[Vægtet Honorar]]/(INDEX([1]!tbQ[Slutdato],MATCH([1]!Tabel1[[#This Row],[Forventet slut]],[1]!tbQ[Kode],0))-INDEX([1]!tbQ[Startdato],MATCH([1]!Tabel1[[#This Row],[Forventet start]],[1]!tbQ[Kode],0)))*365/12,0),0)</f>
        <v>0</v>
      </c>
      <c r="T673" s="12">
        <f ca="1">IF([1]!Tabel1[[#This Row],[Vægtet honorar pr. måned til forecast]]=0,0,AND(DATE(YEAR(TODAY()),MONTH(TODAY())+1,1)&gt;=INDEX([1]!tbQ[Startdato],MATCH([1]!Tabel1[[#This Row],[Forventet start]],[1]!tbQ[Kode],0)),DATE(YEAR(TODAY()),MONTH(TODAY())+1,1)&lt;=INDEX([1]!tbQ[Slutdato],MATCH([1]!Tabel1[[#This Row],[Forventet slut]],[1]!tbQ[Kode],0)))*[1]!Tabel1[[#This Row],[Vægtet honorar pr. måned til forecast]])</f>
        <v>0</v>
      </c>
      <c r="U673" s="12">
        <f ca="1">IF([1]!Tabel1[[#This Row],[Vægtet honorar pr. måned til forecast]]=0,0,AND(DATE(YEAR(TODAY()),MONTH(TODAY())+2,1)&gt;=INDEX([1]!tbQ[Startdato],MATCH([1]!Tabel1[[#This Row],[Forventet start]],[1]!tbQ[Kode],0)),DATE(YEAR(TODAY()),MONTH(TODAY())+2,1)&lt;=INDEX([1]!tbQ[Slutdato],MATCH([1]!Tabel1[[#This Row],[Forventet slut]],[1]!tbQ[Kode],0)))*[1]!Tabel1[[#This Row],[Vægtet honorar pr. måned til forecast]])</f>
        <v>0</v>
      </c>
      <c r="V673" s="12">
        <f ca="1">IF([1]!Tabel1[[#This Row],[Vægtet honorar pr. måned til forecast]]=0,0,AND(DATE(YEAR(TODAY()),MONTH(TODAY())+3,1)&gt;=INDEX([1]!tbQ[Startdato],MATCH([1]!Tabel1[[#This Row],[Forventet start]],[1]!tbQ[Kode],0)),DATE(YEAR(TODAY()),MONTH(TODAY())+3,1)&lt;=INDEX([1]!tbQ[Slutdato],MATCH([1]!Tabel1[[#This Row],[Forventet slut]],[1]!tbQ[Kode],0)))*[1]!Tabel1[[#This Row],[Vægtet honorar pr. måned til forecast]])</f>
        <v>0</v>
      </c>
      <c r="W673" s="12">
        <f ca="1">IF([1]!Tabel1[[#This Row],[Vægtet honorar pr. måned til forecast]]=0,0,AND(DATE(YEAR(TODAY()),MONTH(TODAY())+4,1)&gt;=INDEX([1]!tbQ[Startdato],MATCH([1]!Tabel1[[#This Row],[Forventet start]],[1]!tbQ[Kode],0)),DATE(YEAR(TODAY()),MONTH(TODAY())+4,1)&lt;=INDEX([1]!tbQ[Slutdato],MATCH([1]!Tabel1[[#This Row],[Forventet slut]],[1]!tbQ[Kode],0)))*[1]!Tabel1[[#This Row],[Vægtet honorar pr. måned til forecast]])</f>
        <v>0</v>
      </c>
      <c r="X673" s="12">
        <f ca="1">IF([1]!Tabel1[[#This Row],[Vægtet honorar pr. måned til forecast]]=0,0,AND(DATE(YEAR(TODAY()),MONTH(TODAY())+5,1)&gt;=INDEX([1]!tbQ[Startdato],MATCH([1]!Tabel1[[#This Row],[Forventet start]],[1]!tbQ[Kode],0)),DATE(YEAR(TODAY()),MONTH(TODAY())+5,1)&lt;=INDEX([1]!tbQ[Slutdato],MATCH([1]!Tabel1[[#This Row],[Forventet slut]],[1]!tbQ[Kode],0)))*[1]!Tabel1[[#This Row],[Vægtet honorar pr. måned til forecast]])</f>
        <v>0</v>
      </c>
      <c r="Y673" s="12">
        <f ca="1">IF([1]!Tabel1[[#This Row],[Vægtet honorar pr. måned til forecast]]=0,0,AND(DATE(YEAR(TODAY()),MONTH(TODAY())+6,1)&gt;=INDEX([1]!tbQ[Startdato],MATCH([1]!Tabel1[[#This Row],[Forventet start]],[1]!tbQ[Kode],0)),DATE(YEAR(TODAY()),MONTH(TODAY())+6,1)&lt;=INDEX([1]!tbQ[Slutdato],MATCH([1]!Tabel1[[#This Row],[Forventet slut]],[1]!tbQ[Kode],0)))*[1]!Tabel1[[#This Row],[Vægtet honorar pr. måned til forecast]])</f>
        <v>0</v>
      </c>
      <c r="Z673" s="12">
        <f ca="1">IF([1]!Tabel1[[#This Row],[Vægtet honorar pr. måned til forecast]]=0,0,AND(DATE(YEAR(TODAY()),MONTH(TODAY())+7,1)&gt;=INDEX([1]!tbQ[Startdato],MATCH([1]!Tabel1[[#This Row],[Forventet start]],[1]!tbQ[Kode],0)),DATE(YEAR(TODAY()),MONTH(TODAY())+7,1)&lt;=INDEX([1]!tbQ[Slutdato],MATCH([1]!Tabel1[[#This Row],[Forventet slut]],[1]!tbQ[Kode],0)))*[1]!Tabel1[[#This Row],[Vægtet honorar pr. måned til forecast]])</f>
        <v>0</v>
      </c>
      <c r="AA673" s="12">
        <f ca="1">IF([1]!Tabel1[[#This Row],[Vægtet honorar pr. måned til forecast]]=0,0,AND(DATE(YEAR(TODAY()),MONTH(TODAY())+8,1)&gt;=INDEX([1]!tbQ[Startdato],MATCH([1]!Tabel1[[#This Row],[Forventet start]],[1]!tbQ[Kode],0)),DATE(YEAR(TODAY()),MONTH(TODAY())+8,1)&lt;=INDEX([1]!tbQ[Slutdato],MATCH([1]!Tabel1[[#This Row],[Forventet slut]],[1]!tbQ[Kode],0)))*[1]!Tabel1[[#This Row],[Vægtet honorar pr. måned til forecast]])</f>
        <v>0</v>
      </c>
      <c r="AB673" s="12">
        <f ca="1">IF([1]!Tabel1[[#This Row],[Vægtet honorar pr. måned til forecast]]=0,0,AND(DATE(YEAR(TODAY()),MONTH(TODAY())+9,1)&gt;=INDEX([1]!tbQ[Startdato],MATCH([1]!Tabel1[[#This Row],[Forventet start]],[1]!tbQ[Kode],0)),DATE(YEAR(TODAY()),MONTH(TODAY())+9,1)&lt;=INDEX([1]!tbQ[Slutdato],MATCH([1]!Tabel1[[#This Row],[Forventet slut]],[1]!tbQ[Kode],0)))*[1]!Tabel1[[#This Row],[Vægtet honorar pr. måned til forecast]])</f>
        <v>0</v>
      </c>
      <c r="AC673" s="12">
        <f ca="1">IF([1]!Tabel1[[#This Row],[Vægtet honorar pr. måned til forecast]]=0,0,AND(DATE(YEAR(TODAY()),MONTH(TODAY())+10,1)&gt;=INDEX([1]!tbQ[Startdato],MATCH([1]!Tabel1[[#This Row],[Forventet start]],[1]!tbQ[Kode],0)),DATE(YEAR(TODAY()),MONTH(TODAY())+10,1)&lt;=INDEX([1]!tbQ[Slutdato],MATCH([1]!Tabel1[[#This Row],[Forventet slut]],[1]!tbQ[Kode],0)))*[1]!Tabel1[[#This Row],[Vægtet honorar pr. måned til forecast]])</f>
        <v>0</v>
      </c>
      <c r="AD673" s="12">
        <f ca="1">IF([1]!Tabel1[[#This Row],[Vægtet honorar pr. måned til forecast]]=0,0,AND(DATE(YEAR(TODAY()),MONTH(TODAY())+11,1)&gt;=INDEX([1]!tbQ[Startdato],MATCH([1]!Tabel1[[#This Row],[Forventet start]],[1]!tbQ[Kode],0)),DATE(YEAR(TODAY()),MONTH(TODAY())+11,1)&lt;=INDEX([1]!tbQ[Slutdato],MATCH([1]!Tabel1[[#This Row],[Forventet slut]],[1]!tbQ[Kode],0)))*[1]!Tabel1[[#This Row],[Vægtet honorar pr. måned til forecast]])</f>
        <v>0</v>
      </c>
      <c r="AE673" s="12">
        <f ca="1">IF([1]!Tabel1[[#This Row],[Vægtet honorar pr. måned til forecast]]=0,0,AND(DATE(YEAR(TODAY()),MONTH(TODAY())+12,1)&gt;=INDEX([1]!tbQ[Startdato],MATCH([1]!Tabel1[[#This Row],[Forventet start]],[1]!tbQ[Kode],0)),DATE(YEAR(TODAY()),MONTH(TODAY())+12,1)&lt;=INDEX([1]!tbQ[Slutdato],MATCH([1]!Tabel1[[#This Row],[Forventet slut]],[1]!tbQ[Kode],0)))*[1]!Tabel1[[#This Row],[Vægtet honorar pr. måned til forecast]])</f>
        <v>0</v>
      </c>
      <c r="AF673" s="12">
        <f ca="1">[1]!Tabel1[[#This Row],[Vægtet Honorar]]*([1]!Tabel1[[#This Row],[Sidst redigeret]]&gt;TODAY()-40)*([1]!Tabel1[[#This Row],[Er i resplan?]]&lt;&gt;"Ja")*([1]!Tabel1[[#This Row],[Status]]="Pågår")</f>
        <v>0</v>
      </c>
      <c r="AG673" s="12">
        <f ca="1">[1]!Tabel1[[#This Row],[Vægtet Honorar]]*([1]!Tabel1[[#This Row],[Sidst redigeret]]&gt;TODAY()-40)*([1]!Tabel1[[#This Row],[Status]]="Pågår")</f>
        <v>0</v>
      </c>
      <c r="AH673" s="13"/>
      <c r="AI673" s="12"/>
      <c r="AJ673" s="12" t="s">
        <v>2436</v>
      </c>
      <c r="AK673" s="12" t="s">
        <v>1015</v>
      </c>
      <c r="AL673" s="12"/>
      <c r="AM673" s="12"/>
      <c r="AN673" s="12"/>
      <c r="AO673" s="12"/>
      <c r="AP673" s="12"/>
    </row>
    <row r="674" spans="1:42" ht="30">
      <c r="A674" t="s">
        <v>2438</v>
      </c>
      <c r="B674" s="8"/>
      <c r="C674" s="8" t="s">
        <v>2439</v>
      </c>
      <c r="D674" s="8" t="s">
        <v>134</v>
      </c>
      <c r="E674" s="8" t="s">
        <v>94</v>
      </c>
      <c r="F674" s="8" t="s">
        <v>460</v>
      </c>
      <c r="G674" s="8" t="s">
        <v>2440</v>
      </c>
      <c r="H674" s="9">
        <v>50000</v>
      </c>
      <c r="I674" s="9">
        <f>[1]!Tabel1[[#This Row],[Honorar]]*[1]!Tabel1[[#This Row],[Sandsynlighed]]</f>
        <v>75000</v>
      </c>
      <c r="J674" s="10" t="s">
        <v>328</v>
      </c>
      <c r="K674" s="10" t="s">
        <v>1068</v>
      </c>
      <c r="L674" s="17" t="s">
        <v>2441</v>
      </c>
      <c r="M674" s="11">
        <v>1</v>
      </c>
      <c r="N674" s="1" t="s">
        <v>777</v>
      </c>
      <c r="O674" s="10">
        <v>46279.611909722225</v>
      </c>
      <c r="P674" s="1" t="s">
        <v>72</v>
      </c>
      <c r="Q674" s="1" t="s">
        <v>46</v>
      </c>
      <c r="R674" s="8" t="s">
        <v>47</v>
      </c>
      <c r="S67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7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7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7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7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7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7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7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7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7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7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7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7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74" s="12">
        <f ca="1">[1]!Tabel1[[#This Row],[Vægtet Honorar]]*([1]!Tabel1[[#This Row],[Sidst redigeret]]&gt;TODAY()-40)*([1]!Tabel1[[#This Row],[Er i resplan?]]&lt;&gt;"Ja")*([1]!Tabel1[[#This Row],[Status]]="Pågår")</f>
        <v>0</v>
      </c>
      <c r="AG674" s="12">
        <f ca="1">[1]!Tabel1[[#This Row],[Vægtet Honorar]]*([1]!Tabel1[[#This Row],[Sidst redigeret]]&gt;TODAY()-40)*([1]!Tabel1[[#This Row],[Status]]="Pågår")</f>
        <v>0</v>
      </c>
      <c r="AH674" s="13"/>
      <c r="AI674" s="12"/>
      <c r="AJ674" s="12"/>
      <c r="AK674" s="12"/>
      <c r="AL674" s="12"/>
      <c r="AM674" s="12"/>
      <c r="AN674" s="12"/>
      <c r="AO674" s="12"/>
      <c r="AP674" s="12"/>
    </row>
    <row r="675" spans="1:42">
      <c r="A675" t="s">
        <v>2442</v>
      </c>
      <c r="B675" s="8"/>
      <c r="C675" s="8" t="s">
        <v>2443</v>
      </c>
      <c r="D675" s="8" t="s">
        <v>687</v>
      </c>
      <c r="E675" s="8" t="s">
        <v>94</v>
      </c>
      <c r="F675" s="8" t="s">
        <v>2444</v>
      </c>
      <c r="G675" s="8" t="s">
        <v>2444</v>
      </c>
      <c r="H675" s="9">
        <v>10000000</v>
      </c>
      <c r="I675" s="9">
        <f>[1]!Tabel1[[#This Row],[Honorar]]*[1]!Tabel1[[#This Row],[Sandsynlighed]]</f>
        <v>237500</v>
      </c>
      <c r="J675" s="10" t="s">
        <v>452</v>
      </c>
      <c r="K675" s="10" t="s">
        <v>1287</v>
      </c>
      <c r="L675" s="17" t="s">
        <v>942</v>
      </c>
      <c r="M675" s="11">
        <v>0.02</v>
      </c>
      <c r="N675" s="1" t="s">
        <v>777</v>
      </c>
      <c r="O675" s="10">
        <v>46279.611909722225</v>
      </c>
      <c r="P675" s="1" t="s">
        <v>72</v>
      </c>
      <c r="Q675" s="1" t="s">
        <v>72</v>
      </c>
      <c r="R675" s="8" t="s">
        <v>49</v>
      </c>
      <c r="S67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7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7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7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7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7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7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7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7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7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7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7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7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75" s="12">
        <f ca="1">[1]!Tabel1[[#This Row],[Vægtet Honorar]]*([1]!Tabel1[[#This Row],[Sidst redigeret]]&gt;TODAY()-40)*([1]!Tabel1[[#This Row],[Er i resplan?]]&lt;&gt;"Ja")*([1]!Tabel1[[#This Row],[Status]]="Pågår")</f>
        <v>0</v>
      </c>
      <c r="AG675" s="12">
        <f ca="1">[1]!Tabel1[[#This Row],[Vægtet Honorar]]*([1]!Tabel1[[#This Row],[Sidst redigeret]]&gt;TODAY()-40)*([1]!Tabel1[[#This Row],[Status]]="Pågår")</f>
        <v>0</v>
      </c>
      <c r="AH675" s="13"/>
      <c r="AI675" s="12"/>
      <c r="AJ675" s="12" t="s">
        <v>1737</v>
      </c>
      <c r="AK675" s="12" t="s">
        <v>2445</v>
      </c>
      <c r="AL675" s="12"/>
      <c r="AM675" s="12"/>
      <c r="AN675" s="12"/>
      <c r="AO675" s="12"/>
      <c r="AP675" s="12"/>
    </row>
    <row r="676" spans="1:42">
      <c r="A676" t="s">
        <v>2446</v>
      </c>
      <c r="B676" s="8"/>
      <c r="C676" s="8" t="s">
        <v>2447</v>
      </c>
      <c r="D676" s="8" t="s">
        <v>815</v>
      </c>
      <c r="E676" s="8" t="s">
        <v>167</v>
      </c>
      <c r="F676" s="8" t="s">
        <v>671</v>
      </c>
      <c r="G676" s="8" t="s">
        <v>671</v>
      </c>
      <c r="H676" s="9">
        <v>300000</v>
      </c>
      <c r="I676" s="9">
        <f>[1]!Tabel1[[#This Row],[Honorar]]*[1]!Tabel1[[#This Row],[Sandsynlighed]]</f>
        <v>118800</v>
      </c>
      <c r="J676" s="10" t="s">
        <v>328</v>
      </c>
      <c r="K676" s="10" t="s">
        <v>612</v>
      </c>
      <c r="L676" s="17"/>
      <c r="M676" s="11">
        <v>0</v>
      </c>
      <c r="N676" s="1" t="s">
        <v>777</v>
      </c>
      <c r="O676" s="10">
        <v>46279.611909722225</v>
      </c>
      <c r="P676" s="10"/>
      <c r="Q676" s="1" t="s">
        <v>46</v>
      </c>
      <c r="R676" s="8" t="s">
        <v>75</v>
      </c>
      <c r="S67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7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7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7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7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7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7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7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7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7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7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7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7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76" s="12">
        <f ca="1">[1]!Tabel1[[#This Row],[Vægtet Honorar]]*([1]!Tabel1[[#This Row],[Sidst redigeret]]&gt;TODAY()-40)*([1]!Tabel1[[#This Row],[Er i resplan?]]&lt;&gt;"Ja")*([1]!Tabel1[[#This Row],[Status]]="Pågår")</f>
        <v>0</v>
      </c>
      <c r="AG676" s="12">
        <f ca="1">[1]!Tabel1[[#This Row],[Vægtet Honorar]]*([1]!Tabel1[[#This Row],[Sidst redigeret]]&gt;TODAY()-40)*([1]!Tabel1[[#This Row],[Status]]="Pågår")</f>
        <v>0</v>
      </c>
      <c r="AH676" s="13"/>
      <c r="AI676" s="12"/>
      <c r="AJ676" s="12"/>
      <c r="AK676" s="12"/>
      <c r="AL676" s="12"/>
      <c r="AM676" s="12"/>
      <c r="AN676" s="12"/>
      <c r="AO676" s="12"/>
      <c r="AP676" s="12"/>
    </row>
    <row r="677" spans="1:42">
      <c r="A677" t="s">
        <v>2448</v>
      </c>
      <c r="B677" s="8"/>
      <c r="C677" s="8" t="s">
        <v>2449</v>
      </c>
      <c r="D677" s="8" t="s">
        <v>859</v>
      </c>
      <c r="E677" s="8" t="s">
        <v>71</v>
      </c>
      <c r="F677" s="8" t="s">
        <v>2450</v>
      </c>
      <c r="G677" s="8" t="s">
        <v>2450</v>
      </c>
      <c r="H677" s="9">
        <v>1000000</v>
      </c>
      <c r="I677" s="9">
        <f>[1]!Tabel1[[#This Row],[Honorar]]*[1]!Tabel1[[#This Row],[Sandsynlighed]]</f>
        <v>140000</v>
      </c>
      <c r="J677" s="10" t="s">
        <v>328</v>
      </c>
      <c r="K677" s="10" t="s">
        <v>1709</v>
      </c>
      <c r="L677" s="17"/>
      <c r="M677" s="11">
        <v>0.25</v>
      </c>
      <c r="N677" s="1" t="s">
        <v>777</v>
      </c>
      <c r="O677" s="10">
        <v>46279.611909722225</v>
      </c>
      <c r="P677" s="10"/>
      <c r="Q677" s="1" t="s">
        <v>46</v>
      </c>
      <c r="R677" s="8" t="s">
        <v>343</v>
      </c>
      <c r="S67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77" s="12" t="e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#REF!</v>
      </c>
      <c r="U677" s="12" t="e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#REF!</v>
      </c>
      <c r="V677" s="12" t="e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#REF!</v>
      </c>
      <c r="W677" s="12" t="e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#REF!</v>
      </c>
      <c r="X677" s="12" t="e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#REF!</v>
      </c>
      <c r="Y677" s="12" t="e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#REF!</v>
      </c>
      <c r="Z677" s="12" t="e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#REF!</v>
      </c>
      <c r="AA677" s="12" t="e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#REF!</v>
      </c>
      <c r="AB677" s="12" t="e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#REF!</v>
      </c>
      <c r="AC677" s="12" t="e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#REF!</v>
      </c>
      <c r="AD677" s="12" t="e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#REF!</v>
      </c>
      <c r="AE677" s="12" t="e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#REF!</v>
      </c>
      <c r="AF677" s="12">
        <f ca="1">[1]!Tabel1[[#This Row],[Vægtet Honorar]]*([1]!Tabel1[[#This Row],[Sidst redigeret]]&gt;TODAY()-40)*([1]!Tabel1[[#This Row],[Er i resplan?]]&lt;&gt;"Ja")*([1]!Tabel1[[#This Row],[Status]]="Pågår")</f>
        <v>0</v>
      </c>
      <c r="AG677" s="12">
        <f ca="1">[1]!Tabel1[[#This Row],[Vægtet Honorar]]*([1]!Tabel1[[#This Row],[Sidst redigeret]]&gt;TODAY()-40)*([1]!Tabel1[[#This Row],[Status]]="Pågår")</f>
        <v>0</v>
      </c>
      <c r="AH677" s="13"/>
      <c r="AI677" s="12"/>
      <c r="AJ677" s="12"/>
      <c r="AK677" s="12"/>
      <c r="AL677" s="12"/>
      <c r="AM677" s="12"/>
      <c r="AN677" s="12"/>
      <c r="AO677" s="12"/>
      <c r="AP677" s="12"/>
    </row>
    <row r="678" spans="1:42">
      <c r="A678" t="s">
        <v>2451</v>
      </c>
      <c r="B678" s="8"/>
      <c r="C678" s="8" t="s">
        <v>2452</v>
      </c>
      <c r="D678" s="8" t="s">
        <v>44</v>
      </c>
      <c r="E678" s="8" t="s">
        <v>71</v>
      </c>
      <c r="F678" s="8" t="s">
        <v>1000</v>
      </c>
      <c r="G678" s="8" t="s">
        <v>1000</v>
      </c>
      <c r="H678" s="9"/>
      <c r="I678" s="9">
        <f>[1]!Tabel1[[#This Row],[Honorar]]*[1]!Tabel1[[#This Row],[Sandsynlighed]]</f>
        <v>125000</v>
      </c>
      <c r="J678" s="10" t="s">
        <v>328</v>
      </c>
      <c r="K678" s="10" t="s">
        <v>612</v>
      </c>
      <c r="L678" s="17"/>
      <c r="M678" s="11">
        <v>0</v>
      </c>
      <c r="N678" s="1" t="s">
        <v>777</v>
      </c>
      <c r="O678" s="10">
        <v>46279.611909722225</v>
      </c>
      <c r="P678" s="10"/>
      <c r="Q678" s="1" t="s">
        <v>72</v>
      </c>
      <c r="R678" s="8" t="s">
        <v>75</v>
      </c>
      <c r="S67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7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7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7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7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7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7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7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7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7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7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7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7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78" s="12">
        <f ca="1">[1]!Tabel1[[#This Row],[Vægtet Honorar]]*([1]!Tabel1[[#This Row],[Sidst redigeret]]&gt;TODAY()-40)*([1]!Tabel1[[#This Row],[Er i resplan?]]&lt;&gt;"Ja")*([1]!Tabel1[[#This Row],[Status]]="Pågår")</f>
        <v>0</v>
      </c>
      <c r="AG678" s="12">
        <f ca="1">[1]!Tabel1[[#This Row],[Vægtet Honorar]]*([1]!Tabel1[[#This Row],[Sidst redigeret]]&gt;TODAY()-40)*([1]!Tabel1[[#This Row],[Status]]="Pågår")</f>
        <v>0</v>
      </c>
      <c r="AH678" s="13"/>
      <c r="AI678" s="12"/>
      <c r="AJ678" s="12"/>
      <c r="AK678" s="12"/>
      <c r="AL678" s="12"/>
      <c r="AM678" s="12"/>
      <c r="AN678" s="12"/>
      <c r="AO678" s="12"/>
      <c r="AP678" s="12"/>
    </row>
    <row r="679" spans="1:42" ht="30">
      <c r="A679" t="s">
        <v>2453</v>
      </c>
      <c r="B679" s="8"/>
      <c r="C679" s="8" t="s">
        <v>2454</v>
      </c>
      <c r="D679" s="8" t="s">
        <v>44</v>
      </c>
      <c r="E679" s="8" t="s">
        <v>71</v>
      </c>
      <c r="F679" s="8" t="s">
        <v>1735</v>
      </c>
      <c r="G679" s="8" t="s">
        <v>1735</v>
      </c>
      <c r="H679" s="9">
        <v>75000</v>
      </c>
      <c r="I679" s="9">
        <f>[1]!Tabel1[[#This Row],[Honorar]]*[1]!Tabel1[[#This Row],[Sandsynlighed]]</f>
        <v>50000</v>
      </c>
      <c r="J679" s="10" t="s">
        <v>1061</v>
      </c>
      <c r="K679" s="10" t="s">
        <v>1061</v>
      </c>
      <c r="L679" s="17" t="s">
        <v>2455</v>
      </c>
      <c r="M679" s="11">
        <v>1</v>
      </c>
      <c r="N679" s="1" t="s">
        <v>777</v>
      </c>
      <c r="O679" s="10">
        <v>46279.611909722225</v>
      </c>
      <c r="P679" s="10"/>
      <c r="Q679" s="1" t="s">
        <v>46</v>
      </c>
      <c r="R679" s="8" t="s">
        <v>47</v>
      </c>
      <c r="S67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7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7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7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7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7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7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7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7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7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7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7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7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79" s="12">
        <f ca="1">[1]!Tabel1[[#This Row],[Vægtet Honorar]]*([1]!Tabel1[[#This Row],[Sidst redigeret]]&gt;TODAY()-40)*([1]!Tabel1[[#This Row],[Er i resplan?]]&lt;&gt;"Ja")*([1]!Tabel1[[#This Row],[Status]]="Pågår")</f>
        <v>0</v>
      </c>
      <c r="AG679" s="12">
        <f ca="1">[1]!Tabel1[[#This Row],[Vægtet Honorar]]*([1]!Tabel1[[#This Row],[Sidst redigeret]]&gt;TODAY()-40)*([1]!Tabel1[[#This Row],[Status]]="Pågår")</f>
        <v>0</v>
      </c>
      <c r="AH679" s="13"/>
      <c r="AI679" s="12"/>
      <c r="AJ679" s="12"/>
      <c r="AK679" s="12"/>
      <c r="AL679" s="12"/>
      <c r="AM679" s="12"/>
      <c r="AN679" s="12"/>
      <c r="AO679" s="12"/>
      <c r="AP679" s="12"/>
    </row>
    <row r="680" spans="1:42">
      <c r="A680" t="s">
        <v>2456</v>
      </c>
      <c r="B680" s="8"/>
      <c r="C680" s="8" t="s">
        <v>2457</v>
      </c>
      <c r="D680" s="8" t="s">
        <v>57</v>
      </c>
      <c r="E680" s="8" t="s">
        <v>94</v>
      </c>
      <c r="F680" s="8" t="s">
        <v>1804</v>
      </c>
      <c r="G680" s="8" t="s">
        <v>1804</v>
      </c>
      <c r="H680" s="9">
        <v>250000</v>
      </c>
      <c r="I680" s="9">
        <f>[1]!Tabel1[[#This Row],[Honorar]]*[1]!Tabel1[[#This Row],[Sandsynlighed]]</f>
        <v>200000</v>
      </c>
      <c r="J680" s="10" t="s">
        <v>328</v>
      </c>
      <c r="K680" s="10" t="s">
        <v>585</v>
      </c>
      <c r="L680" s="17"/>
      <c r="M680" s="11">
        <v>0.2</v>
      </c>
      <c r="N680" s="1"/>
      <c r="O680" s="10">
        <v>46279.611909722225</v>
      </c>
      <c r="P680" s="1" t="s">
        <v>72</v>
      </c>
      <c r="Q680" s="1" t="s">
        <v>72</v>
      </c>
      <c r="R680" s="8" t="s">
        <v>49</v>
      </c>
      <c r="S68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8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8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8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8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8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8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8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8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8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8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8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8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80" s="12">
        <f ca="1">[1]!Tabel1[[#This Row],[Vægtet Honorar]]*([1]!Tabel1[[#This Row],[Sidst redigeret]]&gt;TODAY()-40)*([1]!Tabel1[[#This Row],[Er i resplan?]]&lt;&gt;"Ja")*([1]!Tabel1[[#This Row],[Status]]="Pågår")</f>
        <v>0</v>
      </c>
      <c r="AG680" s="12">
        <f ca="1">[1]!Tabel1[[#This Row],[Vægtet Honorar]]*([1]!Tabel1[[#This Row],[Sidst redigeret]]&gt;TODAY()-40)*([1]!Tabel1[[#This Row],[Status]]="Pågår")</f>
        <v>0</v>
      </c>
      <c r="AH680" s="13"/>
      <c r="AI680" s="12"/>
      <c r="AJ680" s="12"/>
      <c r="AK680" s="12"/>
      <c r="AL680" s="12"/>
      <c r="AM680" s="12"/>
      <c r="AN680" s="12"/>
      <c r="AO680" s="12"/>
      <c r="AP680" s="12"/>
    </row>
    <row r="681" spans="1:42">
      <c r="A681" t="s">
        <v>2458</v>
      </c>
      <c r="B681" s="8"/>
      <c r="C681" s="8" t="s">
        <v>2459</v>
      </c>
      <c r="D681" s="8" t="s">
        <v>57</v>
      </c>
      <c r="E681" s="8" t="s">
        <v>94</v>
      </c>
      <c r="F681" s="8" t="s">
        <v>2460</v>
      </c>
      <c r="G681" s="8" t="s">
        <v>2461</v>
      </c>
      <c r="H681" s="9">
        <v>2500000</v>
      </c>
      <c r="I681" s="9">
        <f>[1]!Tabel1[[#This Row],[Honorar]]*[1]!Tabel1[[#This Row],[Sandsynlighed]]</f>
        <v>0</v>
      </c>
      <c r="J681" s="10" t="s">
        <v>328</v>
      </c>
      <c r="K681" s="10" t="s">
        <v>1287</v>
      </c>
      <c r="L681" s="17" t="s">
        <v>942</v>
      </c>
      <c r="M681" s="11">
        <v>0.02</v>
      </c>
      <c r="N681" s="1"/>
      <c r="O681" s="10">
        <v>46279.611909722225</v>
      </c>
      <c r="P681" s="1" t="s">
        <v>72</v>
      </c>
      <c r="Q681" s="1" t="s">
        <v>72</v>
      </c>
      <c r="R681" s="8" t="s">
        <v>75</v>
      </c>
      <c r="S68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8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8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8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8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8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8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8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8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8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8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8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8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81" s="12">
        <f ca="1">[1]!Tabel1[[#This Row],[Vægtet Honorar]]*([1]!Tabel1[[#This Row],[Sidst redigeret]]&gt;TODAY()-40)*([1]!Tabel1[[#This Row],[Er i resplan?]]&lt;&gt;"Ja")*([1]!Tabel1[[#This Row],[Status]]="Pågår")</f>
        <v>0</v>
      </c>
      <c r="AG681" s="12">
        <f ca="1">[1]!Tabel1[[#This Row],[Vægtet Honorar]]*([1]!Tabel1[[#This Row],[Sidst redigeret]]&gt;TODAY()-40)*([1]!Tabel1[[#This Row],[Status]]="Pågår")</f>
        <v>0</v>
      </c>
      <c r="AH681" s="13"/>
      <c r="AI681" s="12"/>
      <c r="AJ681" s="12" t="s">
        <v>2462</v>
      </c>
      <c r="AK681" s="12"/>
      <c r="AL681" s="12"/>
      <c r="AM681" s="12"/>
      <c r="AN681" s="12"/>
      <c r="AO681" s="12"/>
      <c r="AP681" s="12"/>
    </row>
    <row r="682" spans="1:42">
      <c r="A682" t="s">
        <v>2463</v>
      </c>
      <c r="B682" s="8"/>
      <c r="C682" s="8" t="s">
        <v>2464</v>
      </c>
      <c r="D682" s="8" t="s">
        <v>197</v>
      </c>
      <c r="E682" s="8" t="s">
        <v>167</v>
      </c>
      <c r="F682" s="8" t="s">
        <v>671</v>
      </c>
      <c r="G682" s="8" t="s">
        <v>671</v>
      </c>
      <c r="H682" s="9">
        <v>720000</v>
      </c>
      <c r="I682" s="9">
        <f>[1]!Tabel1[[#This Row],[Honorar]]*[1]!Tabel1[[#This Row],[Sandsynlighed]]</f>
        <v>250000</v>
      </c>
      <c r="J682" s="10" t="s">
        <v>328</v>
      </c>
      <c r="K682" s="10" t="s">
        <v>1287</v>
      </c>
      <c r="L682" s="17" t="s">
        <v>942</v>
      </c>
      <c r="M682" s="11">
        <v>0.02</v>
      </c>
      <c r="N682" s="1"/>
      <c r="O682" s="10">
        <v>46279.611909722225</v>
      </c>
      <c r="P682" s="10"/>
      <c r="Q682" s="1" t="s">
        <v>72</v>
      </c>
      <c r="R682" s="8" t="s">
        <v>343</v>
      </c>
      <c r="S68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8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8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8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8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8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8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8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8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8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8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8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8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82" s="12">
        <f ca="1">[1]!Tabel1[[#This Row],[Vægtet Honorar]]*([1]!Tabel1[[#This Row],[Sidst redigeret]]&gt;TODAY()-40)*([1]!Tabel1[[#This Row],[Er i resplan?]]&lt;&gt;"Ja")*([1]!Tabel1[[#This Row],[Status]]="Pågår")</f>
        <v>0</v>
      </c>
      <c r="AG682" s="12">
        <f ca="1">[1]!Tabel1[[#This Row],[Vægtet Honorar]]*([1]!Tabel1[[#This Row],[Sidst redigeret]]&gt;TODAY()-40)*([1]!Tabel1[[#This Row],[Status]]="Pågår")</f>
        <v>250000</v>
      </c>
      <c r="AH682" s="13"/>
      <c r="AI682" s="12"/>
      <c r="AJ682" s="12" t="s">
        <v>767</v>
      </c>
      <c r="AK682" s="12"/>
      <c r="AL682" s="12"/>
      <c r="AM682" s="12"/>
      <c r="AN682" s="12"/>
      <c r="AO682" s="12"/>
      <c r="AP682" s="12"/>
    </row>
    <row r="683" spans="1:42" ht="45">
      <c r="A683" t="s">
        <v>2465</v>
      </c>
      <c r="B683" s="8"/>
      <c r="C683" s="8" t="s">
        <v>2466</v>
      </c>
      <c r="D683" s="8" t="s">
        <v>1764</v>
      </c>
      <c r="E683" s="8" t="s">
        <v>71</v>
      </c>
      <c r="F683" s="8" t="s">
        <v>1100</v>
      </c>
      <c r="G683" s="8" t="s">
        <v>1100</v>
      </c>
      <c r="H683" s="9">
        <v>125000</v>
      </c>
      <c r="I683" s="9">
        <f>[1]!Tabel1[[#This Row],[Honorar]]*[1]!Tabel1[[#This Row],[Sandsynlighed]]</f>
        <v>0</v>
      </c>
      <c r="J683" s="10" t="s">
        <v>328</v>
      </c>
      <c r="K683" s="10" t="s">
        <v>612</v>
      </c>
      <c r="L683" s="17" t="s">
        <v>2467</v>
      </c>
      <c r="M683" s="11">
        <v>0.2</v>
      </c>
      <c r="N683" s="1"/>
      <c r="O683" s="10">
        <v>46279.611909722225</v>
      </c>
      <c r="P683" s="10"/>
      <c r="Q683" s="1" t="s">
        <v>72</v>
      </c>
      <c r="R683" s="8" t="s">
        <v>75</v>
      </c>
      <c r="S68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8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8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8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8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8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8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8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8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8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8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8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8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83" s="12">
        <f ca="1">[1]!Tabel1[[#This Row],[Vægtet Honorar]]*([1]!Tabel1[[#This Row],[Sidst redigeret]]&gt;TODAY()-40)*([1]!Tabel1[[#This Row],[Er i resplan?]]&lt;&gt;"Ja")*([1]!Tabel1[[#This Row],[Status]]="Pågår")</f>
        <v>0</v>
      </c>
      <c r="AG683" s="12">
        <f ca="1">[1]!Tabel1[[#This Row],[Vægtet Honorar]]*([1]!Tabel1[[#This Row],[Sidst redigeret]]&gt;TODAY()-40)*([1]!Tabel1[[#This Row],[Status]]="Pågår")</f>
        <v>0</v>
      </c>
      <c r="AH683" s="13"/>
      <c r="AI683" s="12"/>
      <c r="AJ683" s="12"/>
      <c r="AK683" s="12"/>
      <c r="AL683" s="12"/>
      <c r="AM683" s="12"/>
      <c r="AN683" s="12"/>
      <c r="AO683" s="12"/>
      <c r="AP683" s="12"/>
    </row>
    <row r="684" spans="1:42">
      <c r="A684" t="s">
        <v>2468</v>
      </c>
      <c r="B684" s="8"/>
      <c r="C684" s="8" t="s">
        <v>2469</v>
      </c>
      <c r="D684" s="8" t="s">
        <v>1623</v>
      </c>
      <c r="E684" s="8" t="s">
        <v>102</v>
      </c>
      <c r="F684" s="8" t="s">
        <v>2470</v>
      </c>
      <c r="G684" s="8" t="s">
        <v>2470</v>
      </c>
      <c r="H684" s="9">
        <v>50000</v>
      </c>
      <c r="I684" s="9">
        <f>[1]!Tabel1[[#This Row],[Honorar]]*[1]!Tabel1[[#This Row],[Sandsynlighed]]</f>
        <v>75000</v>
      </c>
      <c r="J684" s="10" t="s">
        <v>328</v>
      </c>
      <c r="K684" s="10" t="s">
        <v>328</v>
      </c>
      <c r="L684" s="17" t="s">
        <v>1459</v>
      </c>
      <c r="M684" s="11">
        <v>1</v>
      </c>
      <c r="N684" s="1"/>
      <c r="O684" s="10">
        <v>46279.611909722225</v>
      </c>
      <c r="P684" s="10"/>
      <c r="Q684" s="1" t="s">
        <v>46</v>
      </c>
      <c r="R684" s="8" t="s">
        <v>47</v>
      </c>
      <c r="S68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8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8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8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8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8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8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8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8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8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8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8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8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84" s="12">
        <f ca="1">[1]!Tabel1[[#This Row],[Vægtet Honorar]]*([1]!Tabel1[[#This Row],[Sidst redigeret]]&gt;TODAY()-40)*([1]!Tabel1[[#This Row],[Er i resplan?]]&lt;&gt;"Ja")*([1]!Tabel1[[#This Row],[Status]]="Pågår")</f>
        <v>0</v>
      </c>
      <c r="AG684" s="12">
        <f ca="1">[1]!Tabel1[[#This Row],[Vægtet Honorar]]*([1]!Tabel1[[#This Row],[Sidst redigeret]]&gt;TODAY()-40)*([1]!Tabel1[[#This Row],[Status]]="Pågår")</f>
        <v>0</v>
      </c>
      <c r="AH684" s="13"/>
      <c r="AI684" s="12"/>
      <c r="AJ684" s="12"/>
      <c r="AK684" s="12"/>
      <c r="AL684" s="12"/>
      <c r="AM684" s="12"/>
      <c r="AN684" s="12"/>
      <c r="AO684" s="12"/>
      <c r="AP684" s="12"/>
    </row>
    <row r="685" spans="1:42" ht="75">
      <c r="A685" t="s">
        <v>2471</v>
      </c>
      <c r="B685" s="8"/>
      <c r="C685" s="8" t="s">
        <v>2472</v>
      </c>
      <c r="D685" s="8" t="s">
        <v>57</v>
      </c>
      <c r="E685" s="8" t="s">
        <v>167</v>
      </c>
      <c r="F685" s="8" t="s">
        <v>2473</v>
      </c>
      <c r="G685" s="8" t="s">
        <v>2474</v>
      </c>
      <c r="H685" s="9">
        <v>1000000</v>
      </c>
      <c r="I685" s="9">
        <f>[1]!Tabel1[[#This Row],[Honorar]]*[1]!Tabel1[[#This Row],[Sandsynlighed]]</f>
        <v>50000</v>
      </c>
      <c r="J685" s="10" t="s">
        <v>612</v>
      </c>
      <c r="K685" s="10" t="s">
        <v>1191</v>
      </c>
      <c r="L685" s="17" t="s">
        <v>2475</v>
      </c>
      <c r="M685" s="11">
        <v>0.01</v>
      </c>
      <c r="N685" s="1">
        <v>6000</v>
      </c>
      <c r="O685" s="10">
        <v>46279.611909722225</v>
      </c>
      <c r="P685" s="10"/>
      <c r="Q685" s="1" t="s">
        <v>72</v>
      </c>
      <c r="R685" s="8" t="s">
        <v>49</v>
      </c>
      <c r="S68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8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8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8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8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8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8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8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8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8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8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8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8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85" s="12">
        <f ca="1">[1]!Tabel1[[#This Row],[Vægtet Honorar]]*([1]!Tabel1[[#This Row],[Sidst redigeret]]&gt;TODAY()-40)*([1]!Tabel1[[#This Row],[Er i resplan?]]&lt;&gt;"Ja")*([1]!Tabel1[[#This Row],[Status]]="Pågår")</f>
        <v>0</v>
      </c>
      <c r="AG685" s="12">
        <f ca="1">[1]!Tabel1[[#This Row],[Vægtet Honorar]]*([1]!Tabel1[[#This Row],[Sidst redigeret]]&gt;TODAY()-40)*([1]!Tabel1[[#This Row],[Status]]="Pågår")</f>
        <v>0</v>
      </c>
      <c r="AH685" s="13"/>
      <c r="AI685" s="12"/>
      <c r="AJ685" s="12" t="s">
        <v>2476</v>
      </c>
      <c r="AK685" s="12"/>
      <c r="AL685" s="12"/>
      <c r="AM685" s="12"/>
      <c r="AN685" s="12"/>
      <c r="AO685" s="12"/>
      <c r="AP685" s="12"/>
    </row>
    <row r="686" spans="1:42" ht="45">
      <c r="A686" t="s">
        <v>2477</v>
      </c>
      <c r="B686" s="8"/>
      <c r="C686" s="8" t="s">
        <v>2478</v>
      </c>
      <c r="D686" s="8" t="s">
        <v>200</v>
      </c>
      <c r="E686" s="8" t="s">
        <v>120</v>
      </c>
      <c r="F686" s="8"/>
      <c r="G686" s="8"/>
      <c r="H686" s="9">
        <v>1000000</v>
      </c>
      <c r="I686" s="9">
        <f>[1]!Tabel1[[#This Row],[Honorar]]*[1]!Tabel1[[#This Row],[Sandsynlighed]]</f>
        <v>50000</v>
      </c>
      <c r="J686" s="10" t="s">
        <v>328</v>
      </c>
      <c r="K686" s="10" t="s">
        <v>1191</v>
      </c>
      <c r="L686" s="17" t="s">
        <v>2479</v>
      </c>
      <c r="M686" s="11">
        <v>0.05</v>
      </c>
      <c r="N686" s="1"/>
      <c r="O686" s="10">
        <v>46279.611909722225</v>
      </c>
      <c r="P686" s="10"/>
      <c r="Q686" s="1" t="s">
        <v>72</v>
      </c>
      <c r="R686" s="8" t="s">
        <v>75</v>
      </c>
      <c r="S68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8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8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8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8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8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8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8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8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8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8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8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8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86" s="12">
        <f ca="1">[1]!Tabel1[[#This Row],[Vægtet Honorar]]*([1]!Tabel1[[#This Row],[Sidst redigeret]]&gt;TODAY()-40)*([1]!Tabel1[[#This Row],[Er i resplan?]]&lt;&gt;"Ja")*([1]!Tabel1[[#This Row],[Status]]="Pågår")</f>
        <v>0</v>
      </c>
      <c r="AG686" s="12">
        <f ca="1">[1]!Tabel1[[#This Row],[Vægtet Honorar]]*([1]!Tabel1[[#This Row],[Sidst redigeret]]&gt;TODAY()-40)*([1]!Tabel1[[#This Row],[Status]]="Pågår")</f>
        <v>0</v>
      </c>
      <c r="AH686" s="13"/>
      <c r="AI686" s="12"/>
      <c r="AJ686" s="12" t="s">
        <v>2480</v>
      </c>
      <c r="AK686" s="12"/>
      <c r="AL686" s="12"/>
      <c r="AM686" s="12"/>
      <c r="AN686" s="12" t="s">
        <v>2481</v>
      </c>
      <c r="AO686" s="12">
        <v>45392</v>
      </c>
      <c r="AP686" s="12">
        <v>45392</v>
      </c>
    </row>
    <row r="687" spans="1:42" ht="75">
      <c r="A687" t="s">
        <v>2482</v>
      </c>
      <c r="B687" s="8"/>
      <c r="C687" s="8" t="s">
        <v>2483</v>
      </c>
      <c r="D687" s="8" t="s">
        <v>57</v>
      </c>
      <c r="E687" s="8" t="s">
        <v>94</v>
      </c>
      <c r="F687" s="8" t="s">
        <v>2003</v>
      </c>
      <c r="G687" s="8" t="s">
        <v>2484</v>
      </c>
      <c r="H687" s="9">
        <v>6000000</v>
      </c>
      <c r="I687" s="9">
        <f>[1]!Tabel1[[#This Row],[Honorar]]*[1]!Tabel1[[#This Row],[Sandsynlighed]]</f>
        <v>14400</v>
      </c>
      <c r="J687" s="10" t="s">
        <v>612</v>
      </c>
      <c r="K687" s="10" t="s">
        <v>1191</v>
      </c>
      <c r="L687" s="17" t="s">
        <v>2485</v>
      </c>
      <c r="M687" s="11">
        <v>0.05</v>
      </c>
      <c r="N687" s="1">
        <v>360000000</v>
      </c>
      <c r="O687" s="10">
        <v>46279.611909722225</v>
      </c>
      <c r="P687" s="1" t="s">
        <v>72</v>
      </c>
      <c r="Q687" s="1" t="s">
        <v>72</v>
      </c>
      <c r="R687" s="8" t="s">
        <v>49</v>
      </c>
      <c r="S68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8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8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8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8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8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8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8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8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8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8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8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8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87" s="12">
        <f ca="1">[1]!Tabel1[[#This Row],[Vægtet Honorar]]*([1]!Tabel1[[#This Row],[Sidst redigeret]]&gt;TODAY()-40)*([1]!Tabel1[[#This Row],[Er i resplan?]]&lt;&gt;"Ja")*([1]!Tabel1[[#This Row],[Status]]="Pågår")</f>
        <v>14400</v>
      </c>
      <c r="AG687" s="12">
        <f ca="1">[1]!Tabel1[[#This Row],[Vægtet Honorar]]*([1]!Tabel1[[#This Row],[Sidst redigeret]]&gt;TODAY()-40)*([1]!Tabel1[[#This Row],[Status]]="Pågår")</f>
        <v>14400</v>
      </c>
      <c r="AH687" s="13"/>
      <c r="AI687" s="12"/>
      <c r="AJ687" s="12" t="s">
        <v>2486</v>
      </c>
      <c r="AK687" s="12" t="s">
        <v>1463</v>
      </c>
      <c r="AL687" s="12"/>
      <c r="AM687" s="12"/>
      <c r="AN687" s="12"/>
      <c r="AO687" s="12"/>
      <c r="AP687" s="12"/>
    </row>
    <row r="688" spans="1:42">
      <c r="A688" t="s">
        <v>2487</v>
      </c>
      <c r="B688" s="8"/>
      <c r="C688" s="8" t="s">
        <v>2488</v>
      </c>
      <c r="D688" s="8" t="s">
        <v>44</v>
      </c>
      <c r="E688" s="8" t="s">
        <v>71</v>
      </c>
      <c r="F688" s="8" t="s">
        <v>1477</v>
      </c>
      <c r="G688" s="8" t="s">
        <v>2489</v>
      </c>
      <c r="H688" s="9">
        <v>250000</v>
      </c>
      <c r="I688" s="9">
        <f>[1]!Tabel1[[#This Row],[Honorar]]*[1]!Tabel1[[#This Row],[Sandsynlighed]]</f>
        <v>25000</v>
      </c>
      <c r="J688" s="10" t="s">
        <v>328</v>
      </c>
      <c r="K688" s="10" t="s">
        <v>1061</v>
      </c>
      <c r="L688" s="17"/>
      <c r="M688" s="11">
        <v>1</v>
      </c>
      <c r="N688" s="1">
        <v>200</v>
      </c>
      <c r="O688" s="10">
        <v>46279.611909722225</v>
      </c>
      <c r="P688" s="10"/>
      <c r="Q688" s="1" t="s">
        <v>46</v>
      </c>
      <c r="R688" s="8" t="s">
        <v>47</v>
      </c>
      <c r="S68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8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8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8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8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8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8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8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8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8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8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8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8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88" s="12">
        <f ca="1">[1]!Tabel1[[#This Row],[Vægtet Honorar]]*([1]!Tabel1[[#This Row],[Sidst redigeret]]&gt;TODAY()-40)*([1]!Tabel1[[#This Row],[Er i resplan?]]&lt;&gt;"Ja")*([1]!Tabel1[[#This Row],[Status]]="Pågår")</f>
        <v>0</v>
      </c>
      <c r="AG688" s="12">
        <f ca="1">[1]!Tabel1[[#This Row],[Vægtet Honorar]]*([1]!Tabel1[[#This Row],[Sidst redigeret]]&gt;TODAY()-40)*([1]!Tabel1[[#This Row],[Status]]="Pågår")</f>
        <v>0</v>
      </c>
      <c r="AH688" s="13"/>
      <c r="AI688" s="12"/>
      <c r="AJ688" s="12"/>
      <c r="AK688" s="12"/>
      <c r="AL688" s="12"/>
      <c r="AM688" s="12"/>
      <c r="AN688" s="12"/>
      <c r="AO688" s="12"/>
      <c r="AP688" s="12"/>
    </row>
    <row r="689" spans="1:42">
      <c r="A689" t="s">
        <v>2490</v>
      </c>
      <c r="B689" s="8"/>
      <c r="C689" s="8" t="s">
        <v>2491</v>
      </c>
      <c r="D689" s="8" t="s">
        <v>859</v>
      </c>
      <c r="E689" s="8" t="s">
        <v>71</v>
      </c>
      <c r="F689" s="8" t="s">
        <v>1945</v>
      </c>
      <c r="G689" s="8" t="s">
        <v>2492</v>
      </c>
      <c r="H689" s="9">
        <v>250000</v>
      </c>
      <c r="I689" s="9">
        <f>[1]!Tabel1[[#This Row],[Honorar]]*[1]!Tabel1[[#This Row],[Sandsynlighed]]</f>
        <v>50000</v>
      </c>
      <c r="J689" s="10" t="s">
        <v>328</v>
      </c>
      <c r="K689" s="10" t="s">
        <v>452</v>
      </c>
      <c r="L689" s="17"/>
      <c r="M689" s="11">
        <v>0.75</v>
      </c>
      <c r="N689" s="1"/>
      <c r="O689" s="10">
        <v>46279.611909722225</v>
      </c>
      <c r="P689" s="10"/>
      <c r="Q689" s="1" t="s">
        <v>46</v>
      </c>
      <c r="R689" s="8" t="s">
        <v>47</v>
      </c>
      <c r="S68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8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8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8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8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8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8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8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8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8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8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8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8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89" s="12">
        <f ca="1">[1]!Tabel1[[#This Row],[Vægtet Honorar]]*([1]!Tabel1[[#This Row],[Sidst redigeret]]&gt;TODAY()-40)*([1]!Tabel1[[#This Row],[Er i resplan?]]&lt;&gt;"Ja")*([1]!Tabel1[[#This Row],[Status]]="Pågår")</f>
        <v>0</v>
      </c>
      <c r="AG689" s="12">
        <f ca="1">[1]!Tabel1[[#This Row],[Vægtet Honorar]]*([1]!Tabel1[[#This Row],[Sidst redigeret]]&gt;TODAY()-40)*([1]!Tabel1[[#This Row],[Status]]="Pågår")</f>
        <v>0</v>
      </c>
      <c r="AH689" s="13"/>
      <c r="AI689" s="12"/>
      <c r="AJ689" s="12"/>
      <c r="AK689" s="12"/>
      <c r="AL689" s="12"/>
      <c r="AM689" s="12"/>
      <c r="AN689" s="12"/>
      <c r="AO689" s="12"/>
      <c r="AP689" s="12"/>
    </row>
    <row r="690" spans="1:42" ht="105">
      <c r="A690" t="s">
        <v>2493</v>
      </c>
      <c r="B690" s="8"/>
      <c r="C690" s="8" t="s">
        <v>2494</v>
      </c>
      <c r="D690" s="8" t="s">
        <v>134</v>
      </c>
      <c r="E690" s="8" t="s">
        <v>94</v>
      </c>
      <c r="F690" s="8" t="s">
        <v>1683</v>
      </c>
      <c r="G690" s="8" t="s">
        <v>2495</v>
      </c>
      <c r="H690" s="9">
        <v>5500000</v>
      </c>
      <c r="I690" s="9">
        <f>[1]!Tabel1[[#This Row],[Honorar]]*[1]!Tabel1[[#This Row],[Sandsynlighed]]</f>
        <v>10000</v>
      </c>
      <c r="J690" s="10" t="s">
        <v>328</v>
      </c>
      <c r="K690" s="10" t="s">
        <v>612</v>
      </c>
      <c r="L690" s="17" t="s">
        <v>2496</v>
      </c>
      <c r="M690" s="11">
        <v>0.5</v>
      </c>
      <c r="N690" s="1">
        <v>9000</v>
      </c>
      <c r="O690" s="10">
        <v>46279.611909722225</v>
      </c>
      <c r="P690" s="1" t="s">
        <v>72</v>
      </c>
      <c r="Q690" s="1" t="s">
        <v>46</v>
      </c>
      <c r="R690" s="8" t="s">
        <v>47</v>
      </c>
      <c r="S69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9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9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9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9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9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9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9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9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9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9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9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9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90" s="12">
        <f ca="1">[1]!Tabel1[[#This Row],[Vægtet Honorar]]*([1]!Tabel1[[#This Row],[Sidst redigeret]]&gt;TODAY()-40)*([1]!Tabel1[[#This Row],[Er i resplan?]]&lt;&gt;"Ja")*([1]!Tabel1[[#This Row],[Status]]="Pågår")</f>
        <v>0</v>
      </c>
      <c r="AG690" s="12">
        <f ca="1">[1]!Tabel1[[#This Row],[Vægtet Honorar]]*([1]!Tabel1[[#This Row],[Sidst redigeret]]&gt;TODAY()-40)*([1]!Tabel1[[#This Row],[Status]]="Pågår")</f>
        <v>0</v>
      </c>
      <c r="AH690" s="13"/>
      <c r="AI690" s="12"/>
      <c r="AJ690" s="12"/>
      <c r="AK690" s="12"/>
      <c r="AL690" s="12"/>
      <c r="AM690" s="12"/>
      <c r="AN690" s="12"/>
      <c r="AO690" s="12"/>
      <c r="AP690" s="12"/>
    </row>
    <row r="691" spans="1:42" ht="120">
      <c r="A691" t="s">
        <v>2497</v>
      </c>
      <c r="B691" s="8"/>
      <c r="C691" s="8" t="s">
        <v>2498</v>
      </c>
      <c r="D691" s="8" t="s">
        <v>134</v>
      </c>
      <c r="E691" s="8" t="s">
        <v>94</v>
      </c>
      <c r="F691" s="8" t="s">
        <v>2499</v>
      </c>
      <c r="G691" s="8" t="s">
        <v>929</v>
      </c>
      <c r="H691" s="9">
        <v>100000</v>
      </c>
      <c r="I691" s="9">
        <f>[1]!Tabel1[[#This Row],[Honorar]]*[1]!Tabel1[[#This Row],[Sandsynlighed]]</f>
        <v>50000</v>
      </c>
      <c r="J691" s="10" t="s">
        <v>341</v>
      </c>
      <c r="K691" s="10" t="s">
        <v>342</v>
      </c>
      <c r="L691" s="17" t="s">
        <v>2500</v>
      </c>
      <c r="M691" s="11">
        <v>0.05</v>
      </c>
      <c r="N691" s="1">
        <v>120</v>
      </c>
      <c r="O691" s="10">
        <v>46279.611909722225</v>
      </c>
      <c r="P691" s="1" t="s">
        <v>72</v>
      </c>
      <c r="Q691" s="1" t="s">
        <v>46</v>
      </c>
      <c r="R691" s="8" t="s">
        <v>49</v>
      </c>
      <c r="S69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9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9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9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9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9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9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9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9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9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9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9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9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91" s="12">
        <f ca="1">[1]!Tabel1[[#This Row],[Vægtet Honorar]]*([1]!Tabel1[[#This Row],[Sidst redigeret]]&gt;TODAY()-40)*([1]!Tabel1[[#This Row],[Er i resplan?]]&lt;&gt;"Ja")*([1]!Tabel1[[#This Row],[Status]]="Pågår")</f>
        <v>0</v>
      </c>
      <c r="AG691" s="12">
        <f ca="1">[1]!Tabel1[[#This Row],[Vægtet Honorar]]*([1]!Tabel1[[#This Row],[Sidst redigeret]]&gt;TODAY()-40)*([1]!Tabel1[[#This Row],[Status]]="Pågår")</f>
        <v>0</v>
      </c>
      <c r="AH691" s="13"/>
      <c r="AI691" s="12"/>
      <c r="AJ691" s="12"/>
      <c r="AK691" s="12"/>
      <c r="AL691" s="12"/>
      <c r="AM691" s="12"/>
      <c r="AN691" s="12"/>
      <c r="AO691" s="12"/>
      <c r="AP691" s="12"/>
    </row>
    <row r="692" spans="1:42" ht="75">
      <c r="A692" t="s">
        <v>2501</v>
      </c>
      <c r="B692" s="8"/>
      <c r="C692" s="8" t="s">
        <v>2502</v>
      </c>
      <c r="D692" s="8" t="s">
        <v>720</v>
      </c>
      <c r="E692" s="8" t="s">
        <v>71</v>
      </c>
      <c r="F692" s="8" t="s">
        <v>1012</v>
      </c>
      <c r="G692" s="8" t="s">
        <v>1012</v>
      </c>
      <c r="H692" s="9">
        <v>2500000</v>
      </c>
      <c r="I692" s="9">
        <f>[1]!Tabel1[[#This Row],[Honorar]]*[1]!Tabel1[[#This Row],[Sandsynlighed]]</f>
        <v>300000</v>
      </c>
      <c r="J692" s="10" t="s">
        <v>612</v>
      </c>
      <c r="K692" s="10" t="s">
        <v>1191</v>
      </c>
      <c r="L692" s="17" t="s">
        <v>2503</v>
      </c>
      <c r="M692" s="11">
        <v>0.05</v>
      </c>
      <c r="N692" s="1">
        <v>3000</v>
      </c>
      <c r="O692" s="10">
        <v>46279.611909722225</v>
      </c>
      <c r="P692" s="10"/>
      <c r="Q692" s="1" t="s">
        <v>72</v>
      </c>
      <c r="R692" s="8" t="s">
        <v>75</v>
      </c>
      <c r="S69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9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9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9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9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9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9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9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9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9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9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9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9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92" s="12">
        <f ca="1">[1]!Tabel1[[#This Row],[Vægtet Honorar]]*([1]!Tabel1[[#This Row],[Sidst redigeret]]&gt;TODAY()-40)*([1]!Tabel1[[#This Row],[Er i resplan?]]&lt;&gt;"Ja")*([1]!Tabel1[[#This Row],[Status]]="Pågår")</f>
        <v>0</v>
      </c>
      <c r="AG692" s="12">
        <f ca="1">[1]!Tabel1[[#This Row],[Vægtet Honorar]]*([1]!Tabel1[[#This Row],[Sidst redigeret]]&gt;TODAY()-40)*([1]!Tabel1[[#This Row],[Status]]="Pågår")</f>
        <v>0</v>
      </c>
      <c r="AH692" s="13"/>
      <c r="AI692" s="12"/>
      <c r="AJ692" s="12" t="s">
        <v>2504</v>
      </c>
      <c r="AK692" s="12"/>
      <c r="AL692" s="12"/>
      <c r="AM692" s="12"/>
      <c r="AN692" s="12"/>
      <c r="AO692" s="12"/>
      <c r="AP692" s="12"/>
    </row>
    <row r="693" spans="1:42" ht="45">
      <c r="A693" t="s">
        <v>2505</v>
      </c>
      <c r="B693" s="8">
        <v>242400</v>
      </c>
      <c r="C693" s="8" t="s">
        <v>2506</v>
      </c>
      <c r="D693" s="8" t="s">
        <v>1883</v>
      </c>
      <c r="E693" s="8" t="s">
        <v>71</v>
      </c>
      <c r="F693" s="8" t="s">
        <v>721</v>
      </c>
      <c r="G693" s="8" t="s">
        <v>721</v>
      </c>
      <c r="H693" s="9">
        <v>450000</v>
      </c>
      <c r="I693" s="9">
        <f>[1]!Tabel1[[#This Row],[Honorar]]*[1]!Tabel1[[#This Row],[Sandsynlighed]]</f>
        <v>250000</v>
      </c>
      <c r="J693" s="10" t="s">
        <v>328</v>
      </c>
      <c r="K693" s="10" t="s">
        <v>1191</v>
      </c>
      <c r="L693" s="17" t="s">
        <v>2507</v>
      </c>
      <c r="M693" s="11"/>
      <c r="N693" s="1">
        <v>5200</v>
      </c>
      <c r="O693" s="10">
        <v>46279.611909722225</v>
      </c>
      <c r="P693" s="10"/>
      <c r="Q693" s="1" t="s">
        <v>46</v>
      </c>
      <c r="R693" s="8" t="s">
        <v>47</v>
      </c>
      <c r="S69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9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9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9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9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9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9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9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9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9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9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9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9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93" s="12">
        <f ca="1">[1]!Tabel1[[#This Row],[Vægtet Honorar]]*([1]!Tabel1[[#This Row],[Sidst redigeret]]&gt;TODAY()-40)*([1]!Tabel1[[#This Row],[Er i resplan?]]&lt;&gt;"Ja")*([1]!Tabel1[[#This Row],[Status]]="Pågår")</f>
        <v>0</v>
      </c>
      <c r="AG693" s="12">
        <f ca="1">[1]!Tabel1[[#This Row],[Vægtet Honorar]]*([1]!Tabel1[[#This Row],[Sidst redigeret]]&gt;TODAY()-40)*([1]!Tabel1[[#This Row],[Status]]="Pågår")</f>
        <v>0</v>
      </c>
      <c r="AH693" s="13"/>
      <c r="AI693" s="12"/>
      <c r="AJ693" s="12"/>
      <c r="AK693" s="12"/>
      <c r="AL693" s="12"/>
      <c r="AM693" s="12"/>
      <c r="AN693" s="12"/>
      <c r="AO693" s="12"/>
      <c r="AP693" s="12"/>
    </row>
    <row r="694" spans="1:42">
      <c r="A694" t="s">
        <v>2508</v>
      </c>
      <c r="B694" s="8"/>
      <c r="C694" s="8" t="s">
        <v>2509</v>
      </c>
      <c r="D694" s="8" t="s">
        <v>2510</v>
      </c>
      <c r="E694" s="8" t="s">
        <v>167</v>
      </c>
      <c r="F694" s="8" t="s">
        <v>2511</v>
      </c>
      <c r="G694" s="8" t="s">
        <v>2511</v>
      </c>
      <c r="H694" s="9">
        <v>50000</v>
      </c>
      <c r="I694" s="9">
        <f>[1]!Tabel1[[#This Row],[Honorar]]*[1]!Tabel1[[#This Row],[Sandsynlighed]]</f>
        <v>187500</v>
      </c>
      <c r="J694" s="10" t="s">
        <v>584</v>
      </c>
      <c r="K694" s="10" t="s">
        <v>452</v>
      </c>
      <c r="L694" s="17"/>
      <c r="M694" s="11">
        <v>0.9</v>
      </c>
      <c r="N694" s="1"/>
      <c r="O694" s="10">
        <v>46279.611909722225</v>
      </c>
      <c r="P694" s="10"/>
      <c r="Q694" s="1" t="s">
        <v>46</v>
      </c>
      <c r="R694" s="8" t="s">
        <v>47</v>
      </c>
      <c r="S69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9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9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9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9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9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9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9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9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9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9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9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9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94" s="12">
        <f ca="1">[1]!Tabel1[[#This Row],[Vægtet Honorar]]*([1]!Tabel1[[#This Row],[Sidst redigeret]]&gt;TODAY()-40)*([1]!Tabel1[[#This Row],[Er i resplan?]]&lt;&gt;"Ja")*([1]!Tabel1[[#This Row],[Status]]="Pågår")</f>
        <v>0</v>
      </c>
      <c r="AG694" s="12">
        <f ca="1">[1]!Tabel1[[#This Row],[Vægtet Honorar]]*([1]!Tabel1[[#This Row],[Sidst redigeret]]&gt;TODAY()-40)*([1]!Tabel1[[#This Row],[Status]]="Pågår")</f>
        <v>0</v>
      </c>
      <c r="AH694" s="13"/>
      <c r="AI694" s="12"/>
      <c r="AJ694" s="12"/>
      <c r="AK694" s="12"/>
      <c r="AL694" s="12"/>
      <c r="AM694" s="12"/>
      <c r="AN694" s="12"/>
      <c r="AO694" s="12"/>
      <c r="AP694" s="12"/>
    </row>
    <row r="695" spans="1:42" ht="30">
      <c r="A695" t="s">
        <v>2512</v>
      </c>
      <c r="B695" s="8"/>
      <c r="C695" s="8" t="s">
        <v>2513</v>
      </c>
      <c r="D695" s="8" t="s">
        <v>358</v>
      </c>
      <c r="E695" s="8" t="s">
        <v>102</v>
      </c>
      <c r="F695" s="8" t="s">
        <v>2514</v>
      </c>
      <c r="G695" s="8" t="s">
        <v>2515</v>
      </c>
      <c r="H695" s="9">
        <v>50000</v>
      </c>
      <c r="I695" s="9">
        <f>[1]!Tabel1[[#This Row],[Honorar]]*[1]!Tabel1[[#This Row],[Sandsynlighed]]</f>
        <v>2750000</v>
      </c>
      <c r="J695" s="10" t="s">
        <v>452</v>
      </c>
      <c r="K695" s="10" t="s">
        <v>452</v>
      </c>
      <c r="L695" s="17" t="s">
        <v>2516</v>
      </c>
      <c r="M695" s="11">
        <v>1</v>
      </c>
      <c r="N695" s="1">
        <v>2000</v>
      </c>
      <c r="O695" s="10">
        <v>46279.611909722225</v>
      </c>
      <c r="P695" s="10"/>
      <c r="Q695" s="1" t="s">
        <v>46</v>
      </c>
      <c r="R695" s="8" t="s">
        <v>47</v>
      </c>
      <c r="S69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9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9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9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9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9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9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9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9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9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9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9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9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95" s="12">
        <f ca="1">[1]!Tabel1[[#This Row],[Vægtet Honorar]]*([1]!Tabel1[[#This Row],[Sidst redigeret]]&gt;TODAY()-40)*([1]!Tabel1[[#This Row],[Er i resplan?]]&lt;&gt;"Ja")*([1]!Tabel1[[#This Row],[Status]]="Pågår")</f>
        <v>0</v>
      </c>
      <c r="AG695" s="12">
        <f ca="1">[1]!Tabel1[[#This Row],[Vægtet Honorar]]*([1]!Tabel1[[#This Row],[Sidst redigeret]]&gt;TODAY()-40)*([1]!Tabel1[[#This Row],[Status]]="Pågår")</f>
        <v>0</v>
      </c>
      <c r="AH695" s="13"/>
      <c r="AI695" s="12"/>
      <c r="AJ695" s="12"/>
      <c r="AK695" s="12"/>
      <c r="AL695" s="12"/>
      <c r="AM695" s="12"/>
      <c r="AN695" s="12"/>
      <c r="AO695" s="12"/>
      <c r="AP695" s="12"/>
    </row>
    <row r="696" spans="1:42" ht="409.5">
      <c r="A696" t="s">
        <v>2517</v>
      </c>
      <c r="B696" s="8"/>
      <c r="C696" s="8" t="s">
        <v>2518</v>
      </c>
      <c r="D696" s="8" t="s">
        <v>206</v>
      </c>
      <c r="E696" s="8" t="s">
        <v>94</v>
      </c>
      <c r="F696" s="8" t="s">
        <v>460</v>
      </c>
      <c r="G696" s="8" t="s">
        <v>1711</v>
      </c>
      <c r="H696" s="9">
        <v>10000000</v>
      </c>
      <c r="I696" s="9">
        <f>[1]!Tabel1[[#This Row],[Honorar]]*[1]!Tabel1[[#This Row],[Sandsynlighed]]</f>
        <v>5000</v>
      </c>
      <c r="J696" s="10" t="s">
        <v>612</v>
      </c>
      <c r="K696" s="10" t="s">
        <v>1310</v>
      </c>
      <c r="L696" s="17" t="s">
        <v>2519</v>
      </c>
      <c r="M696" s="11">
        <v>0.3</v>
      </c>
      <c r="N696" s="1">
        <v>15000</v>
      </c>
      <c r="O696" s="10">
        <v>46279.611909722225</v>
      </c>
      <c r="P696" s="1" t="s">
        <v>72</v>
      </c>
      <c r="Q696" s="1" t="s">
        <v>72</v>
      </c>
      <c r="R696" s="8" t="s">
        <v>49</v>
      </c>
      <c r="S69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9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9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9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9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9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9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9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9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9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9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9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9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96" s="12">
        <f ca="1">[1]!Tabel1[[#This Row],[Vægtet Honorar]]*([1]!Tabel1[[#This Row],[Sidst redigeret]]&gt;TODAY()-40)*([1]!Tabel1[[#This Row],[Er i resplan?]]&lt;&gt;"Ja")*([1]!Tabel1[[#This Row],[Status]]="Pågår")</f>
        <v>0</v>
      </c>
      <c r="AG696" s="12">
        <f ca="1">[1]!Tabel1[[#This Row],[Vægtet Honorar]]*([1]!Tabel1[[#This Row],[Sidst redigeret]]&gt;TODAY()-40)*([1]!Tabel1[[#This Row],[Status]]="Pågår")</f>
        <v>0</v>
      </c>
      <c r="AH696" s="13"/>
      <c r="AI696" s="12"/>
      <c r="AJ696" s="12"/>
      <c r="AK696" s="12"/>
      <c r="AL696" s="12"/>
      <c r="AM696" s="12"/>
      <c r="AN696" s="12"/>
      <c r="AO696" s="12"/>
      <c r="AP696" s="12"/>
    </row>
    <row r="697" spans="1:42" ht="90">
      <c r="A697" t="s">
        <v>2520</v>
      </c>
      <c r="B697" s="8"/>
      <c r="C697" s="8" t="s">
        <v>2521</v>
      </c>
      <c r="D697" s="8" t="s">
        <v>1986</v>
      </c>
      <c r="E697" s="8" t="s">
        <v>120</v>
      </c>
      <c r="F697" s="8" t="s">
        <v>2522</v>
      </c>
      <c r="G697" s="8" t="s">
        <v>2522</v>
      </c>
      <c r="H697" s="9">
        <v>20000</v>
      </c>
      <c r="I697" s="9">
        <f>[1]!Tabel1[[#This Row],[Honorar]]*[1]!Tabel1[[#This Row],[Sandsynlighed]]</f>
        <v>125000</v>
      </c>
      <c r="J697" s="10" t="s">
        <v>328</v>
      </c>
      <c r="K697" s="10" t="s">
        <v>328</v>
      </c>
      <c r="L697" s="17" t="s">
        <v>2523</v>
      </c>
      <c r="M697" s="11">
        <v>1</v>
      </c>
      <c r="N697" s="1">
        <v>80</v>
      </c>
      <c r="O697" s="10">
        <v>46279.611909722225</v>
      </c>
      <c r="P697" s="10"/>
      <c r="Q697" s="1" t="s">
        <v>72</v>
      </c>
      <c r="R697" s="8" t="s">
        <v>47</v>
      </c>
      <c r="S69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9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9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9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9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9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9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9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9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9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9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9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9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97" s="12">
        <f ca="1">[1]!Tabel1[[#This Row],[Vægtet Honorar]]*([1]!Tabel1[[#This Row],[Sidst redigeret]]&gt;TODAY()-40)*([1]!Tabel1[[#This Row],[Er i resplan?]]&lt;&gt;"Ja")*([1]!Tabel1[[#This Row],[Status]]="Pågår")</f>
        <v>0</v>
      </c>
      <c r="AG697" s="12">
        <f ca="1">[1]!Tabel1[[#This Row],[Vægtet Honorar]]*([1]!Tabel1[[#This Row],[Sidst redigeret]]&gt;TODAY()-40)*([1]!Tabel1[[#This Row],[Status]]="Pågår")</f>
        <v>0</v>
      </c>
      <c r="AH697" s="13"/>
      <c r="AI697" s="12"/>
      <c r="AJ697" s="12"/>
      <c r="AK697" s="12"/>
      <c r="AL697" s="12"/>
      <c r="AM697" s="12"/>
      <c r="AN697" s="12"/>
      <c r="AO697" s="12"/>
      <c r="AP697" s="12"/>
    </row>
    <row r="698" spans="1:42">
      <c r="A698" t="s">
        <v>2524</v>
      </c>
      <c r="B698" s="8"/>
      <c r="C698" s="8"/>
      <c r="D698" s="8"/>
      <c r="E698" s="8"/>
      <c r="F698" s="8"/>
      <c r="G698" s="8"/>
      <c r="H698" s="9"/>
      <c r="I698" s="9"/>
      <c r="J698" s="10"/>
      <c r="K698" s="10"/>
      <c r="L698" s="17"/>
      <c r="M698" s="11"/>
      <c r="N698" s="1"/>
      <c r="O698" s="10">
        <v>46279.611909722225</v>
      </c>
      <c r="P698" s="10"/>
      <c r="Q698" s="1"/>
      <c r="R698" s="8" t="s">
        <v>49</v>
      </c>
      <c r="S69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9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9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9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9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9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9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9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9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9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9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9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9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98" s="12">
        <f ca="1">[1]!Tabel1[[#This Row],[Vægtet Honorar]]*([1]!Tabel1[[#This Row],[Sidst redigeret]]&gt;TODAY()-40)*([1]!Tabel1[[#This Row],[Er i resplan?]]&lt;&gt;"Ja")*([1]!Tabel1[[#This Row],[Status]]="Pågår")</f>
        <v>0</v>
      </c>
      <c r="AG698" s="12">
        <f ca="1">[1]!Tabel1[[#This Row],[Vægtet Honorar]]*([1]!Tabel1[[#This Row],[Sidst redigeret]]&gt;TODAY()-40)*([1]!Tabel1[[#This Row],[Status]]="Pågår")</f>
        <v>0</v>
      </c>
      <c r="AH698" s="13"/>
      <c r="AI698" s="12"/>
      <c r="AJ698" s="12" t="s">
        <v>2504</v>
      </c>
      <c r="AK698" s="12"/>
      <c r="AL698" s="12"/>
      <c r="AM698" s="12"/>
      <c r="AN698" s="12"/>
      <c r="AO698" s="12"/>
      <c r="AP698" s="12"/>
    </row>
    <row r="699" spans="1:42">
      <c r="A699" t="s">
        <v>2525</v>
      </c>
      <c r="B699" s="8"/>
      <c r="C699" s="8" t="s">
        <v>2526</v>
      </c>
      <c r="D699" s="8" t="s">
        <v>1886</v>
      </c>
      <c r="E699" s="8" t="s">
        <v>94</v>
      </c>
      <c r="F699" s="8" t="s">
        <v>2527</v>
      </c>
      <c r="G699" s="8" t="s">
        <v>1970</v>
      </c>
      <c r="H699" s="9">
        <v>220000</v>
      </c>
      <c r="I699" s="9">
        <f>[1]!Tabel1[[#This Row],[Honorar]]*[1]!Tabel1[[#This Row],[Sandsynlighed]]</f>
        <v>45000</v>
      </c>
      <c r="J699" s="10" t="s">
        <v>328</v>
      </c>
      <c r="K699" s="10" t="s">
        <v>328</v>
      </c>
      <c r="L699" s="17"/>
      <c r="M699" s="11">
        <v>0.9</v>
      </c>
      <c r="N699" s="1">
        <v>80</v>
      </c>
      <c r="O699" s="10">
        <v>46279.611909722225</v>
      </c>
      <c r="P699" s="1" t="s">
        <v>46</v>
      </c>
      <c r="Q699" s="1" t="s">
        <v>72</v>
      </c>
      <c r="R699" s="8" t="s">
        <v>47</v>
      </c>
      <c r="S69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69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69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69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69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69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69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69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69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69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69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69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69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699" s="12">
        <f ca="1">[1]!Tabel1[[#This Row],[Vægtet Honorar]]*([1]!Tabel1[[#This Row],[Sidst redigeret]]&gt;TODAY()-40)*([1]!Tabel1[[#This Row],[Er i resplan?]]&lt;&gt;"Ja")*([1]!Tabel1[[#This Row],[Status]]="Pågår")</f>
        <v>0</v>
      </c>
      <c r="AG699" s="12">
        <f ca="1">[1]!Tabel1[[#This Row],[Vægtet Honorar]]*([1]!Tabel1[[#This Row],[Sidst redigeret]]&gt;TODAY()-40)*([1]!Tabel1[[#This Row],[Status]]="Pågår")</f>
        <v>0</v>
      </c>
      <c r="AH699" s="13"/>
      <c r="AI699" s="12"/>
      <c r="AJ699" s="12"/>
      <c r="AK699" s="12"/>
      <c r="AL699" s="12"/>
      <c r="AM699" s="12"/>
      <c r="AN699" s="12"/>
      <c r="AO699" s="12"/>
      <c r="AP699" s="12"/>
    </row>
    <row r="700" spans="1:42">
      <c r="A700" t="s">
        <v>2528</v>
      </c>
      <c r="B700" s="8"/>
      <c r="C700" s="8" t="s">
        <v>2529</v>
      </c>
      <c r="D700" s="8" t="s">
        <v>720</v>
      </c>
      <c r="E700" s="8" t="s">
        <v>167</v>
      </c>
      <c r="F700" s="8" t="s">
        <v>671</v>
      </c>
      <c r="G700" s="8" t="s">
        <v>2530</v>
      </c>
      <c r="H700" s="9">
        <v>600000</v>
      </c>
      <c r="I700" s="9">
        <f>[1]!Tabel1[[#This Row],[Honorar]]*[1]!Tabel1[[#This Row],[Sandsynlighed]]</f>
        <v>50000</v>
      </c>
      <c r="J700" s="10" t="s">
        <v>328</v>
      </c>
      <c r="K700" s="10" t="s">
        <v>1191</v>
      </c>
      <c r="L700" s="17"/>
      <c r="M700" s="11">
        <v>0.1</v>
      </c>
      <c r="N700" s="1">
        <v>500</v>
      </c>
      <c r="O700" s="10">
        <v>46279.611909722225</v>
      </c>
      <c r="P700" s="10"/>
      <c r="Q700" s="1" t="s">
        <v>72</v>
      </c>
      <c r="R700" s="8" t="s">
        <v>343</v>
      </c>
      <c r="S70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0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0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0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0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0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0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0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0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0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0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0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0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00" s="12">
        <f ca="1">[1]!Tabel1[[#This Row],[Vægtet Honorar]]*([1]!Tabel1[[#This Row],[Sidst redigeret]]&gt;TODAY()-40)*([1]!Tabel1[[#This Row],[Er i resplan?]]&lt;&gt;"Ja")*([1]!Tabel1[[#This Row],[Status]]="Pågår")</f>
        <v>0</v>
      </c>
      <c r="AG700" s="12">
        <f ca="1">[1]!Tabel1[[#This Row],[Vægtet Honorar]]*([1]!Tabel1[[#This Row],[Sidst redigeret]]&gt;TODAY()-40)*([1]!Tabel1[[#This Row],[Status]]="Pågår")</f>
        <v>0</v>
      </c>
      <c r="AH700" s="13"/>
      <c r="AI700" s="12"/>
      <c r="AJ700" s="12"/>
      <c r="AK700" s="12"/>
      <c r="AL700" s="12"/>
      <c r="AM700" s="12"/>
      <c r="AN700" s="12"/>
      <c r="AO700" s="12"/>
      <c r="AP700" s="12"/>
    </row>
    <row r="701" spans="1:42" ht="75">
      <c r="A701" t="s">
        <v>2531</v>
      </c>
      <c r="B701" s="8"/>
      <c r="C701" s="8" t="s">
        <v>2532</v>
      </c>
      <c r="D701" s="8" t="s">
        <v>197</v>
      </c>
      <c r="E701" s="8" t="s">
        <v>167</v>
      </c>
      <c r="F701" s="8" t="s">
        <v>2533</v>
      </c>
      <c r="G701" s="8" t="s">
        <v>1469</v>
      </c>
      <c r="H701" s="9">
        <v>500000</v>
      </c>
      <c r="I701" s="9">
        <f>[1]!Tabel1[[#This Row],[Honorar]]*[1]!Tabel1[[#This Row],[Sandsynlighed]]</f>
        <v>3000000</v>
      </c>
      <c r="J701" s="10" t="s">
        <v>612</v>
      </c>
      <c r="K701" s="10" t="s">
        <v>341</v>
      </c>
      <c r="L701" s="17" t="s">
        <v>2534</v>
      </c>
      <c r="M701" s="11">
        <v>0.1</v>
      </c>
      <c r="N701" s="1"/>
      <c r="O701" s="10">
        <v>46279.611909722225</v>
      </c>
      <c r="P701" s="10"/>
      <c r="Q701" s="1" t="s">
        <v>72</v>
      </c>
      <c r="R701" s="8" t="s">
        <v>343</v>
      </c>
      <c r="S70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0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0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0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0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0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0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0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0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0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0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0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0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01" s="12">
        <f ca="1">[1]!Tabel1[[#This Row],[Vægtet Honorar]]*([1]!Tabel1[[#This Row],[Sidst redigeret]]&gt;TODAY()-40)*([1]!Tabel1[[#This Row],[Er i resplan?]]&lt;&gt;"Ja")*([1]!Tabel1[[#This Row],[Status]]="Pågår")</f>
        <v>0</v>
      </c>
      <c r="AG701" s="12">
        <f ca="1">[1]!Tabel1[[#This Row],[Vægtet Honorar]]*([1]!Tabel1[[#This Row],[Sidst redigeret]]&gt;TODAY()-40)*([1]!Tabel1[[#This Row],[Status]]="Pågår")</f>
        <v>0</v>
      </c>
      <c r="AH701" s="13"/>
      <c r="AI701" s="12"/>
      <c r="AJ701" s="12"/>
      <c r="AK701" s="12"/>
      <c r="AL701" s="12"/>
      <c r="AM701" s="12"/>
      <c r="AN701" s="12"/>
      <c r="AO701" s="12"/>
      <c r="AP701" s="12"/>
    </row>
    <row r="702" spans="1:42">
      <c r="A702" t="s">
        <v>2535</v>
      </c>
      <c r="B702" s="8"/>
      <c r="C702" s="8" t="s">
        <v>2536</v>
      </c>
      <c r="D702" s="8" t="s">
        <v>57</v>
      </c>
      <c r="E702" s="8" t="s">
        <v>167</v>
      </c>
      <c r="F702" s="8" t="s">
        <v>2536</v>
      </c>
      <c r="G702" s="8" t="s">
        <v>2536</v>
      </c>
      <c r="H702" s="9">
        <v>500000</v>
      </c>
      <c r="I702" s="9">
        <f>[1]!Tabel1[[#This Row],[Honorar]]*[1]!Tabel1[[#This Row],[Sandsynlighed]]</f>
        <v>20000</v>
      </c>
      <c r="J702" s="10" t="s">
        <v>328</v>
      </c>
      <c r="K702" s="10" t="s">
        <v>1191</v>
      </c>
      <c r="L702" s="17"/>
      <c r="M702" s="11">
        <v>0.5</v>
      </c>
      <c r="N702" s="1">
        <v>700</v>
      </c>
      <c r="O702" s="10">
        <v>46279.611909722225</v>
      </c>
      <c r="P702" s="10"/>
      <c r="Q702" s="1" t="s">
        <v>46</v>
      </c>
      <c r="R702" s="8" t="s">
        <v>75</v>
      </c>
      <c r="S70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0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0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0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0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0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0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0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0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0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0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0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0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02" s="12">
        <f ca="1">[1]!Tabel1[[#This Row],[Vægtet Honorar]]*([1]!Tabel1[[#This Row],[Sidst redigeret]]&gt;TODAY()-40)*([1]!Tabel1[[#This Row],[Er i resplan?]]&lt;&gt;"Ja")*([1]!Tabel1[[#This Row],[Status]]="Pågår")</f>
        <v>0</v>
      </c>
      <c r="AG702" s="12">
        <f ca="1">[1]!Tabel1[[#This Row],[Vægtet Honorar]]*([1]!Tabel1[[#This Row],[Sidst redigeret]]&gt;TODAY()-40)*([1]!Tabel1[[#This Row],[Status]]="Pågår")</f>
        <v>0</v>
      </c>
      <c r="AH702" s="13"/>
      <c r="AI702" s="12"/>
      <c r="AJ702" s="12" t="s">
        <v>2537</v>
      </c>
      <c r="AK702" s="12"/>
      <c r="AL702" s="12"/>
      <c r="AM702" s="12"/>
      <c r="AN702" s="12"/>
      <c r="AO702" s="12"/>
      <c r="AP702" s="12"/>
    </row>
    <row r="703" spans="1:42" ht="135">
      <c r="A703" t="s">
        <v>2538</v>
      </c>
      <c r="B703" s="8"/>
      <c r="C703" s="8" t="s">
        <v>2539</v>
      </c>
      <c r="D703" s="8" t="s">
        <v>70</v>
      </c>
      <c r="E703" s="8" t="s">
        <v>102</v>
      </c>
      <c r="F703" s="8" t="s">
        <v>2540</v>
      </c>
      <c r="G703" s="8" t="s">
        <v>2541</v>
      </c>
      <c r="H703" s="9">
        <v>1500000</v>
      </c>
      <c r="I703" s="9">
        <f>[1]!Tabel1[[#This Row],[Honorar]]*[1]!Tabel1[[#This Row],[Sandsynlighed]]</f>
        <v>0</v>
      </c>
      <c r="J703" s="10" t="s">
        <v>329</v>
      </c>
      <c r="K703" s="10" t="s">
        <v>1191</v>
      </c>
      <c r="L703" s="17" t="s">
        <v>2542</v>
      </c>
      <c r="M703" s="11">
        <v>0.05</v>
      </c>
      <c r="N703" s="1">
        <v>2000</v>
      </c>
      <c r="O703" s="10">
        <v>46279.611909722225</v>
      </c>
      <c r="P703" s="10"/>
      <c r="Q703" s="1" t="s">
        <v>72</v>
      </c>
      <c r="R703" s="8" t="s">
        <v>343</v>
      </c>
      <c r="S70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0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0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0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0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0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0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0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0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0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0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0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0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03" s="12">
        <f ca="1">[1]!Tabel1[[#This Row],[Vægtet Honorar]]*([1]!Tabel1[[#This Row],[Sidst redigeret]]&gt;TODAY()-40)*([1]!Tabel1[[#This Row],[Er i resplan?]]&lt;&gt;"Ja")*([1]!Tabel1[[#This Row],[Status]]="Pågår")</f>
        <v>0</v>
      </c>
      <c r="AG703" s="12">
        <f ca="1">[1]!Tabel1[[#This Row],[Vægtet Honorar]]*([1]!Tabel1[[#This Row],[Sidst redigeret]]&gt;TODAY()-40)*([1]!Tabel1[[#This Row],[Status]]="Pågår")</f>
        <v>0</v>
      </c>
      <c r="AH703" s="13"/>
      <c r="AI703" s="12"/>
      <c r="AJ703" s="12" t="s">
        <v>2543</v>
      </c>
      <c r="AK703" s="12"/>
      <c r="AL703" s="12"/>
      <c r="AM703" s="12"/>
      <c r="AN703" s="12"/>
      <c r="AO703" s="12"/>
      <c r="AP703" s="12"/>
    </row>
    <row r="704" spans="1:42">
      <c r="A704" t="s">
        <v>2544</v>
      </c>
      <c r="B704" s="8"/>
      <c r="C704" s="8" t="s">
        <v>2545</v>
      </c>
      <c r="D704" s="8" t="s">
        <v>2546</v>
      </c>
      <c r="E704" s="8" t="s">
        <v>71</v>
      </c>
      <c r="F704" s="8" t="s">
        <v>1945</v>
      </c>
      <c r="G704" s="8" t="s">
        <v>1945</v>
      </c>
      <c r="H704" s="9">
        <v>126625</v>
      </c>
      <c r="I704" s="9">
        <f>[1]!Tabel1[[#This Row],[Honorar]]*[1]!Tabel1[[#This Row],[Sandsynlighed]]</f>
        <v>198000</v>
      </c>
      <c r="J704" s="10" t="s">
        <v>328</v>
      </c>
      <c r="K704" s="10" t="s">
        <v>452</v>
      </c>
      <c r="L704" s="17"/>
      <c r="M704" s="11">
        <v>0.95</v>
      </c>
      <c r="N704" s="1">
        <v>2000</v>
      </c>
      <c r="O704" s="10">
        <v>46279.611909722225</v>
      </c>
      <c r="P704" s="10"/>
      <c r="Q704" s="1" t="s">
        <v>72</v>
      </c>
      <c r="R704" s="8" t="s">
        <v>343</v>
      </c>
      <c r="S70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0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0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0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0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0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0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0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0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0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0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0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0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04" s="12">
        <f ca="1">[1]!Tabel1[[#This Row],[Vægtet Honorar]]*([1]!Tabel1[[#This Row],[Sidst redigeret]]&gt;TODAY()-40)*([1]!Tabel1[[#This Row],[Er i resplan?]]&lt;&gt;"Ja")*([1]!Tabel1[[#This Row],[Status]]="Pågår")</f>
        <v>0</v>
      </c>
      <c r="AG704" s="12">
        <f ca="1">[1]!Tabel1[[#This Row],[Vægtet Honorar]]*([1]!Tabel1[[#This Row],[Sidst redigeret]]&gt;TODAY()-40)*([1]!Tabel1[[#This Row],[Status]]="Pågår")</f>
        <v>0</v>
      </c>
      <c r="AH704" s="13"/>
      <c r="AI704" s="12"/>
      <c r="AJ704" s="12"/>
      <c r="AK704" s="12"/>
      <c r="AL704" s="12"/>
      <c r="AM704" s="12"/>
      <c r="AN704" s="12"/>
      <c r="AO704" s="12"/>
      <c r="AP704" s="12"/>
    </row>
    <row r="705" spans="1:42" ht="60">
      <c r="A705" t="s">
        <v>2547</v>
      </c>
      <c r="B705" s="8"/>
      <c r="C705" s="8" t="s">
        <v>2548</v>
      </c>
      <c r="D705" s="8" t="s">
        <v>358</v>
      </c>
      <c r="E705" s="8" t="s">
        <v>102</v>
      </c>
      <c r="F705" s="8" t="s">
        <v>2549</v>
      </c>
      <c r="G705" s="8" t="s">
        <v>2550</v>
      </c>
      <c r="H705" s="9">
        <v>20000</v>
      </c>
      <c r="I705" s="9">
        <f>[1]!Tabel1[[#This Row],[Honorar]]*[1]!Tabel1[[#This Row],[Sandsynlighed]]</f>
        <v>60000</v>
      </c>
      <c r="J705" s="10" t="s">
        <v>328</v>
      </c>
      <c r="K705" s="10" t="s">
        <v>452</v>
      </c>
      <c r="L705" s="17" t="s">
        <v>2551</v>
      </c>
      <c r="M705" s="11">
        <v>0.95</v>
      </c>
      <c r="N705" s="1"/>
      <c r="O705" s="10">
        <v>46279.611909722225</v>
      </c>
      <c r="P705" s="10"/>
      <c r="Q705" s="1" t="s">
        <v>72</v>
      </c>
      <c r="R705" s="8" t="s">
        <v>49</v>
      </c>
      <c r="S70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0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0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0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0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0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0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0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0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0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0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0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0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05" s="12">
        <f ca="1">[1]!Tabel1[[#This Row],[Vægtet Honorar]]*([1]!Tabel1[[#This Row],[Sidst redigeret]]&gt;TODAY()-40)*([1]!Tabel1[[#This Row],[Er i resplan?]]&lt;&gt;"Ja")*([1]!Tabel1[[#This Row],[Status]]="Pågår")</f>
        <v>60000</v>
      </c>
      <c r="AG705" s="12">
        <f ca="1">[1]!Tabel1[[#This Row],[Vægtet Honorar]]*([1]!Tabel1[[#This Row],[Sidst redigeret]]&gt;TODAY()-40)*([1]!Tabel1[[#This Row],[Status]]="Pågår")</f>
        <v>60000</v>
      </c>
      <c r="AH705" s="13"/>
      <c r="AI705" s="12"/>
      <c r="AJ705" s="12"/>
      <c r="AK705" s="12"/>
      <c r="AL705" s="12"/>
      <c r="AM705" s="12"/>
      <c r="AN705" s="12"/>
      <c r="AO705" s="12"/>
      <c r="AP705" s="12"/>
    </row>
    <row r="706" spans="1:42" ht="90">
      <c r="A706" t="s">
        <v>2552</v>
      </c>
      <c r="B706" s="8"/>
      <c r="C706" s="8" t="s">
        <v>2553</v>
      </c>
      <c r="D706" s="8" t="s">
        <v>44</v>
      </c>
      <c r="E706" s="8" t="s">
        <v>71</v>
      </c>
      <c r="F706" s="8" t="s">
        <v>2554</v>
      </c>
      <c r="G706" s="8" t="s">
        <v>799</v>
      </c>
      <c r="H706" s="9">
        <v>850000</v>
      </c>
      <c r="I706" s="9">
        <f>[1]!Tabel1[[#This Row],[Honorar]]*[1]!Tabel1[[#This Row],[Sandsynlighed]]</f>
        <v>50000</v>
      </c>
      <c r="J706" s="10" t="s">
        <v>329</v>
      </c>
      <c r="K706" s="10" t="s">
        <v>342</v>
      </c>
      <c r="L706" s="17" t="s">
        <v>2555</v>
      </c>
      <c r="M706" s="11">
        <v>0</v>
      </c>
      <c r="N706" s="1">
        <v>3600</v>
      </c>
      <c r="O706" s="10">
        <v>46279.611909722225</v>
      </c>
      <c r="P706" s="10"/>
      <c r="Q706" s="1" t="s">
        <v>46</v>
      </c>
      <c r="R706" s="8" t="s">
        <v>343</v>
      </c>
      <c r="S70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0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0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0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0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0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0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0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0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0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0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0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0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06" s="12">
        <f ca="1">[1]!Tabel1[[#This Row],[Vægtet Honorar]]*([1]!Tabel1[[#This Row],[Sidst redigeret]]&gt;TODAY()-40)*([1]!Tabel1[[#This Row],[Er i resplan?]]&lt;&gt;"Ja")*([1]!Tabel1[[#This Row],[Status]]="Pågår")</f>
        <v>50000</v>
      </c>
      <c r="AG706" s="12">
        <f ca="1">[1]!Tabel1[[#This Row],[Vægtet Honorar]]*([1]!Tabel1[[#This Row],[Sidst redigeret]]&gt;TODAY()-40)*([1]!Tabel1[[#This Row],[Status]]="Pågår")</f>
        <v>50000</v>
      </c>
      <c r="AH706" s="13"/>
      <c r="AI706" s="12"/>
      <c r="AJ706" s="12"/>
      <c r="AK706" s="12"/>
      <c r="AL706" s="12"/>
      <c r="AM706" s="12"/>
      <c r="AN706" s="12"/>
      <c r="AO706" s="12"/>
      <c r="AP706" s="12"/>
    </row>
    <row r="707" spans="1:42" ht="60">
      <c r="A707" t="s">
        <v>2556</v>
      </c>
      <c r="B707" s="8"/>
      <c r="C707" s="8" t="s">
        <v>2557</v>
      </c>
      <c r="D707" s="8" t="s">
        <v>707</v>
      </c>
      <c r="E707" s="8" t="s">
        <v>94</v>
      </c>
      <c r="F707" s="8" t="s">
        <v>2558</v>
      </c>
      <c r="G707" s="8" t="s">
        <v>2559</v>
      </c>
      <c r="H707" s="9">
        <v>100000</v>
      </c>
      <c r="I707" s="9">
        <f>[1]!Tabel1[[#This Row],[Honorar]]*[1]!Tabel1[[#This Row],[Sandsynlighed]]</f>
        <v>250000</v>
      </c>
      <c r="J707" s="10" t="s">
        <v>328</v>
      </c>
      <c r="K707" s="10" t="s">
        <v>612</v>
      </c>
      <c r="L707" s="17" t="s">
        <v>2560</v>
      </c>
      <c r="M707" s="11">
        <v>1</v>
      </c>
      <c r="N707" s="1">
        <v>300</v>
      </c>
      <c r="O707" s="10">
        <v>46279.611909722225</v>
      </c>
      <c r="P707" s="1" t="s">
        <v>72</v>
      </c>
      <c r="Q707" s="1" t="s">
        <v>72</v>
      </c>
      <c r="R707" s="8" t="s">
        <v>47</v>
      </c>
      <c r="S70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0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0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0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0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0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0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0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0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0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0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0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0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07" s="12">
        <f ca="1">[1]!Tabel1[[#This Row],[Vægtet Honorar]]*([1]!Tabel1[[#This Row],[Sidst redigeret]]&gt;TODAY()-40)*([1]!Tabel1[[#This Row],[Er i resplan?]]&lt;&gt;"Ja")*([1]!Tabel1[[#This Row],[Status]]="Pågår")</f>
        <v>0</v>
      </c>
      <c r="AG707" s="12">
        <f ca="1">[1]!Tabel1[[#This Row],[Vægtet Honorar]]*([1]!Tabel1[[#This Row],[Sidst redigeret]]&gt;TODAY()-40)*([1]!Tabel1[[#This Row],[Status]]="Pågår")</f>
        <v>0</v>
      </c>
      <c r="AH707" s="13"/>
      <c r="AI707" s="12"/>
      <c r="AJ707" s="12"/>
      <c r="AK707" s="12"/>
      <c r="AL707" s="12"/>
      <c r="AM707" s="12"/>
      <c r="AN707" s="12"/>
      <c r="AO707" s="12"/>
      <c r="AP707" s="12"/>
    </row>
    <row r="708" spans="1:42" ht="90">
      <c r="A708" t="s">
        <v>2561</v>
      </c>
      <c r="B708" s="8"/>
      <c r="C708" s="8" t="s">
        <v>2562</v>
      </c>
      <c r="D708" s="8" t="s">
        <v>1468</v>
      </c>
      <c r="E708" s="8" t="s">
        <v>167</v>
      </c>
      <c r="F708" s="8" t="s">
        <v>2183</v>
      </c>
      <c r="G708" s="8" t="s">
        <v>2183</v>
      </c>
      <c r="H708" s="9">
        <v>350000</v>
      </c>
      <c r="I708" s="9">
        <f>[1]!Tabel1[[#This Row],[Honorar]]*[1]!Tabel1[[#This Row],[Sandsynlighed]]</f>
        <v>75000</v>
      </c>
      <c r="J708" s="10" t="s">
        <v>328</v>
      </c>
      <c r="K708" s="10" t="s">
        <v>329</v>
      </c>
      <c r="L708" s="17" t="s">
        <v>2563</v>
      </c>
      <c r="M708" s="11">
        <v>0.5</v>
      </c>
      <c r="N708" s="1"/>
      <c r="O708" s="10">
        <v>46279.611909722225</v>
      </c>
      <c r="P708" s="10" t="s">
        <v>46</v>
      </c>
      <c r="Q708" s="1" t="s">
        <v>46</v>
      </c>
      <c r="R708" s="8" t="s">
        <v>75</v>
      </c>
      <c r="S70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0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0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0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0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0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0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0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0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0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0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0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0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08" s="12">
        <f ca="1">[1]!Tabel1[[#This Row],[Vægtet Honorar]]*([1]!Tabel1[[#This Row],[Sidst redigeret]]&gt;TODAY()-40)*([1]!Tabel1[[#This Row],[Er i resplan?]]&lt;&gt;"Ja")*([1]!Tabel1[[#This Row],[Status]]="Pågår")</f>
        <v>75000</v>
      </c>
      <c r="AG708" s="12">
        <f ca="1">[1]!Tabel1[[#This Row],[Vægtet Honorar]]*([1]!Tabel1[[#This Row],[Sidst redigeret]]&gt;TODAY()-40)*([1]!Tabel1[[#This Row],[Status]]="Pågår")</f>
        <v>75000</v>
      </c>
      <c r="AH708" s="13"/>
      <c r="AI708" s="12"/>
      <c r="AJ708" s="12"/>
      <c r="AK708" s="12"/>
      <c r="AL708" s="12"/>
      <c r="AM708" s="12"/>
      <c r="AN708" s="12"/>
      <c r="AO708" s="12"/>
      <c r="AP708" s="12"/>
    </row>
    <row r="709" spans="1:42" ht="60">
      <c r="A709" t="s">
        <v>2564</v>
      </c>
      <c r="B709" s="8"/>
      <c r="C709" s="8" t="s">
        <v>2565</v>
      </c>
      <c r="D709" s="8" t="s">
        <v>93</v>
      </c>
      <c r="E709" s="8" t="s">
        <v>94</v>
      </c>
      <c r="F709" s="8" t="s">
        <v>2183</v>
      </c>
      <c r="G709" s="8" t="s">
        <v>2566</v>
      </c>
      <c r="H709" s="9">
        <v>10000</v>
      </c>
      <c r="I709" s="9">
        <f>[1]!Tabel1[[#This Row],[Honorar]]*[1]!Tabel1[[#This Row],[Sandsynlighed]]</f>
        <v>120293.75</v>
      </c>
      <c r="J709" s="10" t="s">
        <v>328</v>
      </c>
      <c r="K709" s="10" t="s">
        <v>329</v>
      </c>
      <c r="L709" s="17" t="s">
        <v>2567</v>
      </c>
      <c r="M709" s="11">
        <v>0.1</v>
      </c>
      <c r="N709" s="1"/>
      <c r="O709" s="10">
        <v>46279.611909722225</v>
      </c>
      <c r="P709" s="1" t="s">
        <v>72</v>
      </c>
      <c r="Q709" s="1" t="s">
        <v>72</v>
      </c>
      <c r="R709" s="8" t="s">
        <v>75</v>
      </c>
      <c r="S70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0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0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0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0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0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0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0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0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0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0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0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0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09" s="12">
        <f ca="1">[1]!Tabel1[[#This Row],[Vægtet Honorar]]*([1]!Tabel1[[#This Row],[Sidst redigeret]]&gt;TODAY()-40)*([1]!Tabel1[[#This Row],[Er i resplan?]]&lt;&gt;"Ja")*([1]!Tabel1[[#This Row],[Status]]="Pågår")</f>
        <v>120293.75</v>
      </c>
      <c r="AG709" s="12">
        <f ca="1">[1]!Tabel1[[#This Row],[Vægtet Honorar]]*([1]!Tabel1[[#This Row],[Sidst redigeret]]&gt;TODAY()-40)*([1]!Tabel1[[#This Row],[Status]]="Pågår")</f>
        <v>120293.75</v>
      </c>
      <c r="AH709" s="13"/>
      <c r="AI709" s="12"/>
      <c r="AJ709" s="12"/>
      <c r="AK709" s="12"/>
      <c r="AL709" s="12"/>
      <c r="AM709" s="12"/>
      <c r="AN709" s="12"/>
      <c r="AO709" s="12"/>
      <c r="AP709" s="12"/>
    </row>
    <row r="710" spans="1:42" ht="75">
      <c r="A710" t="s">
        <v>2568</v>
      </c>
      <c r="B710" s="8"/>
      <c r="C710" s="8" t="s">
        <v>2569</v>
      </c>
      <c r="D710" s="8" t="s">
        <v>720</v>
      </c>
      <c r="E710" s="8" t="s">
        <v>71</v>
      </c>
      <c r="F710" s="8" t="s">
        <v>516</v>
      </c>
      <c r="G710" s="8" t="s">
        <v>2570</v>
      </c>
      <c r="H710" s="9">
        <v>950000</v>
      </c>
      <c r="I710" s="9">
        <f>[1]!Tabel1[[#This Row],[Honorar]]*[1]!Tabel1[[#This Row],[Sandsynlighed]]</f>
        <v>19000</v>
      </c>
      <c r="J710" s="10" t="s">
        <v>1287</v>
      </c>
      <c r="K710" s="10" t="s">
        <v>1310</v>
      </c>
      <c r="L710" s="17" t="s">
        <v>2571</v>
      </c>
      <c r="M710" s="11">
        <v>0.1</v>
      </c>
      <c r="N710" s="1">
        <v>2250</v>
      </c>
      <c r="O710" s="10">
        <v>46279.611909722225</v>
      </c>
      <c r="P710" s="10"/>
      <c r="Q710" s="1" t="s">
        <v>46</v>
      </c>
      <c r="R710" s="8" t="s">
        <v>343</v>
      </c>
      <c r="S71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1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1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1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1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1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1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1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1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1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1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1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1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10" s="12">
        <f ca="1">[1]!Tabel1[[#This Row],[Vægtet Honorar]]*([1]!Tabel1[[#This Row],[Sidst redigeret]]&gt;TODAY()-40)*([1]!Tabel1[[#This Row],[Er i resplan?]]&lt;&gt;"Ja")*([1]!Tabel1[[#This Row],[Status]]="Pågår")</f>
        <v>0</v>
      </c>
      <c r="AG710" s="12">
        <f ca="1">[1]!Tabel1[[#This Row],[Vægtet Honorar]]*([1]!Tabel1[[#This Row],[Sidst redigeret]]&gt;TODAY()-40)*([1]!Tabel1[[#This Row],[Status]]="Pågår")</f>
        <v>0</v>
      </c>
      <c r="AH710" s="13"/>
      <c r="AI710" s="12"/>
      <c r="AJ710" s="12"/>
      <c r="AK710" s="12"/>
      <c r="AL710" s="12"/>
      <c r="AM710" s="12"/>
      <c r="AN710" s="12"/>
      <c r="AO710" s="12"/>
      <c r="AP710" s="12"/>
    </row>
    <row r="711" spans="1:42" ht="75">
      <c r="A711" t="s">
        <v>2572</v>
      </c>
      <c r="B711" s="8"/>
      <c r="C711" s="8" t="s">
        <v>2573</v>
      </c>
      <c r="D711" s="8" t="s">
        <v>65</v>
      </c>
      <c r="E711" s="8" t="s">
        <v>167</v>
      </c>
      <c r="F711" s="8" t="s">
        <v>2174</v>
      </c>
      <c r="G711" s="8" t="s">
        <v>2574</v>
      </c>
      <c r="H711" s="9">
        <v>450000</v>
      </c>
      <c r="I711" s="9">
        <f>[1]!Tabel1[[#This Row],[Honorar]]*[1]!Tabel1[[#This Row],[Sandsynlighed]]</f>
        <v>0</v>
      </c>
      <c r="J711" s="10" t="s">
        <v>328</v>
      </c>
      <c r="K711" s="10" t="s">
        <v>329</v>
      </c>
      <c r="L711" s="17" t="s">
        <v>2575</v>
      </c>
      <c r="M711" s="11">
        <v>0.5</v>
      </c>
      <c r="N711" s="1"/>
      <c r="O711" s="10">
        <v>46279.611909722225</v>
      </c>
      <c r="P711" s="10"/>
      <c r="Q711" s="1" t="s">
        <v>72</v>
      </c>
      <c r="R711" s="8" t="s">
        <v>343</v>
      </c>
      <c r="S71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1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1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1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1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1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1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1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1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1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1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1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1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11" s="12">
        <f ca="1">[1]!Tabel1[[#This Row],[Vægtet Honorar]]*([1]!Tabel1[[#This Row],[Sidst redigeret]]&gt;TODAY()-40)*([1]!Tabel1[[#This Row],[Er i resplan?]]&lt;&gt;"Ja")*([1]!Tabel1[[#This Row],[Status]]="Pågår")</f>
        <v>0</v>
      </c>
      <c r="AG711" s="12">
        <f ca="1">[1]!Tabel1[[#This Row],[Vægtet Honorar]]*([1]!Tabel1[[#This Row],[Sidst redigeret]]&gt;TODAY()-40)*([1]!Tabel1[[#This Row],[Status]]="Pågår")</f>
        <v>0</v>
      </c>
      <c r="AH711" s="13"/>
      <c r="AI711" s="12"/>
      <c r="AJ711" s="12"/>
      <c r="AK711" s="12"/>
      <c r="AL711" s="12"/>
      <c r="AM711" s="12"/>
      <c r="AN711" s="12"/>
      <c r="AO711" s="12"/>
      <c r="AP711" s="12"/>
    </row>
    <row r="712" spans="1:42" ht="105">
      <c r="A712" t="s">
        <v>2576</v>
      </c>
      <c r="B712" s="8"/>
      <c r="C712" s="8" t="s">
        <v>2577</v>
      </c>
      <c r="D712" s="8" t="s">
        <v>720</v>
      </c>
      <c r="E712" s="8" t="s">
        <v>71</v>
      </c>
      <c r="F712" s="8" t="s">
        <v>2578</v>
      </c>
      <c r="G712" s="8" t="s">
        <v>2579</v>
      </c>
      <c r="H712" s="9">
        <v>2500000</v>
      </c>
      <c r="I712" s="9">
        <f>[1]!Tabel1[[#This Row],[Honorar]]*[1]!Tabel1[[#This Row],[Sandsynlighed]]</f>
        <v>100000</v>
      </c>
      <c r="J712" s="10" t="s">
        <v>1062</v>
      </c>
      <c r="K712" s="10" t="s">
        <v>2580</v>
      </c>
      <c r="L712" s="17" t="s">
        <v>2581</v>
      </c>
      <c r="M712" s="11">
        <v>0.02</v>
      </c>
      <c r="N712" s="15">
        <v>7300</v>
      </c>
      <c r="O712" s="10">
        <v>46279.611909722225</v>
      </c>
      <c r="P712" s="10"/>
      <c r="Q712" s="1" t="s">
        <v>72</v>
      </c>
      <c r="R712" s="8" t="s">
        <v>343</v>
      </c>
      <c r="S71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1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1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1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1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1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1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1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1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1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1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1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1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12" s="12">
        <f ca="1">[1]!Tabel1[[#This Row],[Vægtet Honorar]]*([1]!Tabel1[[#This Row],[Sidst redigeret]]&gt;TODAY()-40)*([1]!Tabel1[[#This Row],[Er i resplan?]]&lt;&gt;"Ja")*([1]!Tabel1[[#This Row],[Status]]="Pågår")</f>
        <v>0</v>
      </c>
      <c r="AG712" s="12">
        <f ca="1">[1]!Tabel1[[#This Row],[Vægtet Honorar]]*([1]!Tabel1[[#This Row],[Sidst redigeret]]&gt;TODAY()-40)*([1]!Tabel1[[#This Row],[Status]]="Pågår")</f>
        <v>0</v>
      </c>
      <c r="AH712" s="13"/>
      <c r="AI712" s="12"/>
      <c r="AJ712" s="12" t="s">
        <v>2582</v>
      </c>
      <c r="AK712" s="12"/>
      <c r="AL712" s="12"/>
      <c r="AM712" s="12"/>
      <c r="AN712" s="12"/>
      <c r="AO712" s="12"/>
      <c r="AP712" s="12"/>
    </row>
    <row r="713" spans="1:42" ht="90">
      <c r="A713" t="s">
        <v>2583</v>
      </c>
      <c r="B713" s="8"/>
      <c r="C713" s="8" t="s">
        <v>2584</v>
      </c>
      <c r="D713" s="8" t="s">
        <v>200</v>
      </c>
      <c r="E713" s="8" t="s">
        <v>120</v>
      </c>
      <c r="F713" s="8" t="s">
        <v>547</v>
      </c>
      <c r="G713" s="8" t="s">
        <v>547</v>
      </c>
      <c r="H713" s="9">
        <v>5000000</v>
      </c>
      <c r="I713" s="9">
        <f>[1]!Tabel1[[#This Row],[Honorar]]*[1]!Tabel1[[#This Row],[Sandsynlighed]]</f>
        <v>175000</v>
      </c>
      <c r="J713" s="10" t="s">
        <v>1310</v>
      </c>
      <c r="K713" s="10" t="s">
        <v>1709</v>
      </c>
      <c r="L713" s="17" t="s">
        <v>2585</v>
      </c>
      <c r="M713" s="11">
        <v>0.02</v>
      </c>
      <c r="N713" s="1">
        <v>3000</v>
      </c>
      <c r="O713" s="10">
        <v>46279.611909722225</v>
      </c>
      <c r="P713" s="10"/>
      <c r="Q713" s="1" t="s">
        <v>72</v>
      </c>
      <c r="R713" s="8" t="s">
        <v>75</v>
      </c>
      <c r="S71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1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1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1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1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1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1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1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1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1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1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1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1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13" s="12">
        <f ca="1">[1]!Tabel1[[#This Row],[Vægtet Honorar]]*([1]!Tabel1[[#This Row],[Sidst redigeret]]&gt;TODAY()-40)*([1]!Tabel1[[#This Row],[Er i resplan?]]&lt;&gt;"Ja")*([1]!Tabel1[[#This Row],[Status]]="Pågår")</f>
        <v>0</v>
      </c>
      <c r="AG713" s="12">
        <f ca="1">[1]!Tabel1[[#This Row],[Vægtet Honorar]]*([1]!Tabel1[[#This Row],[Sidst redigeret]]&gt;TODAY()-40)*([1]!Tabel1[[#This Row],[Status]]="Pågår")</f>
        <v>0</v>
      </c>
      <c r="AH713" s="13"/>
      <c r="AI713" s="12"/>
      <c r="AJ713" s="12" t="s">
        <v>2586</v>
      </c>
      <c r="AK713" s="12"/>
      <c r="AL713" s="12"/>
      <c r="AM713" s="12"/>
      <c r="AN713" s="12"/>
      <c r="AO713" s="12"/>
      <c r="AP713" s="12"/>
    </row>
    <row r="714" spans="1:42">
      <c r="A714" t="s">
        <v>2587</v>
      </c>
      <c r="B714" s="8"/>
      <c r="C714" s="8" t="s">
        <v>2588</v>
      </c>
      <c r="D714" s="8" t="s">
        <v>720</v>
      </c>
      <c r="E714" s="8" t="s">
        <v>71</v>
      </c>
      <c r="F714" s="8" t="s">
        <v>1055</v>
      </c>
      <c r="G714" s="8" t="s">
        <v>1055</v>
      </c>
      <c r="H714" s="9">
        <v>1000000</v>
      </c>
      <c r="I714" s="9">
        <f>[1]!Tabel1[[#This Row],[Honorar]]*[1]!Tabel1[[#This Row],[Sandsynlighed]]</f>
        <v>1000</v>
      </c>
      <c r="J714" s="10" t="s">
        <v>452</v>
      </c>
      <c r="K714" s="10" t="s">
        <v>1310</v>
      </c>
      <c r="L714" s="17"/>
      <c r="M714" s="11">
        <v>0.75</v>
      </c>
      <c r="N714" s="15" t="s">
        <v>2589</v>
      </c>
      <c r="O714" s="10">
        <v>46279.611909722225</v>
      </c>
      <c r="P714" s="10"/>
      <c r="Q714" s="1" t="s">
        <v>72</v>
      </c>
      <c r="R714" s="8" t="s">
        <v>49</v>
      </c>
      <c r="S71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1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1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1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1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1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1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1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1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1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1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1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1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14" s="12">
        <f ca="1">[1]!Tabel1[[#This Row],[Vægtet Honorar]]*([1]!Tabel1[[#This Row],[Sidst redigeret]]&gt;TODAY()-40)*([1]!Tabel1[[#This Row],[Er i resplan?]]&lt;&gt;"Ja")*([1]!Tabel1[[#This Row],[Status]]="Pågår")</f>
        <v>0</v>
      </c>
      <c r="AG714" s="12">
        <f ca="1">[1]!Tabel1[[#This Row],[Vægtet Honorar]]*([1]!Tabel1[[#This Row],[Sidst redigeret]]&gt;TODAY()-40)*([1]!Tabel1[[#This Row],[Status]]="Pågår")</f>
        <v>0</v>
      </c>
      <c r="AH714" s="13"/>
      <c r="AI714" s="12"/>
      <c r="AJ714" s="12"/>
      <c r="AK714" s="12"/>
      <c r="AL714" s="12"/>
      <c r="AM714" s="12"/>
      <c r="AN714" s="12"/>
      <c r="AO714" s="12"/>
      <c r="AP714" s="12"/>
    </row>
    <row r="715" spans="1:42">
      <c r="A715" t="s">
        <v>2590</v>
      </c>
      <c r="B715" s="8"/>
      <c r="C715" s="8" t="s">
        <v>2591</v>
      </c>
      <c r="D715" s="8" t="s">
        <v>1623</v>
      </c>
      <c r="E715" s="8" t="s">
        <v>102</v>
      </c>
      <c r="F715" s="8" t="s">
        <v>2592</v>
      </c>
      <c r="G715" s="8" t="s">
        <v>2211</v>
      </c>
      <c r="H715" s="9">
        <v>1075000</v>
      </c>
      <c r="I715" s="9">
        <f>[1]!Tabel1[[#This Row],[Honorar]]*[1]!Tabel1[[#This Row],[Sandsynlighed]]</f>
        <v>95000</v>
      </c>
      <c r="J715" s="10" t="s">
        <v>329</v>
      </c>
      <c r="K715" s="10" t="s">
        <v>452</v>
      </c>
      <c r="L715" s="17"/>
      <c r="M715" s="11">
        <v>0.2</v>
      </c>
      <c r="N715" s="1">
        <v>2100</v>
      </c>
      <c r="O715" s="10">
        <v>46279.611909722225</v>
      </c>
      <c r="P715" s="10"/>
      <c r="Q715" s="1" t="s">
        <v>46</v>
      </c>
      <c r="R715" s="8" t="s">
        <v>75</v>
      </c>
      <c r="S71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1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1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1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1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1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1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1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1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1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1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1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1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15" s="12">
        <f ca="1">[1]!Tabel1[[#This Row],[Vægtet Honorar]]*([1]!Tabel1[[#This Row],[Sidst redigeret]]&gt;TODAY()-40)*([1]!Tabel1[[#This Row],[Er i resplan?]]&lt;&gt;"Ja")*([1]!Tabel1[[#This Row],[Status]]="Pågår")</f>
        <v>0</v>
      </c>
      <c r="AG715" s="12">
        <f ca="1">[1]!Tabel1[[#This Row],[Vægtet Honorar]]*([1]!Tabel1[[#This Row],[Sidst redigeret]]&gt;TODAY()-40)*([1]!Tabel1[[#This Row],[Status]]="Pågår")</f>
        <v>95000</v>
      </c>
      <c r="AH715" s="13"/>
      <c r="AI715" s="12"/>
      <c r="AJ715" s="12" t="s">
        <v>2211</v>
      </c>
      <c r="AK715" s="12" t="s">
        <v>2593</v>
      </c>
      <c r="AL715" s="12"/>
      <c r="AM715" s="12"/>
      <c r="AN715" s="12"/>
      <c r="AO715" s="12"/>
      <c r="AP715" s="12"/>
    </row>
    <row r="716" spans="1:42" ht="45">
      <c r="A716" t="s">
        <v>2594</v>
      </c>
      <c r="B716" s="8"/>
      <c r="C716" s="8" t="s">
        <v>2595</v>
      </c>
      <c r="D716" s="8" t="s">
        <v>134</v>
      </c>
      <c r="E716" s="8" t="s">
        <v>94</v>
      </c>
      <c r="F716" s="8" t="s">
        <v>2596</v>
      </c>
      <c r="G716" s="8" t="s">
        <v>2597</v>
      </c>
      <c r="H716" s="9">
        <v>2500000</v>
      </c>
      <c r="I716" s="9">
        <f>[1]!Tabel1[[#This Row],[Honorar]]*[1]!Tabel1[[#This Row],[Sandsynlighed]]</f>
        <v>225000</v>
      </c>
      <c r="J716" s="10" t="s">
        <v>1061</v>
      </c>
      <c r="K716" s="10" t="s">
        <v>1191</v>
      </c>
      <c r="L716" s="17" t="s">
        <v>2598</v>
      </c>
      <c r="M716" s="11">
        <v>0.1</v>
      </c>
      <c r="N716" s="1" t="s">
        <v>2599</v>
      </c>
      <c r="O716" s="10">
        <v>46279.611909722225</v>
      </c>
      <c r="P716" s="1" t="s">
        <v>72</v>
      </c>
      <c r="Q716" s="1" t="s">
        <v>72</v>
      </c>
      <c r="R716" s="8" t="s">
        <v>75</v>
      </c>
      <c r="S71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1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1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1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1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1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1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1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1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1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1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1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1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16" s="12">
        <f ca="1">[1]!Tabel1[[#This Row],[Vægtet Honorar]]*([1]!Tabel1[[#This Row],[Sidst redigeret]]&gt;TODAY()-40)*([1]!Tabel1[[#This Row],[Er i resplan?]]&lt;&gt;"Ja")*([1]!Tabel1[[#This Row],[Status]]="Pågår")</f>
        <v>225000</v>
      </c>
      <c r="AG716" s="12">
        <f ca="1">[1]!Tabel1[[#This Row],[Vægtet Honorar]]*([1]!Tabel1[[#This Row],[Sidst redigeret]]&gt;TODAY()-40)*([1]!Tabel1[[#This Row],[Status]]="Pågår")</f>
        <v>225000</v>
      </c>
      <c r="AH716" s="13"/>
      <c r="AI716" s="12"/>
      <c r="AJ716" s="12"/>
      <c r="AK716" s="12"/>
      <c r="AL716" s="12"/>
      <c r="AM716" s="12"/>
      <c r="AN716" s="12"/>
      <c r="AO716" s="12"/>
      <c r="AP716" s="12"/>
    </row>
    <row r="717" spans="1:42" ht="60">
      <c r="A717" t="s">
        <v>2600</v>
      </c>
      <c r="B717" s="8"/>
      <c r="C717" s="8" t="s">
        <v>2601</v>
      </c>
      <c r="D717" s="8" t="s">
        <v>720</v>
      </c>
      <c r="E717" s="8" t="s">
        <v>71</v>
      </c>
      <c r="F717" s="8" t="s">
        <v>1015</v>
      </c>
      <c r="G717" s="8" t="s">
        <v>902</v>
      </c>
      <c r="H717" s="9">
        <v>1000000</v>
      </c>
      <c r="I717" s="9">
        <f>[1]!Tabel1[[#This Row],[Honorar]]*[1]!Tabel1[[#This Row],[Sandsynlighed]]</f>
        <v>50000</v>
      </c>
      <c r="J717" s="10" t="s">
        <v>452</v>
      </c>
      <c r="K717" s="10" t="s">
        <v>1191</v>
      </c>
      <c r="L717" s="17" t="s">
        <v>2602</v>
      </c>
      <c r="M717" s="11">
        <v>0.2</v>
      </c>
      <c r="N717" s="1" t="s">
        <v>2603</v>
      </c>
      <c r="O717" s="10">
        <v>46279.611909722225</v>
      </c>
      <c r="P717" s="10"/>
      <c r="Q717" s="1" t="s">
        <v>46</v>
      </c>
      <c r="R717" s="8" t="s">
        <v>75</v>
      </c>
      <c r="S71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1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1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1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1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1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1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1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1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1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1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1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1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17" s="12">
        <f ca="1">[1]!Tabel1[[#This Row],[Vægtet Honorar]]*([1]!Tabel1[[#This Row],[Sidst redigeret]]&gt;TODAY()-40)*([1]!Tabel1[[#This Row],[Er i resplan?]]&lt;&gt;"Ja")*([1]!Tabel1[[#This Row],[Status]]="Pågår")</f>
        <v>50000</v>
      </c>
      <c r="AG717" s="12">
        <f ca="1">[1]!Tabel1[[#This Row],[Vægtet Honorar]]*([1]!Tabel1[[#This Row],[Sidst redigeret]]&gt;TODAY()-40)*([1]!Tabel1[[#This Row],[Status]]="Pågår")</f>
        <v>50000</v>
      </c>
      <c r="AH717" s="13"/>
      <c r="AI717" s="12"/>
      <c r="AJ717" s="12" t="s">
        <v>2604</v>
      </c>
      <c r="AK717" s="12"/>
      <c r="AL717" s="12"/>
      <c r="AM717" s="12"/>
      <c r="AN717" s="12"/>
      <c r="AO717" s="12">
        <v>45420</v>
      </c>
      <c r="AP717" s="12">
        <v>45420</v>
      </c>
    </row>
    <row r="718" spans="1:42" ht="30">
      <c r="A718" t="s">
        <v>2605</v>
      </c>
      <c r="B718" s="8"/>
      <c r="C718" s="8" t="s">
        <v>2606</v>
      </c>
      <c r="D718" s="8" t="s">
        <v>70</v>
      </c>
      <c r="E718" s="8" t="s">
        <v>102</v>
      </c>
      <c r="F718" s="8"/>
      <c r="G718" s="8" t="s">
        <v>2607</v>
      </c>
      <c r="H718" s="9">
        <v>200000</v>
      </c>
      <c r="I718" s="9">
        <f>[1]!Tabel1[[#This Row],[Honorar]]*[1]!Tabel1[[#This Row],[Sandsynlighed]]</f>
        <v>100000</v>
      </c>
      <c r="J718" s="10" t="s">
        <v>328</v>
      </c>
      <c r="K718" s="10" t="s">
        <v>612</v>
      </c>
      <c r="L718" s="17" t="s">
        <v>2028</v>
      </c>
      <c r="M718" s="11">
        <v>0.3</v>
      </c>
      <c r="N718" s="1"/>
      <c r="O718" s="10">
        <v>46279.611909722225</v>
      </c>
      <c r="P718" s="10"/>
      <c r="Q718" s="1" t="s">
        <v>46</v>
      </c>
      <c r="R718" s="8" t="s">
        <v>75</v>
      </c>
      <c r="S71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1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1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1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1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1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1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1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1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1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1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1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1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18" s="12">
        <f ca="1">[1]!Tabel1[[#This Row],[Vægtet Honorar]]*([1]!Tabel1[[#This Row],[Sidst redigeret]]&gt;TODAY()-40)*([1]!Tabel1[[#This Row],[Er i resplan?]]&lt;&gt;"Ja")*([1]!Tabel1[[#This Row],[Status]]="Pågår")</f>
        <v>0</v>
      </c>
      <c r="AG718" s="12">
        <f ca="1">[1]!Tabel1[[#This Row],[Vægtet Honorar]]*([1]!Tabel1[[#This Row],[Sidst redigeret]]&gt;TODAY()-40)*([1]!Tabel1[[#This Row],[Status]]="Pågår")</f>
        <v>0</v>
      </c>
      <c r="AH718" s="13"/>
      <c r="AI718" s="12"/>
      <c r="AJ718" s="12"/>
      <c r="AK718" s="12"/>
      <c r="AL718" s="12"/>
      <c r="AM718" s="12"/>
      <c r="AN718" s="12"/>
      <c r="AO718" s="12"/>
      <c r="AP718" s="12"/>
    </row>
    <row r="719" spans="1:42" ht="45">
      <c r="A719" t="s">
        <v>2608</v>
      </c>
      <c r="B719" s="8"/>
      <c r="C719" s="8" t="s">
        <v>2609</v>
      </c>
      <c r="D719" s="8" t="s">
        <v>70</v>
      </c>
      <c r="E719" s="8" t="s">
        <v>102</v>
      </c>
      <c r="F719" s="8"/>
      <c r="G719" s="8" t="s">
        <v>925</v>
      </c>
      <c r="H719" s="9">
        <v>190000</v>
      </c>
      <c r="I719" s="9">
        <f>[1]!Tabel1[[#This Row],[Honorar]]*[1]!Tabel1[[#This Row],[Sandsynlighed]]</f>
        <v>750000</v>
      </c>
      <c r="J719" s="10" t="s">
        <v>328</v>
      </c>
      <c r="K719" s="10" t="s">
        <v>612</v>
      </c>
      <c r="L719" s="17" t="s">
        <v>2610</v>
      </c>
      <c r="M719" s="11">
        <v>1</v>
      </c>
      <c r="N719" s="1"/>
      <c r="O719" s="10">
        <v>46279.611909722225</v>
      </c>
      <c r="P719" s="10"/>
      <c r="Q719" s="1" t="s">
        <v>46</v>
      </c>
      <c r="R719" s="8" t="s">
        <v>47</v>
      </c>
      <c r="S71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1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1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1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1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1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1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1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1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1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1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1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1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19" s="12">
        <f ca="1">[1]!Tabel1[[#This Row],[Vægtet Honorar]]*([1]!Tabel1[[#This Row],[Sidst redigeret]]&gt;TODAY()-40)*([1]!Tabel1[[#This Row],[Er i resplan?]]&lt;&gt;"Ja")*([1]!Tabel1[[#This Row],[Status]]="Pågår")</f>
        <v>0</v>
      </c>
      <c r="AG719" s="12">
        <f ca="1">[1]!Tabel1[[#This Row],[Vægtet Honorar]]*([1]!Tabel1[[#This Row],[Sidst redigeret]]&gt;TODAY()-40)*([1]!Tabel1[[#This Row],[Status]]="Pågår")</f>
        <v>0</v>
      </c>
      <c r="AH719" s="13"/>
      <c r="AI719" s="12"/>
      <c r="AJ719" s="12"/>
      <c r="AK719" s="12"/>
      <c r="AL719" s="12"/>
      <c r="AM719" s="12"/>
      <c r="AN719" s="12"/>
      <c r="AO719" s="12"/>
      <c r="AP719" s="12"/>
    </row>
    <row r="720" spans="1:42" ht="45">
      <c r="A720" t="s">
        <v>2611</v>
      </c>
      <c r="B720" s="8"/>
      <c r="C720" s="8" t="s">
        <v>2612</v>
      </c>
      <c r="D720" s="8" t="s">
        <v>70</v>
      </c>
      <c r="E720" s="8" t="s">
        <v>102</v>
      </c>
      <c r="F720" s="8"/>
      <c r="G720" s="8" t="s">
        <v>2613</v>
      </c>
      <c r="H720" s="9">
        <v>100000</v>
      </c>
      <c r="I720" s="9">
        <f>[1]!Tabel1[[#This Row],[Honorar]]*[1]!Tabel1[[#This Row],[Sandsynlighed]]</f>
        <v>215000</v>
      </c>
      <c r="J720" s="10" t="s">
        <v>328</v>
      </c>
      <c r="K720" s="10" t="s">
        <v>612</v>
      </c>
      <c r="L720" s="17" t="s">
        <v>252</v>
      </c>
      <c r="M720" s="11">
        <v>1</v>
      </c>
      <c r="N720" s="1"/>
      <c r="O720" s="10">
        <v>46279.611909722225</v>
      </c>
      <c r="P720" s="10"/>
      <c r="Q720" s="1" t="s">
        <v>46</v>
      </c>
      <c r="R720" s="8" t="s">
        <v>47</v>
      </c>
      <c r="S72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2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2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2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2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2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2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2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2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2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2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2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2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20" s="12">
        <f ca="1">[1]!Tabel1[[#This Row],[Vægtet Honorar]]*([1]!Tabel1[[#This Row],[Sidst redigeret]]&gt;TODAY()-40)*([1]!Tabel1[[#This Row],[Er i resplan?]]&lt;&gt;"Ja")*([1]!Tabel1[[#This Row],[Status]]="Pågår")</f>
        <v>0</v>
      </c>
      <c r="AG720" s="12">
        <f ca="1">[1]!Tabel1[[#This Row],[Vægtet Honorar]]*([1]!Tabel1[[#This Row],[Sidst redigeret]]&gt;TODAY()-40)*([1]!Tabel1[[#This Row],[Status]]="Pågår")</f>
        <v>0</v>
      </c>
      <c r="AH720" s="13"/>
      <c r="AI720" s="12"/>
      <c r="AJ720" s="12"/>
      <c r="AK720" s="12"/>
      <c r="AL720" s="12"/>
      <c r="AM720" s="12"/>
      <c r="AN720" s="12"/>
      <c r="AO720" s="12"/>
      <c r="AP720" s="12"/>
    </row>
    <row r="721" spans="1:42">
      <c r="A721" t="s">
        <v>2614</v>
      </c>
      <c r="B721" s="8"/>
      <c r="C721" s="8" t="s">
        <v>2615</v>
      </c>
      <c r="D721" s="8" t="s">
        <v>70</v>
      </c>
      <c r="E721" s="8" t="s">
        <v>102</v>
      </c>
      <c r="F721" s="8"/>
      <c r="G721" s="8" t="s">
        <v>2470</v>
      </c>
      <c r="H721" s="9">
        <v>1000000</v>
      </c>
      <c r="I721" s="9">
        <f>[1]!Tabel1[[#This Row],[Honorar]]*[1]!Tabel1[[#This Row],[Sandsynlighed]]</f>
        <v>250000</v>
      </c>
      <c r="J721" s="10" t="s">
        <v>328</v>
      </c>
      <c r="K721" s="10" t="s">
        <v>612</v>
      </c>
      <c r="L721" s="17"/>
      <c r="M721" s="11">
        <v>0.1</v>
      </c>
      <c r="N721" s="1"/>
      <c r="O721" s="10">
        <v>46279.611909722225</v>
      </c>
      <c r="P721" s="10"/>
      <c r="Q721" s="1" t="s">
        <v>72</v>
      </c>
      <c r="R721" s="8" t="s">
        <v>49</v>
      </c>
      <c r="S72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2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2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2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2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2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2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2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2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2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2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2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2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21" s="12">
        <f ca="1">[1]!Tabel1[[#This Row],[Vægtet Honorar]]*([1]!Tabel1[[#This Row],[Sidst redigeret]]&gt;TODAY()-40)*([1]!Tabel1[[#This Row],[Er i resplan?]]&lt;&gt;"Ja")*([1]!Tabel1[[#This Row],[Status]]="Pågår")</f>
        <v>0</v>
      </c>
      <c r="AG721" s="12">
        <f ca="1">[1]!Tabel1[[#This Row],[Vægtet Honorar]]*([1]!Tabel1[[#This Row],[Sidst redigeret]]&gt;TODAY()-40)*([1]!Tabel1[[#This Row],[Status]]="Pågår")</f>
        <v>0</v>
      </c>
      <c r="AH721" s="13"/>
      <c r="AI721" s="12"/>
      <c r="AJ721" s="12"/>
      <c r="AK721" s="12"/>
      <c r="AL721" s="12"/>
      <c r="AM721" s="12"/>
      <c r="AN721" s="12"/>
      <c r="AO721" s="12"/>
      <c r="AP721" s="12"/>
    </row>
    <row r="722" spans="1:42" ht="30">
      <c r="A722" t="s">
        <v>2616</v>
      </c>
      <c r="B722" s="8"/>
      <c r="C722" s="8" t="s">
        <v>2617</v>
      </c>
      <c r="D722" s="8" t="s">
        <v>720</v>
      </c>
      <c r="E722" s="8" t="s">
        <v>71</v>
      </c>
      <c r="F722" s="8" t="s">
        <v>1012</v>
      </c>
      <c r="G722" s="8" t="s">
        <v>1012</v>
      </c>
      <c r="H722" s="9">
        <v>1000000</v>
      </c>
      <c r="I722" s="9">
        <f>[1]!Tabel1[[#This Row],[Honorar]]*[1]!Tabel1[[#This Row],[Sandsynlighed]]</f>
        <v>200000</v>
      </c>
      <c r="J722" s="10" t="s">
        <v>452</v>
      </c>
      <c r="K722" s="10" t="s">
        <v>1191</v>
      </c>
      <c r="L722" s="17" t="s">
        <v>2618</v>
      </c>
      <c r="M722" s="11">
        <v>0.2</v>
      </c>
      <c r="N722" s="1"/>
      <c r="O722" s="10">
        <v>46279.611909722225</v>
      </c>
      <c r="P722" s="10"/>
      <c r="Q722" s="1" t="s">
        <v>46</v>
      </c>
      <c r="R722" s="8" t="s">
        <v>75</v>
      </c>
      <c r="S72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2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2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2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2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2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2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2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2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2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2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2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2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22" s="12">
        <f ca="1">[1]!Tabel1[[#This Row],[Vægtet Honorar]]*([1]!Tabel1[[#This Row],[Sidst redigeret]]&gt;TODAY()-40)*([1]!Tabel1[[#This Row],[Er i resplan?]]&lt;&gt;"Ja")*([1]!Tabel1[[#This Row],[Status]]="Pågår")</f>
        <v>0</v>
      </c>
      <c r="AG722" s="12">
        <f ca="1">[1]!Tabel1[[#This Row],[Vægtet Honorar]]*([1]!Tabel1[[#This Row],[Sidst redigeret]]&gt;TODAY()-40)*([1]!Tabel1[[#This Row],[Status]]="Pågår")</f>
        <v>0</v>
      </c>
      <c r="AH722" s="13"/>
      <c r="AI722" s="12"/>
      <c r="AJ722" s="12" t="s">
        <v>2619</v>
      </c>
      <c r="AK722" s="12" t="s">
        <v>2619</v>
      </c>
      <c r="AL722" s="12"/>
      <c r="AM722" s="12"/>
      <c r="AN722" s="12"/>
      <c r="AO722" s="12"/>
      <c r="AP722" s="12"/>
    </row>
    <row r="723" spans="1:42" ht="90">
      <c r="A723" t="s">
        <v>2620</v>
      </c>
      <c r="B723" s="8"/>
      <c r="C723" s="8" t="s">
        <v>2621</v>
      </c>
      <c r="D723" s="8" t="s">
        <v>57</v>
      </c>
      <c r="E723" s="8" t="s">
        <v>94</v>
      </c>
      <c r="F723" s="8" t="s">
        <v>2622</v>
      </c>
      <c r="G723" s="8" t="s">
        <v>2623</v>
      </c>
      <c r="H723" s="9">
        <v>1000000</v>
      </c>
      <c r="I723" s="9">
        <f>[1]!Tabel1[[#This Row],[Honorar]]*[1]!Tabel1[[#This Row],[Sandsynlighed]]</f>
        <v>60000</v>
      </c>
      <c r="J723" s="10" t="s">
        <v>612</v>
      </c>
      <c r="K723" s="10" t="s">
        <v>2624</v>
      </c>
      <c r="L723" s="17" t="s">
        <v>2625</v>
      </c>
      <c r="M723" s="11">
        <v>1E-3</v>
      </c>
      <c r="N723" s="1"/>
      <c r="O723" s="10">
        <v>46279.611909722225</v>
      </c>
      <c r="P723" s="1" t="s">
        <v>72</v>
      </c>
      <c r="Q723" s="1" t="s">
        <v>72</v>
      </c>
      <c r="R723" s="8" t="s">
        <v>49</v>
      </c>
      <c r="S72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2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2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2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2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2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2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2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2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2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2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2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2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23" s="12">
        <f ca="1">[1]!Tabel1[[#This Row],[Vægtet Honorar]]*([1]!Tabel1[[#This Row],[Sidst redigeret]]&gt;TODAY()-40)*([1]!Tabel1[[#This Row],[Er i resplan?]]&lt;&gt;"Ja")*([1]!Tabel1[[#This Row],[Status]]="Pågår")</f>
        <v>0</v>
      </c>
      <c r="AG723" s="12">
        <f ca="1">[1]!Tabel1[[#This Row],[Vægtet Honorar]]*([1]!Tabel1[[#This Row],[Sidst redigeret]]&gt;TODAY()-40)*([1]!Tabel1[[#This Row],[Status]]="Pågår")</f>
        <v>0</v>
      </c>
      <c r="AH723" s="13"/>
      <c r="AI723" s="12"/>
      <c r="AJ723" s="12" t="s">
        <v>2005</v>
      </c>
      <c r="AK723" s="12" t="s">
        <v>2626</v>
      </c>
      <c r="AL723" s="12"/>
      <c r="AM723" s="12"/>
      <c r="AN723" s="12"/>
      <c r="AO723" s="12"/>
      <c r="AP723" s="12"/>
    </row>
    <row r="724" spans="1:42">
      <c r="A724" t="s">
        <v>2627</v>
      </c>
      <c r="B724" s="8"/>
      <c r="C724" s="8" t="s">
        <v>2628</v>
      </c>
      <c r="D724" s="8" t="s">
        <v>44</v>
      </c>
      <c r="E724" s="8" t="s">
        <v>71</v>
      </c>
      <c r="F724" s="8" t="s">
        <v>2629</v>
      </c>
      <c r="G724" s="8" t="s">
        <v>2630</v>
      </c>
      <c r="H724" s="9">
        <v>55000</v>
      </c>
      <c r="I724" s="9">
        <f>[1]!Tabel1[[#This Row],[Honorar]]*[1]!Tabel1[[#This Row],[Sandsynlighed]]</f>
        <v>190000</v>
      </c>
      <c r="J724" s="10" t="s">
        <v>328</v>
      </c>
      <c r="K724" s="10" t="s">
        <v>328</v>
      </c>
      <c r="L724" s="17"/>
      <c r="M724" s="11">
        <v>0.75</v>
      </c>
      <c r="N724" s="1"/>
      <c r="O724" s="10">
        <v>46279.611909722225</v>
      </c>
      <c r="P724" s="10"/>
      <c r="Q724" s="1" t="s">
        <v>46</v>
      </c>
      <c r="R724" s="8" t="s">
        <v>75</v>
      </c>
      <c r="S72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2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2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2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2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2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2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2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2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2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2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2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2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24" s="12">
        <f ca="1">[1]!Tabel1[[#This Row],[Vægtet Honorar]]*([1]!Tabel1[[#This Row],[Sidst redigeret]]&gt;TODAY()-40)*([1]!Tabel1[[#This Row],[Er i resplan?]]&lt;&gt;"Ja")*([1]!Tabel1[[#This Row],[Status]]="Pågår")</f>
        <v>0</v>
      </c>
      <c r="AG724" s="12">
        <f ca="1">[1]!Tabel1[[#This Row],[Vægtet Honorar]]*([1]!Tabel1[[#This Row],[Sidst redigeret]]&gt;TODAY()-40)*([1]!Tabel1[[#This Row],[Status]]="Pågår")</f>
        <v>0</v>
      </c>
      <c r="AH724" s="13"/>
      <c r="AI724" s="12"/>
      <c r="AJ724" s="12"/>
      <c r="AK724" s="12"/>
      <c r="AL724" s="12"/>
      <c r="AM724" s="12"/>
      <c r="AN724" s="12"/>
      <c r="AO724" s="12"/>
      <c r="AP724" s="12"/>
    </row>
    <row r="725" spans="1:42" ht="45">
      <c r="A725" t="s">
        <v>2631</v>
      </c>
      <c r="B725" s="8"/>
      <c r="C725" s="8" t="s">
        <v>2632</v>
      </c>
      <c r="D725" s="8" t="s">
        <v>2633</v>
      </c>
      <c r="E725" s="8" t="s">
        <v>71</v>
      </c>
      <c r="F725" s="8" t="s">
        <v>1013</v>
      </c>
      <c r="G725" s="8" t="s">
        <v>1013</v>
      </c>
      <c r="H725" s="9">
        <v>50000</v>
      </c>
      <c r="I725" s="9">
        <f>[1]!Tabel1[[#This Row],[Honorar]]*[1]!Tabel1[[#This Row],[Sandsynlighed]]</f>
        <v>100000</v>
      </c>
      <c r="J725" s="10" t="s">
        <v>328</v>
      </c>
      <c r="K725" s="10" t="s">
        <v>452</v>
      </c>
      <c r="L725" s="17" t="s">
        <v>2634</v>
      </c>
      <c r="M725" s="11">
        <v>0</v>
      </c>
      <c r="N725" s="1"/>
      <c r="O725" s="10">
        <v>46279.611909722225</v>
      </c>
      <c r="P725" s="10"/>
      <c r="Q725" s="1" t="s">
        <v>72</v>
      </c>
      <c r="R725" s="8" t="s">
        <v>49</v>
      </c>
      <c r="S72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2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2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2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2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2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2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2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2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2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2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2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2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25" s="12">
        <f ca="1">[1]!Tabel1[[#This Row],[Vægtet Honorar]]*([1]!Tabel1[[#This Row],[Sidst redigeret]]&gt;TODAY()-40)*([1]!Tabel1[[#This Row],[Er i resplan?]]&lt;&gt;"Ja")*([1]!Tabel1[[#This Row],[Status]]="Pågår")</f>
        <v>0</v>
      </c>
      <c r="AG725" s="12">
        <f ca="1">[1]!Tabel1[[#This Row],[Vægtet Honorar]]*([1]!Tabel1[[#This Row],[Sidst redigeret]]&gt;TODAY()-40)*([1]!Tabel1[[#This Row],[Status]]="Pågår")</f>
        <v>0</v>
      </c>
      <c r="AH725" s="13"/>
      <c r="AI725" s="12"/>
      <c r="AJ725" s="12"/>
      <c r="AK725" s="12"/>
      <c r="AL725" s="12"/>
      <c r="AM725" s="12"/>
      <c r="AN725" s="12"/>
      <c r="AO725" s="12"/>
      <c r="AP725" s="12"/>
    </row>
    <row r="726" spans="1:42" ht="30">
      <c r="A726" t="s">
        <v>2635</v>
      </c>
      <c r="B726" s="8"/>
      <c r="C726" s="8" t="s">
        <v>2636</v>
      </c>
      <c r="D726" s="8" t="s">
        <v>2637</v>
      </c>
      <c r="E726" s="8" t="s">
        <v>71</v>
      </c>
      <c r="F726" s="8" t="s">
        <v>1012</v>
      </c>
      <c r="G726" s="8" t="s">
        <v>1737</v>
      </c>
      <c r="H726" s="9">
        <v>1520000</v>
      </c>
      <c r="I726" s="9">
        <f>[1]!Tabel1[[#This Row],[Honorar]]*[1]!Tabel1[[#This Row],[Sandsynlighed]]</f>
        <v>100000</v>
      </c>
      <c r="J726" s="10" t="s">
        <v>612</v>
      </c>
      <c r="K726" s="10" t="s">
        <v>1191</v>
      </c>
      <c r="L726" s="17" t="s">
        <v>577</v>
      </c>
      <c r="M726" s="11">
        <v>0.01</v>
      </c>
      <c r="N726" s="1"/>
      <c r="O726" s="10">
        <v>46279.611909722225</v>
      </c>
      <c r="P726" s="10"/>
      <c r="Q726" s="1" t="s">
        <v>72</v>
      </c>
      <c r="R726" s="8" t="s">
        <v>49</v>
      </c>
      <c r="S72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2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2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2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2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2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2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2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2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2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2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2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2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26" s="12">
        <f ca="1">[1]!Tabel1[[#This Row],[Vægtet Honorar]]*([1]!Tabel1[[#This Row],[Sidst redigeret]]&gt;TODAY()-40)*([1]!Tabel1[[#This Row],[Er i resplan?]]&lt;&gt;"Ja")*([1]!Tabel1[[#This Row],[Status]]="Pågår")</f>
        <v>0</v>
      </c>
      <c r="AG726" s="12">
        <f ca="1">[1]!Tabel1[[#This Row],[Vægtet Honorar]]*([1]!Tabel1[[#This Row],[Sidst redigeret]]&gt;TODAY()-40)*([1]!Tabel1[[#This Row],[Status]]="Pågår")</f>
        <v>0</v>
      </c>
      <c r="AH726" s="13"/>
      <c r="AI726" s="12"/>
      <c r="AJ726" s="12" t="s">
        <v>1737</v>
      </c>
      <c r="AK726" s="12"/>
      <c r="AL726" s="12"/>
      <c r="AM726" s="12"/>
      <c r="AN726" s="12"/>
      <c r="AO726" s="12"/>
      <c r="AP726" s="12"/>
    </row>
    <row r="727" spans="1:42">
      <c r="A727" t="s">
        <v>2638</v>
      </c>
      <c r="B727" s="8"/>
      <c r="C727" s="8" t="s">
        <v>2639</v>
      </c>
      <c r="D727" s="8" t="s">
        <v>720</v>
      </c>
      <c r="E727" s="8" t="s">
        <v>71</v>
      </c>
      <c r="F727" s="8" t="s">
        <v>1333</v>
      </c>
      <c r="G727" s="8" t="s">
        <v>2640</v>
      </c>
      <c r="H727" s="9">
        <v>2000000</v>
      </c>
      <c r="I727" s="9">
        <f>[1]!Tabel1[[#This Row],[Honorar]]*[1]!Tabel1[[#This Row],[Sandsynlighed]]</f>
        <v>200000</v>
      </c>
      <c r="J727" s="10" t="s">
        <v>452</v>
      </c>
      <c r="K727" s="10" t="s">
        <v>1191</v>
      </c>
      <c r="L727" s="17" t="s">
        <v>601</v>
      </c>
      <c r="M727" s="11">
        <v>0.01</v>
      </c>
      <c r="N727" s="1"/>
      <c r="O727" s="10">
        <v>46279.611909722225</v>
      </c>
      <c r="P727" s="10"/>
      <c r="Q727" s="1" t="s">
        <v>72</v>
      </c>
      <c r="R727" s="8" t="s">
        <v>75</v>
      </c>
      <c r="S72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2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2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2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2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2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2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2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2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2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2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2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2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27" s="12">
        <f ca="1">[1]!Tabel1[[#This Row],[Vægtet Honorar]]*([1]!Tabel1[[#This Row],[Sidst redigeret]]&gt;TODAY()-40)*([1]!Tabel1[[#This Row],[Er i resplan?]]&lt;&gt;"Ja")*([1]!Tabel1[[#This Row],[Status]]="Pågår")</f>
        <v>0</v>
      </c>
      <c r="AG727" s="12">
        <f ca="1">[1]!Tabel1[[#This Row],[Vægtet Honorar]]*([1]!Tabel1[[#This Row],[Sidst redigeret]]&gt;TODAY()-40)*([1]!Tabel1[[#This Row],[Status]]="Pågår")</f>
        <v>0</v>
      </c>
      <c r="AH727" s="13"/>
      <c r="AI727" s="12"/>
      <c r="AJ727" s="12" t="s">
        <v>1993</v>
      </c>
      <c r="AK727" s="12"/>
      <c r="AL727" s="12"/>
      <c r="AM727" s="12"/>
      <c r="AN727" s="12"/>
      <c r="AO727" s="12"/>
      <c r="AP727" s="12"/>
    </row>
    <row r="728" spans="1:42" ht="30">
      <c r="A728" t="s">
        <v>2641</v>
      </c>
      <c r="B728" s="8"/>
      <c r="C728" s="8" t="s">
        <v>2642</v>
      </c>
      <c r="D728" s="8" t="s">
        <v>1764</v>
      </c>
      <c r="E728" s="8" t="s">
        <v>71</v>
      </c>
      <c r="F728" s="8" t="s">
        <v>1477</v>
      </c>
      <c r="G728" s="8" t="s">
        <v>2643</v>
      </c>
      <c r="H728" s="9">
        <v>50000</v>
      </c>
      <c r="I728" s="9">
        <f>[1]!Tabel1[[#This Row],[Honorar]]*[1]!Tabel1[[#This Row],[Sandsynlighed]]</f>
        <v>1000</v>
      </c>
      <c r="J728" s="10" t="s">
        <v>328</v>
      </c>
      <c r="K728" s="10" t="s">
        <v>452</v>
      </c>
      <c r="L728" s="17" t="s">
        <v>2644</v>
      </c>
      <c r="M728" s="11">
        <v>1</v>
      </c>
      <c r="N728" s="1"/>
      <c r="O728" s="10">
        <v>46279.611909722225</v>
      </c>
      <c r="P728" s="10"/>
      <c r="Q728" s="1" t="s">
        <v>46</v>
      </c>
      <c r="R728" s="8" t="s">
        <v>47</v>
      </c>
      <c r="S72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2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2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2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2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2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2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2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2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2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2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2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2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28" s="12">
        <f ca="1">[1]!Tabel1[[#This Row],[Vægtet Honorar]]*([1]!Tabel1[[#This Row],[Sidst redigeret]]&gt;TODAY()-40)*([1]!Tabel1[[#This Row],[Er i resplan?]]&lt;&gt;"Ja")*([1]!Tabel1[[#This Row],[Status]]="Pågår")</f>
        <v>0</v>
      </c>
      <c r="AG728" s="12">
        <f ca="1">[1]!Tabel1[[#This Row],[Vægtet Honorar]]*([1]!Tabel1[[#This Row],[Sidst redigeret]]&gt;TODAY()-40)*([1]!Tabel1[[#This Row],[Status]]="Pågår")</f>
        <v>0</v>
      </c>
      <c r="AH728" s="13"/>
      <c r="AI728" s="12"/>
      <c r="AJ728" s="12"/>
      <c r="AK728" s="12"/>
      <c r="AL728" s="12"/>
      <c r="AM728" s="12"/>
      <c r="AN728" s="12"/>
      <c r="AO728" s="12"/>
      <c r="AP728" s="12"/>
    </row>
    <row r="729" spans="1:42" ht="30">
      <c r="A729" t="s">
        <v>2645</v>
      </c>
      <c r="B729" s="8"/>
      <c r="C729" s="8" t="s">
        <v>2646</v>
      </c>
      <c r="D729" s="8" t="s">
        <v>1764</v>
      </c>
      <c r="E729" s="8" t="s">
        <v>71</v>
      </c>
      <c r="F729" s="8" t="s">
        <v>1477</v>
      </c>
      <c r="G729" s="8" t="s">
        <v>2643</v>
      </c>
      <c r="H729" s="9">
        <v>20000</v>
      </c>
      <c r="I729" s="9">
        <f>[1]!Tabel1[[#This Row],[Honorar]]*[1]!Tabel1[[#This Row],[Sandsynlighed]]</f>
        <v>41250</v>
      </c>
      <c r="J729" s="10" t="s">
        <v>328</v>
      </c>
      <c r="K729" s="10" t="s">
        <v>328</v>
      </c>
      <c r="L729" s="17" t="s">
        <v>2644</v>
      </c>
      <c r="M729" s="11">
        <v>0</v>
      </c>
      <c r="N729" s="1"/>
      <c r="O729" s="10">
        <v>46279.611909722225</v>
      </c>
      <c r="P729" s="10"/>
      <c r="Q729" s="1" t="s">
        <v>46</v>
      </c>
      <c r="R729" s="8" t="s">
        <v>75</v>
      </c>
      <c r="S72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2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2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2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2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2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2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2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2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2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2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2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2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29" s="12">
        <f ca="1">[1]!Tabel1[[#This Row],[Vægtet Honorar]]*([1]!Tabel1[[#This Row],[Sidst redigeret]]&gt;TODAY()-40)*([1]!Tabel1[[#This Row],[Er i resplan?]]&lt;&gt;"Ja")*([1]!Tabel1[[#This Row],[Status]]="Pågår")</f>
        <v>0</v>
      </c>
      <c r="AG729" s="12">
        <f ca="1">[1]!Tabel1[[#This Row],[Vægtet Honorar]]*([1]!Tabel1[[#This Row],[Sidst redigeret]]&gt;TODAY()-40)*([1]!Tabel1[[#This Row],[Status]]="Pågår")</f>
        <v>0</v>
      </c>
      <c r="AH729" s="13"/>
      <c r="AI729" s="12"/>
      <c r="AJ729" s="12"/>
      <c r="AK729" s="12"/>
      <c r="AL729" s="12"/>
      <c r="AM729" s="12"/>
      <c r="AN729" s="12"/>
      <c r="AO729" s="12"/>
      <c r="AP729" s="12"/>
    </row>
    <row r="730" spans="1:42" ht="30">
      <c r="A730" t="s">
        <v>2647</v>
      </c>
      <c r="B730" s="8"/>
      <c r="C730" s="8" t="s">
        <v>2648</v>
      </c>
      <c r="D730" s="8" t="s">
        <v>980</v>
      </c>
      <c r="E730" s="8" t="s">
        <v>71</v>
      </c>
      <c r="F730" s="8" t="s">
        <v>478</v>
      </c>
      <c r="G730" s="8" t="s">
        <v>478</v>
      </c>
      <c r="H730" s="9">
        <v>42600</v>
      </c>
      <c r="I730" s="9">
        <f>[1]!Tabel1[[#This Row],[Honorar]]*[1]!Tabel1[[#This Row],[Sandsynlighed]]</f>
        <v>0</v>
      </c>
      <c r="J730" s="10" t="s">
        <v>328</v>
      </c>
      <c r="K730" s="10" t="s">
        <v>328</v>
      </c>
      <c r="L730" s="17" t="s">
        <v>2644</v>
      </c>
      <c r="M730" s="11">
        <v>0.75</v>
      </c>
      <c r="N730" s="1"/>
      <c r="O730" s="10">
        <v>46279.611909722225</v>
      </c>
      <c r="P730" s="10"/>
      <c r="Q730" s="1" t="s">
        <v>46</v>
      </c>
      <c r="R730" s="8" t="s">
        <v>49</v>
      </c>
      <c r="S73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3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3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3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3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3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3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3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3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3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3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3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3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30" s="12">
        <f ca="1">[1]!Tabel1[[#This Row],[Vægtet Honorar]]*([1]!Tabel1[[#This Row],[Sidst redigeret]]&gt;TODAY()-40)*([1]!Tabel1[[#This Row],[Er i resplan?]]&lt;&gt;"Ja")*([1]!Tabel1[[#This Row],[Status]]="Pågår")</f>
        <v>0</v>
      </c>
      <c r="AG730" s="12">
        <f ca="1">[1]!Tabel1[[#This Row],[Vægtet Honorar]]*([1]!Tabel1[[#This Row],[Sidst redigeret]]&gt;TODAY()-40)*([1]!Tabel1[[#This Row],[Status]]="Pågår")</f>
        <v>0</v>
      </c>
      <c r="AH730" s="13"/>
      <c r="AI730" s="12"/>
      <c r="AJ730" s="12"/>
      <c r="AK730" s="12"/>
      <c r="AL730" s="12"/>
      <c r="AM730" s="12"/>
      <c r="AN730" s="12"/>
      <c r="AO730" s="12"/>
      <c r="AP730" s="12"/>
    </row>
    <row r="731" spans="1:42" ht="30">
      <c r="A731" t="s">
        <v>2649</v>
      </c>
      <c r="B731" s="8"/>
      <c r="C731" s="8" t="s">
        <v>2648</v>
      </c>
      <c r="D731" s="8" t="s">
        <v>980</v>
      </c>
      <c r="E731" s="8" t="s">
        <v>71</v>
      </c>
      <c r="F731" s="8" t="s">
        <v>478</v>
      </c>
      <c r="G731" s="8" t="s">
        <v>478</v>
      </c>
      <c r="H731" s="9">
        <v>42600</v>
      </c>
      <c r="I731" s="9">
        <f>[1]!Tabel1[[#This Row],[Honorar]]*[1]!Tabel1[[#This Row],[Sandsynlighed]]</f>
        <v>15200</v>
      </c>
      <c r="J731" s="10" t="s">
        <v>328</v>
      </c>
      <c r="K731" s="10" t="s">
        <v>328</v>
      </c>
      <c r="L731" s="17" t="s">
        <v>2644</v>
      </c>
      <c r="M731" s="11">
        <v>0.75</v>
      </c>
      <c r="N731" s="1"/>
      <c r="O731" s="10">
        <v>46279.611909722225</v>
      </c>
      <c r="P731" s="10"/>
      <c r="Q731" s="1" t="s">
        <v>46</v>
      </c>
      <c r="R731" s="8" t="s">
        <v>47</v>
      </c>
      <c r="S73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3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3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3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3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3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3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3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3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3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3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3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3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31" s="12">
        <f ca="1">[1]!Tabel1[[#This Row],[Vægtet Honorar]]*([1]!Tabel1[[#This Row],[Sidst redigeret]]&gt;TODAY()-40)*([1]!Tabel1[[#This Row],[Er i resplan?]]&lt;&gt;"Ja")*([1]!Tabel1[[#This Row],[Status]]="Pågår")</f>
        <v>0</v>
      </c>
      <c r="AG731" s="12">
        <f ca="1">[1]!Tabel1[[#This Row],[Vægtet Honorar]]*([1]!Tabel1[[#This Row],[Sidst redigeret]]&gt;TODAY()-40)*([1]!Tabel1[[#This Row],[Status]]="Pågår")</f>
        <v>0</v>
      </c>
      <c r="AH731" s="13"/>
      <c r="AI731" s="12"/>
      <c r="AJ731" s="12"/>
      <c r="AK731" s="12"/>
      <c r="AL731" s="12"/>
      <c r="AM731" s="12"/>
      <c r="AN731" s="12"/>
      <c r="AO731" s="12"/>
      <c r="AP731" s="12"/>
    </row>
    <row r="732" spans="1:42">
      <c r="A732" t="s">
        <v>2650</v>
      </c>
      <c r="B732" s="8"/>
      <c r="C732" s="8" t="s">
        <v>2651</v>
      </c>
      <c r="D732" s="8" t="s">
        <v>70</v>
      </c>
      <c r="E732" s="8" t="s">
        <v>102</v>
      </c>
      <c r="F732" s="8" t="s">
        <v>339</v>
      </c>
      <c r="G732" s="8" t="s">
        <v>339</v>
      </c>
      <c r="H732" s="9">
        <v>3000000</v>
      </c>
      <c r="I732" s="9">
        <f>[1]!Tabel1[[#This Row],[Honorar]]*[1]!Tabel1[[#This Row],[Sandsynlighed]]</f>
        <v>20000</v>
      </c>
      <c r="J732" s="10" t="s">
        <v>612</v>
      </c>
      <c r="K732" s="10" t="s">
        <v>1310</v>
      </c>
      <c r="L732" s="17"/>
      <c r="M732" s="11">
        <v>0.1</v>
      </c>
      <c r="N732" s="1"/>
      <c r="O732" s="10">
        <v>46279.611909722225</v>
      </c>
      <c r="P732" s="10"/>
      <c r="Q732" s="1" t="s">
        <v>72</v>
      </c>
      <c r="R732" s="8" t="s">
        <v>49</v>
      </c>
      <c r="S73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3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3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3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3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3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3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3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3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3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3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3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3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32" s="12">
        <f ca="1">[1]!Tabel1[[#This Row],[Vægtet Honorar]]*([1]!Tabel1[[#This Row],[Sidst redigeret]]&gt;TODAY()-40)*([1]!Tabel1[[#This Row],[Er i resplan?]]&lt;&gt;"Ja")*([1]!Tabel1[[#This Row],[Status]]="Pågår")</f>
        <v>0</v>
      </c>
      <c r="AG732" s="12">
        <f ca="1">[1]!Tabel1[[#This Row],[Vægtet Honorar]]*([1]!Tabel1[[#This Row],[Sidst redigeret]]&gt;TODAY()-40)*([1]!Tabel1[[#This Row],[Status]]="Pågår")</f>
        <v>0</v>
      </c>
      <c r="AH732" s="13"/>
      <c r="AI732" s="12" t="s">
        <v>2652</v>
      </c>
      <c r="AJ732" s="12"/>
      <c r="AK732" s="12" t="s">
        <v>2653</v>
      </c>
      <c r="AL732" s="12" t="s">
        <v>1009</v>
      </c>
      <c r="AM732" s="12"/>
      <c r="AN732" s="12" t="s">
        <v>2654</v>
      </c>
      <c r="AO732" s="12"/>
      <c r="AP732" s="12"/>
    </row>
    <row r="733" spans="1:42" ht="45">
      <c r="A733" t="s">
        <v>2655</v>
      </c>
      <c r="B733" s="8"/>
      <c r="C733" s="8" t="s">
        <v>2656</v>
      </c>
      <c r="D733" s="8" t="s">
        <v>70</v>
      </c>
      <c r="E733" s="8" t="s">
        <v>102</v>
      </c>
      <c r="F733" s="8" t="s">
        <v>2657</v>
      </c>
      <c r="G733" s="8" t="s">
        <v>2658</v>
      </c>
      <c r="H733" s="9">
        <v>2000000</v>
      </c>
      <c r="I733" s="9">
        <f>[1]!Tabel1[[#This Row],[Honorar]]*[1]!Tabel1[[#This Row],[Sandsynlighed]]</f>
        <v>50000</v>
      </c>
      <c r="J733" s="10" t="s">
        <v>329</v>
      </c>
      <c r="K733" s="10" t="s">
        <v>1310</v>
      </c>
      <c r="L733" s="17" t="s">
        <v>2659</v>
      </c>
      <c r="M733" s="11">
        <v>0.1</v>
      </c>
      <c r="N733" s="1"/>
      <c r="O733" s="10">
        <v>46279.611909722225</v>
      </c>
      <c r="P733" s="10"/>
      <c r="Q733" s="1" t="s">
        <v>72</v>
      </c>
      <c r="R733" s="8" t="s">
        <v>343</v>
      </c>
      <c r="S73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3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3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3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3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3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3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3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3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3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3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3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3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33" s="12">
        <f ca="1">[1]!Tabel1[[#This Row],[Vægtet Honorar]]*([1]!Tabel1[[#This Row],[Sidst redigeret]]&gt;TODAY()-40)*([1]!Tabel1[[#This Row],[Er i resplan?]]&lt;&gt;"Ja")*([1]!Tabel1[[#This Row],[Status]]="Pågår")</f>
        <v>0</v>
      </c>
      <c r="AG733" s="12">
        <f ca="1">[1]!Tabel1[[#This Row],[Vægtet Honorar]]*([1]!Tabel1[[#This Row],[Sidst redigeret]]&gt;TODAY()-40)*([1]!Tabel1[[#This Row],[Status]]="Pågår")</f>
        <v>0</v>
      </c>
      <c r="AH733" s="13"/>
      <c r="AI733" s="12"/>
      <c r="AJ733" s="12" t="s">
        <v>2541</v>
      </c>
      <c r="AK733" s="12" t="s">
        <v>601</v>
      </c>
      <c r="AL733" s="12"/>
      <c r="AM733" s="12"/>
      <c r="AN733" s="12"/>
      <c r="AO733" s="12"/>
      <c r="AP733" s="12"/>
    </row>
    <row r="734" spans="1:42" ht="30">
      <c r="A734" t="s">
        <v>2660</v>
      </c>
      <c r="B734" s="8"/>
      <c r="C734" s="8" t="s">
        <v>2661</v>
      </c>
      <c r="D734" s="8" t="s">
        <v>134</v>
      </c>
      <c r="E734" s="8" t="s">
        <v>94</v>
      </c>
      <c r="F734" s="8" t="s">
        <v>2661</v>
      </c>
      <c r="G734" s="8" t="s">
        <v>2269</v>
      </c>
      <c r="H734" s="9">
        <v>35000</v>
      </c>
      <c r="I734" s="9">
        <f>[1]!Tabel1[[#This Row],[Honorar]]*[1]!Tabel1[[#This Row],[Sandsynlighed]]</f>
        <v>0</v>
      </c>
      <c r="J734" s="10" t="s">
        <v>452</v>
      </c>
      <c r="K734" s="10" t="s">
        <v>612</v>
      </c>
      <c r="L734" s="17" t="s">
        <v>2662</v>
      </c>
      <c r="M734" s="11">
        <v>0.25</v>
      </c>
      <c r="N734" s="1"/>
      <c r="O734" s="10">
        <v>46279.611909722225</v>
      </c>
      <c r="P734" s="1" t="s">
        <v>72</v>
      </c>
      <c r="Q734" s="1" t="s">
        <v>46</v>
      </c>
      <c r="R734" s="8" t="s">
        <v>49</v>
      </c>
      <c r="S73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3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3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3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3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3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3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3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3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3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3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3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3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34" s="12">
        <f ca="1">[1]!Tabel1[[#This Row],[Vægtet Honorar]]*([1]!Tabel1[[#This Row],[Sidst redigeret]]&gt;TODAY()-40)*([1]!Tabel1[[#This Row],[Er i resplan?]]&lt;&gt;"Ja")*([1]!Tabel1[[#This Row],[Status]]="Pågår")</f>
        <v>0</v>
      </c>
      <c r="AG734" s="12">
        <f ca="1">[1]!Tabel1[[#This Row],[Vægtet Honorar]]*([1]!Tabel1[[#This Row],[Sidst redigeret]]&gt;TODAY()-40)*([1]!Tabel1[[#This Row],[Status]]="Pågår")</f>
        <v>0</v>
      </c>
      <c r="AH734" s="13"/>
      <c r="AI734" s="12"/>
      <c r="AJ734" s="12"/>
      <c r="AK734" s="12"/>
      <c r="AL734" s="12"/>
      <c r="AM734" s="12"/>
      <c r="AN734" s="12"/>
      <c r="AO734" s="12"/>
      <c r="AP734" s="12"/>
    </row>
    <row r="735" spans="1:42" ht="75">
      <c r="A735" t="s">
        <v>2663</v>
      </c>
      <c r="B735" s="8"/>
      <c r="C735" s="8" t="s">
        <v>2664</v>
      </c>
      <c r="D735" s="8" t="s">
        <v>1468</v>
      </c>
      <c r="E735" s="8" t="s">
        <v>167</v>
      </c>
      <c r="F735" s="8" t="s">
        <v>2183</v>
      </c>
      <c r="G735" s="8" t="s">
        <v>2183</v>
      </c>
      <c r="H735" s="9">
        <v>300000</v>
      </c>
      <c r="I735" s="9">
        <f>[1]!Tabel1[[#This Row],[Honorar]]*[1]!Tabel1[[#This Row],[Sandsynlighed]]</f>
        <v>31950</v>
      </c>
      <c r="J735" s="10" t="s">
        <v>328</v>
      </c>
      <c r="K735" s="10" t="s">
        <v>612</v>
      </c>
      <c r="L735" s="17" t="s">
        <v>2665</v>
      </c>
      <c r="M735" s="11">
        <v>0.5</v>
      </c>
      <c r="N735" s="1"/>
      <c r="O735" s="10">
        <v>46279.611909722225</v>
      </c>
      <c r="P735" s="10" t="s">
        <v>46</v>
      </c>
      <c r="Q735" s="1" t="s">
        <v>46</v>
      </c>
      <c r="R735" s="8" t="s">
        <v>47</v>
      </c>
      <c r="S73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3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3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3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3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3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3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3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3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3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3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3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3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35" s="12">
        <f ca="1">[1]!Tabel1[[#This Row],[Vægtet Honorar]]*([1]!Tabel1[[#This Row],[Sidst redigeret]]&gt;TODAY()-40)*([1]!Tabel1[[#This Row],[Er i resplan?]]&lt;&gt;"Ja")*([1]!Tabel1[[#This Row],[Status]]="Pågår")</f>
        <v>0</v>
      </c>
      <c r="AG735" s="12">
        <f ca="1">[1]!Tabel1[[#This Row],[Vægtet Honorar]]*([1]!Tabel1[[#This Row],[Sidst redigeret]]&gt;TODAY()-40)*([1]!Tabel1[[#This Row],[Status]]="Pågår")</f>
        <v>0</v>
      </c>
      <c r="AH735" s="13"/>
      <c r="AI735" s="12"/>
      <c r="AJ735" s="12"/>
      <c r="AK735" s="12"/>
      <c r="AL735" s="12"/>
      <c r="AM735" s="12"/>
      <c r="AN735" s="12"/>
      <c r="AO735" s="12"/>
      <c r="AP735" s="12"/>
    </row>
    <row r="736" spans="1:42" ht="75">
      <c r="A736" t="s">
        <v>2666</v>
      </c>
      <c r="B736" s="8"/>
      <c r="C736" s="8" t="s">
        <v>2667</v>
      </c>
      <c r="D736" s="8" t="s">
        <v>65</v>
      </c>
      <c r="E736" s="8" t="s">
        <v>167</v>
      </c>
      <c r="F736" s="8" t="s">
        <v>822</v>
      </c>
      <c r="G736" s="8" t="s">
        <v>822</v>
      </c>
      <c r="H736" s="9">
        <v>100000</v>
      </c>
      <c r="I736" s="9">
        <f>[1]!Tabel1[[#This Row],[Honorar]]*[1]!Tabel1[[#This Row],[Sandsynlighed]]</f>
        <v>31950</v>
      </c>
      <c r="J736" s="10" t="s">
        <v>328</v>
      </c>
      <c r="K736" s="10" t="s">
        <v>342</v>
      </c>
      <c r="L736" s="17" t="s">
        <v>2665</v>
      </c>
      <c r="M736" s="11">
        <v>1</v>
      </c>
      <c r="N736" s="1"/>
      <c r="O736" s="10">
        <v>46279.611909722225</v>
      </c>
      <c r="P736" s="10"/>
      <c r="Q736" s="1" t="s">
        <v>46</v>
      </c>
      <c r="R736" s="8" t="s">
        <v>343</v>
      </c>
      <c r="S73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3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3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3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3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3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3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3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3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3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3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3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3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36" s="12">
        <f ca="1">[1]!Tabel1[[#This Row],[Vægtet Honorar]]*([1]!Tabel1[[#This Row],[Sidst redigeret]]&gt;TODAY()-40)*([1]!Tabel1[[#This Row],[Er i resplan?]]&lt;&gt;"Ja")*([1]!Tabel1[[#This Row],[Status]]="Pågår")</f>
        <v>0</v>
      </c>
      <c r="AG736" s="12">
        <f ca="1">[1]!Tabel1[[#This Row],[Vægtet Honorar]]*([1]!Tabel1[[#This Row],[Sidst redigeret]]&gt;TODAY()-40)*([1]!Tabel1[[#This Row],[Status]]="Pågår")</f>
        <v>0</v>
      </c>
      <c r="AH736" s="13"/>
      <c r="AI736" s="12"/>
      <c r="AJ736" s="12"/>
      <c r="AK736" s="12"/>
      <c r="AL736" s="12"/>
      <c r="AM736" s="12"/>
      <c r="AN736" s="12"/>
      <c r="AO736" s="12"/>
      <c r="AP736" s="12"/>
    </row>
    <row r="737" spans="1:42" ht="30">
      <c r="A737" t="s">
        <v>2668</v>
      </c>
      <c r="B737" s="8"/>
      <c r="C737" s="8" t="s">
        <v>2669</v>
      </c>
      <c r="D737" s="8" t="s">
        <v>859</v>
      </c>
      <c r="E737" s="8" t="s">
        <v>71</v>
      </c>
      <c r="F737" s="8" t="s">
        <v>2670</v>
      </c>
      <c r="G737" s="8" t="s">
        <v>2670</v>
      </c>
      <c r="H737" s="9">
        <v>500000</v>
      </c>
      <c r="I737" s="9">
        <f>[1]!Tabel1[[#This Row],[Honorar]]*[1]!Tabel1[[#This Row],[Sandsynlighed]]</f>
        <v>300000</v>
      </c>
      <c r="J737" s="10" t="s">
        <v>452</v>
      </c>
      <c r="K737" s="10" t="s">
        <v>342</v>
      </c>
      <c r="L737" s="17" t="s">
        <v>2671</v>
      </c>
      <c r="M737" s="11">
        <v>0.2</v>
      </c>
      <c r="N737" s="1"/>
      <c r="O737" s="10">
        <v>46279.611921296295</v>
      </c>
      <c r="P737" s="10"/>
      <c r="Q737" s="1" t="s">
        <v>72</v>
      </c>
      <c r="R737" s="8" t="s">
        <v>75</v>
      </c>
      <c r="S73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3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3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3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3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3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3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3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3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3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3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3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3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37" s="12">
        <f ca="1">[1]!Tabel1[[#This Row],[Vægtet Honorar]]*([1]!Tabel1[[#This Row],[Sidst redigeret]]&gt;TODAY()-40)*([1]!Tabel1[[#This Row],[Er i resplan?]]&lt;&gt;"Ja")*([1]!Tabel1[[#This Row],[Status]]="Pågår")</f>
        <v>0</v>
      </c>
      <c r="AG737" s="12">
        <f ca="1">[1]!Tabel1[[#This Row],[Vægtet Honorar]]*([1]!Tabel1[[#This Row],[Sidst redigeret]]&gt;TODAY()-40)*([1]!Tabel1[[#This Row],[Status]]="Pågår")</f>
        <v>0</v>
      </c>
      <c r="AH737" s="13"/>
      <c r="AI737" s="12"/>
      <c r="AJ737" s="12" t="s">
        <v>2672</v>
      </c>
      <c r="AK737" s="12"/>
      <c r="AL737" s="12" t="s">
        <v>215</v>
      </c>
      <c r="AM737" s="12"/>
      <c r="AN737" s="12"/>
      <c r="AO737" s="12"/>
      <c r="AP737" s="12"/>
    </row>
    <row r="738" spans="1:42" ht="30">
      <c r="A738" t="s">
        <v>2673</v>
      </c>
      <c r="B738" s="8"/>
      <c r="C738" s="8" t="s">
        <v>2674</v>
      </c>
      <c r="D738" s="8" t="s">
        <v>1604</v>
      </c>
      <c r="E738" s="8" t="s">
        <v>102</v>
      </c>
      <c r="F738" s="8" t="s">
        <v>2675</v>
      </c>
      <c r="G738" s="8" t="s">
        <v>2676</v>
      </c>
      <c r="H738" s="9">
        <v>100000</v>
      </c>
      <c r="I738" s="9">
        <f>[1]!Tabel1[[#This Row],[Honorar]]*[1]!Tabel1[[#This Row],[Sandsynlighed]]</f>
        <v>200000</v>
      </c>
      <c r="J738" s="10" t="s">
        <v>328</v>
      </c>
      <c r="K738" s="10" t="s">
        <v>1287</v>
      </c>
      <c r="L738" s="17" t="s">
        <v>2671</v>
      </c>
      <c r="M738" s="11">
        <v>0.5</v>
      </c>
      <c r="N738" s="1"/>
      <c r="O738" s="10">
        <v>46279.611921296295</v>
      </c>
      <c r="P738" s="10"/>
      <c r="Q738" s="1" t="s">
        <v>46</v>
      </c>
      <c r="R738" s="8" t="s">
        <v>47</v>
      </c>
      <c r="S73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3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3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3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3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3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3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3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3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3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3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3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3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38" s="12">
        <f ca="1">[1]!Tabel1[[#This Row],[Vægtet Honorar]]*([1]!Tabel1[[#This Row],[Sidst redigeret]]&gt;TODAY()-40)*([1]!Tabel1[[#This Row],[Er i resplan?]]&lt;&gt;"Ja")*([1]!Tabel1[[#This Row],[Status]]="Pågår")</f>
        <v>200000</v>
      </c>
      <c r="AG738" s="12">
        <f ca="1">[1]!Tabel1[[#This Row],[Vægtet Honorar]]*([1]!Tabel1[[#This Row],[Sidst redigeret]]&gt;TODAY()-40)*([1]!Tabel1[[#This Row],[Status]]="Pågår")</f>
        <v>200000</v>
      </c>
      <c r="AH738" s="13"/>
      <c r="AI738" s="12"/>
      <c r="AJ738" s="12"/>
      <c r="AK738" s="12"/>
      <c r="AL738" s="12"/>
      <c r="AM738" s="12"/>
      <c r="AN738" s="12"/>
      <c r="AO738" s="12"/>
      <c r="AP738" s="12"/>
    </row>
    <row r="739" spans="1:42" ht="30">
      <c r="A739" t="s">
        <v>2677</v>
      </c>
      <c r="B739" s="8"/>
      <c r="C739" s="8" t="s">
        <v>2678</v>
      </c>
      <c r="D739" s="8" t="s">
        <v>57</v>
      </c>
      <c r="E739" s="8" t="s">
        <v>94</v>
      </c>
      <c r="F739" s="8" t="s">
        <v>2679</v>
      </c>
      <c r="G739" s="8" t="s">
        <v>2679</v>
      </c>
      <c r="H739" s="9">
        <v>3240000</v>
      </c>
      <c r="I739" s="9">
        <f>[1]!Tabel1[[#This Row],[Honorar]]*[1]!Tabel1[[#This Row],[Sandsynlighed]]</f>
        <v>8750</v>
      </c>
      <c r="J739" s="10" t="s">
        <v>329</v>
      </c>
      <c r="K739" s="10" t="s">
        <v>342</v>
      </c>
      <c r="L739" s="17" t="s">
        <v>2671</v>
      </c>
      <c r="M739" s="11">
        <v>0.02</v>
      </c>
      <c r="N739" s="1">
        <v>2000</v>
      </c>
      <c r="O739" s="10">
        <v>46279.611921296295</v>
      </c>
      <c r="P739" s="1" t="s">
        <v>72</v>
      </c>
      <c r="Q739" s="1" t="s">
        <v>72</v>
      </c>
      <c r="R739" s="8" t="s">
        <v>49</v>
      </c>
      <c r="S73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3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3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3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3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3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3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3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3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3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3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3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3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39" s="12">
        <f ca="1">[1]!Tabel1[[#This Row],[Vægtet Honorar]]*([1]!Tabel1[[#This Row],[Sidst redigeret]]&gt;TODAY()-40)*([1]!Tabel1[[#This Row],[Er i resplan?]]&lt;&gt;"Ja")*([1]!Tabel1[[#This Row],[Status]]="Pågår")</f>
        <v>0</v>
      </c>
      <c r="AG739" s="12">
        <f ca="1">[1]!Tabel1[[#This Row],[Vægtet Honorar]]*([1]!Tabel1[[#This Row],[Sidst redigeret]]&gt;TODAY()-40)*([1]!Tabel1[[#This Row],[Status]]="Pågår")</f>
        <v>0</v>
      </c>
      <c r="AH739" s="13"/>
      <c r="AI739" s="12"/>
      <c r="AJ739" s="12" t="s">
        <v>2680</v>
      </c>
      <c r="AK739" s="12"/>
      <c r="AL739" s="12"/>
      <c r="AM739" s="12"/>
      <c r="AN739" s="12"/>
      <c r="AO739" s="12"/>
      <c r="AP739" s="12"/>
    </row>
    <row r="740" spans="1:42" ht="75">
      <c r="A740" t="s">
        <v>2681</v>
      </c>
      <c r="B740" s="8"/>
      <c r="C740" s="8" t="s">
        <v>2682</v>
      </c>
      <c r="D740" s="8" t="s">
        <v>1468</v>
      </c>
      <c r="E740" s="8" t="s">
        <v>167</v>
      </c>
      <c r="F740" s="8" t="s">
        <v>2683</v>
      </c>
      <c r="G740" s="8" t="s">
        <v>2683</v>
      </c>
      <c r="H740" s="9">
        <v>0</v>
      </c>
      <c r="I740" s="9">
        <f>[1]!Tabel1[[#This Row],[Honorar]]*[1]!Tabel1[[#This Row],[Sandsynlighed]]</f>
        <v>150000</v>
      </c>
      <c r="J740" s="10" t="s">
        <v>328</v>
      </c>
      <c r="K740" s="10" t="s">
        <v>328</v>
      </c>
      <c r="L740" s="17" t="s">
        <v>2684</v>
      </c>
      <c r="M740" s="11">
        <v>0.5</v>
      </c>
      <c r="N740" s="1"/>
      <c r="O740" s="10">
        <v>46279.611921296295</v>
      </c>
      <c r="P740" s="10" t="s">
        <v>46</v>
      </c>
      <c r="Q740" s="1" t="s">
        <v>72</v>
      </c>
      <c r="R740" s="8" t="s">
        <v>49</v>
      </c>
      <c r="S74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4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4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4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4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4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4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4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4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4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4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4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4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40" s="12">
        <f ca="1">[1]!Tabel1[[#This Row],[Vægtet Honorar]]*([1]!Tabel1[[#This Row],[Sidst redigeret]]&gt;TODAY()-40)*([1]!Tabel1[[#This Row],[Er i resplan?]]&lt;&gt;"Ja")*([1]!Tabel1[[#This Row],[Status]]="Pågår")</f>
        <v>0</v>
      </c>
      <c r="AG740" s="12">
        <f ca="1">[1]!Tabel1[[#This Row],[Vægtet Honorar]]*([1]!Tabel1[[#This Row],[Sidst redigeret]]&gt;TODAY()-40)*([1]!Tabel1[[#This Row],[Status]]="Pågår")</f>
        <v>0</v>
      </c>
      <c r="AH740" s="13"/>
      <c r="AI740" s="12"/>
      <c r="AJ740" s="12"/>
      <c r="AK740" s="12"/>
      <c r="AL740" s="12"/>
      <c r="AM740" s="12"/>
      <c r="AN740" s="12"/>
      <c r="AO740" s="12"/>
      <c r="AP740" s="12"/>
    </row>
    <row r="741" spans="1:42" ht="30">
      <c r="A741" t="s">
        <v>2685</v>
      </c>
      <c r="B741" s="8"/>
      <c r="C741" s="8" t="s">
        <v>2686</v>
      </c>
      <c r="D741" s="8" t="s">
        <v>203</v>
      </c>
      <c r="E741" s="8" t="s">
        <v>167</v>
      </c>
      <c r="F741" s="8" t="s">
        <v>2687</v>
      </c>
      <c r="G741" s="8" t="s">
        <v>2687</v>
      </c>
      <c r="H741" s="9">
        <v>1000000</v>
      </c>
      <c r="I741" s="9">
        <f>[1]!Tabel1[[#This Row],[Honorar]]*[1]!Tabel1[[#This Row],[Sandsynlighed]]</f>
        <v>100000</v>
      </c>
      <c r="J741" s="10" t="s">
        <v>452</v>
      </c>
      <c r="K741" s="10" t="s">
        <v>1191</v>
      </c>
      <c r="L741" s="17" t="s">
        <v>2688</v>
      </c>
      <c r="M741" s="11">
        <v>1</v>
      </c>
      <c r="N741" s="1"/>
      <c r="O741" s="10">
        <v>46279.611921296295</v>
      </c>
      <c r="P741" s="10"/>
      <c r="Q741" s="1" t="s">
        <v>46</v>
      </c>
      <c r="R741" s="8" t="s">
        <v>47</v>
      </c>
      <c r="S74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4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4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4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4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4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4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4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4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4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4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4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4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41" s="12">
        <f ca="1">[1]!Tabel1[[#This Row],[Vægtet Honorar]]*([1]!Tabel1[[#This Row],[Sidst redigeret]]&gt;TODAY()-40)*([1]!Tabel1[[#This Row],[Er i resplan?]]&lt;&gt;"Ja")*([1]!Tabel1[[#This Row],[Status]]="Pågår")</f>
        <v>0</v>
      </c>
      <c r="AG741" s="12">
        <f ca="1">[1]!Tabel1[[#This Row],[Vægtet Honorar]]*([1]!Tabel1[[#This Row],[Sidst redigeret]]&gt;TODAY()-40)*([1]!Tabel1[[#This Row],[Status]]="Pågår")</f>
        <v>100000</v>
      </c>
      <c r="AH741" s="13">
        <v>45826.548935185187</v>
      </c>
      <c r="AI741" s="12"/>
      <c r="AJ741" s="12"/>
      <c r="AK741" s="12"/>
      <c r="AL741" s="12"/>
      <c r="AM741" s="12"/>
      <c r="AN741" s="12"/>
      <c r="AO741" s="12"/>
      <c r="AP741" s="12"/>
    </row>
    <row r="742" spans="1:42" ht="30">
      <c r="A742" t="s">
        <v>2689</v>
      </c>
      <c r="B742" s="8"/>
      <c r="C742" s="8" t="s">
        <v>2690</v>
      </c>
      <c r="D742" s="8" t="s">
        <v>57</v>
      </c>
      <c r="E742" s="8" t="s">
        <v>94</v>
      </c>
      <c r="F742" s="8"/>
      <c r="G742" s="8"/>
      <c r="H742" s="9">
        <v>2000000</v>
      </c>
      <c r="I742" s="9">
        <f>[1]!Tabel1[[#This Row],[Honorar]]*[1]!Tabel1[[#This Row],[Sandsynlighed]]</f>
        <v>100000</v>
      </c>
      <c r="J742" s="10" t="s">
        <v>612</v>
      </c>
      <c r="K742" s="10" t="s">
        <v>1062</v>
      </c>
      <c r="L742" s="17" t="s">
        <v>2691</v>
      </c>
      <c r="M742" s="11">
        <v>0.01</v>
      </c>
      <c r="N742" s="1"/>
      <c r="O742" s="10">
        <v>46279.611921296295</v>
      </c>
      <c r="P742" s="1" t="s">
        <v>72</v>
      </c>
      <c r="Q742" s="1" t="s">
        <v>72</v>
      </c>
      <c r="R742" s="8" t="s">
        <v>49</v>
      </c>
      <c r="S74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4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4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4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4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4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4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4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4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4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4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4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4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42" s="12">
        <f ca="1">[1]!Tabel1[[#This Row],[Vægtet Honorar]]*([1]!Tabel1[[#This Row],[Sidst redigeret]]&gt;TODAY()-40)*([1]!Tabel1[[#This Row],[Er i resplan?]]&lt;&gt;"Ja")*([1]!Tabel1[[#This Row],[Status]]="Pågår")</f>
        <v>0</v>
      </c>
      <c r="AG742" s="12">
        <f ca="1">[1]!Tabel1[[#This Row],[Vægtet Honorar]]*([1]!Tabel1[[#This Row],[Sidst redigeret]]&gt;TODAY()-40)*([1]!Tabel1[[#This Row],[Status]]="Pågår")</f>
        <v>0</v>
      </c>
      <c r="AH742" s="13"/>
      <c r="AI742" s="12"/>
      <c r="AJ742" s="12" t="s">
        <v>2014</v>
      </c>
      <c r="AK742" s="12" t="s">
        <v>2692</v>
      </c>
      <c r="AL742" s="12"/>
      <c r="AM742" s="12"/>
      <c r="AN742" s="12"/>
      <c r="AO742" s="12"/>
      <c r="AP742" s="12"/>
    </row>
    <row r="743" spans="1:42">
      <c r="A743" t="s">
        <v>2693</v>
      </c>
      <c r="B743" s="8"/>
      <c r="C743" s="8" t="s">
        <v>2694</v>
      </c>
      <c r="D743" s="8" t="s">
        <v>57</v>
      </c>
      <c r="E743" s="8" t="s">
        <v>94</v>
      </c>
      <c r="F743" s="8" t="s">
        <v>1198</v>
      </c>
      <c r="G743" s="8" t="s">
        <v>1198</v>
      </c>
      <c r="H743" s="9">
        <v>2000000</v>
      </c>
      <c r="I743" s="9">
        <f>[1]!Tabel1[[#This Row],[Honorar]]*[1]!Tabel1[[#This Row],[Sandsynlighed]]</f>
        <v>50000</v>
      </c>
      <c r="J743" s="10" t="s">
        <v>612</v>
      </c>
      <c r="K743" s="10" t="s">
        <v>1062</v>
      </c>
      <c r="L743" s="17"/>
      <c r="M743" s="11">
        <v>0.01</v>
      </c>
      <c r="N743" s="1"/>
      <c r="O743" s="10">
        <v>46279.611921296295</v>
      </c>
      <c r="P743" s="1" t="s">
        <v>72</v>
      </c>
      <c r="Q743" s="1" t="s">
        <v>72</v>
      </c>
      <c r="R743" s="8" t="s">
        <v>75</v>
      </c>
      <c r="S74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4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4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4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4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4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4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4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4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4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4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4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4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43" s="12">
        <f ca="1">[1]!Tabel1[[#This Row],[Vægtet Honorar]]*([1]!Tabel1[[#This Row],[Sidst redigeret]]&gt;TODAY()-40)*([1]!Tabel1[[#This Row],[Er i resplan?]]&lt;&gt;"Ja")*([1]!Tabel1[[#This Row],[Status]]="Pågår")</f>
        <v>0</v>
      </c>
      <c r="AG743" s="12">
        <f ca="1">[1]!Tabel1[[#This Row],[Vægtet Honorar]]*([1]!Tabel1[[#This Row],[Sidst redigeret]]&gt;TODAY()-40)*([1]!Tabel1[[#This Row],[Status]]="Pågår")</f>
        <v>0</v>
      </c>
      <c r="AH743" s="13"/>
      <c r="AI743" s="12"/>
      <c r="AJ743" s="12" t="s">
        <v>2695</v>
      </c>
      <c r="AK743" s="12" t="s">
        <v>2696</v>
      </c>
      <c r="AL743" s="12"/>
      <c r="AM743" s="12"/>
      <c r="AN743" s="12"/>
      <c r="AO743" s="12"/>
      <c r="AP743" s="12"/>
    </row>
    <row r="744" spans="1:42" ht="75">
      <c r="A744" t="s">
        <v>2697</v>
      </c>
      <c r="B744" s="8"/>
      <c r="C744" s="8" t="s">
        <v>2698</v>
      </c>
      <c r="D744" s="8" t="s">
        <v>1468</v>
      </c>
      <c r="E744" s="8" t="s">
        <v>167</v>
      </c>
      <c r="F744" s="8" t="s">
        <v>2183</v>
      </c>
      <c r="G744" s="8" t="s">
        <v>2183</v>
      </c>
      <c r="H744" s="9">
        <v>500000</v>
      </c>
      <c r="I744" s="9">
        <f>[1]!Tabel1[[#This Row],[Honorar]]*[1]!Tabel1[[#This Row],[Sandsynlighed]]</f>
        <v>64800</v>
      </c>
      <c r="J744" s="10" t="s">
        <v>328</v>
      </c>
      <c r="K744" s="10" t="s">
        <v>1287</v>
      </c>
      <c r="L744" s="17" t="s">
        <v>2665</v>
      </c>
      <c r="M744" s="11">
        <v>0.34</v>
      </c>
      <c r="N744" s="1"/>
      <c r="O744" s="10">
        <v>46279.611921296295</v>
      </c>
      <c r="P744" s="10"/>
      <c r="Q744" s="1" t="s">
        <v>46</v>
      </c>
      <c r="R744" s="8" t="s">
        <v>75</v>
      </c>
      <c r="S74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4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4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4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4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4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4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4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4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4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4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4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4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44" s="12">
        <f ca="1">[1]!Tabel1[[#This Row],[Vægtet Honorar]]*([1]!Tabel1[[#This Row],[Sidst redigeret]]&gt;TODAY()-40)*([1]!Tabel1[[#This Row],[Er i resplan?]]&lt;&gt;"Ja")*([1]!Tabel1[[#This Row],[Status]]="Pågår")</f>
        <v>0</v>
      </c>
      <c r="AG744" s="12">
        <f ca="1">[1]!Tabel1[[#This Row],[Vægtet Honorar]]*([1]!Tabel1[[#This Row],[Sidst redigeret]]&gt;TODAY()-40)*([1]!Tabel1[[#This Row],[Status]]="Pågår")</f>
        <v>0</v>
      </c>
      <c r="AH744" s="13"/>
      <c r="AI744" s="12"/>
      <c r="AJ744" s="12"/>
      <c r="AK744" s="12"/>
      <c r="AL744" s="12"/>
      <c r="AM744" s="12"/>
      <c r="AN744" s="12"/>
      <c r="AO744" s="12"/>
      <c r="AP744" s="12"/>
    </row>
    <row r="745" spans="1:42">
      <c r="A745" t="s">
        <v>2699</v>
      </c>
      <c r="B745" s="8"/>
      <c r="C745" s="8" t="s">
        <v>2700</v>
      </c>
      <c r="D745" s="8" t="s">
        <v>203</v>
      </c>
      <c r="E745" s="8" t="s">
        <v>167</v>
      </c>
      <c r="F745" s="8" t="s">
        <v>2701</v>
      </c>
      <c r="G745" s="8" t="s">
        <v>2393</v>
      </c>
      <c r="H745" s="9">
        <v>3500000</v>
      </c>
      <c r="I745" s="9">
        <f>[1]!Tabel1[[#This Row],[Honorar]]*[1]!Tabel1[[#This Row],[Sandsynlighed]]</f>
        <v>0</v>
      </c>
      <c r="J745" s="10" t="s">
        <v>452</v>
      </c>
      <c r="K745" s="10" t="s">
        <v>1287</v>
      </c>
      <c r="L745" s="17"/>
      <c r="M745" s="11">
        <v>0.2</v>
      </c>
      <c r="N745" s="1"/>
      <c r="O745" s="10">
        <v>46279.611921296295</v>
      </c>
      <c r="P745" s="10"/>
      <c r="Q745" s="1" t="s">
        <v>72</v>
      </c>
      <c r="R745" s="8" t="s">
        <v>343</v>
      </c>
      <c r="S74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4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4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4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4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4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4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4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4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4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4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4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4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45" s="12">
        <f ca="1">[1]!Tabel1[[#This Row],[Vægtet Honorar]]*([1]!Tabel1[[#This Row],[Sidst redigeret]]&gt;TODAY()-40)*([1]!Tabel1[[#This Row],[Er i resplan?]]&lt;&gt;"Ja")*([1]!Tabel1[[#This Row],[Status]]="Pågår")</f>
        <v>0</v>
      </c>
      <c r="AG745" s="12">
        <f ca="1">[1]!Tabel1[[#This Row],[Vægtet Honorar]]*([1]!Tabel1[[#This Row],[Sidst redigeret]]&gt;TODAY()-40)*([1]!Tabel1[[#This Row],[Status]]="Pågår")</f>
        <v>0</v>
      </c>
      <c r="AH745" s="13"/>
      <c r="AI745" s="12"/>
      <c r="AJ745" s="12" t="s">
        <v>2393</v>
      </c>
      <c r="AK745" s="12"/>
      <c r="AL745" s="12"/>
      <c r="AM745" s="12"/>
      <c r="AN745" s="12"/>
      <c r="AO745" s="12"/>
      <c r="AP745" s="12"/>
    </row>
    <row r="746" spans="1:42">
      <c r="A746" t="s">
        <v>2702</v>
      </c>
      <c r="B746" s="8"/>
      <c r="C746" s="8" t="s">
        <v>2703</v>
      </c>
      <c r="D746" s="8" t="s">
        <v>200</v>
      </c>
      <c r="E746" s="8" t="s">
        <v>120</v>
      </c>
      <c r="F746" s="8" t="s">
        <v>2704</v>
      </c>
      <c r="G746" s="8" t="s">
        <v>2705</v>
      </c>
      <c r="H746" s="9">
        <v>1000000</v>
      </c>
      <c r="I746" s="9">
        <f>[1]!Tabel1[[#This Row],[Honorar]]*[1]!Tabel1[[#This Row],[Sandsynlighed]]</f>
        <v>1000000</v>
      </c>
      <c r="J746" s="10" t="s">
        <v>1061</v>
      </c>
      <c r="K746" s="10" t="s">
        <v>585</v>
      </c>
      <c r="L746" s="17"/>
      <c r="M746" s="11">
        <v>0.05</v>
      </c>
      <c r="N746" s="1">
        <v>2500</v>
      </c>
      <c r="O746" s="10">
        <v>46279.611921296295</v>
      </c>
      <c r="P746" s="10"/>
      <c r="Q746" s="1" t="s">
        <v>72</v>
      </c>
      <c r="R746" s="8" t="s">
        <v>343</v>
      </c>
      <c r="S74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4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4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4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4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4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4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4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4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4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4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4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4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46" s="12">
        <f ca="1">[1]!Tabel1[[#This Row],[Vægtet Honorar]]*([1]!Tabel1[[#This Row],[Sidst redigeret]]&gt;TODAY()-40)*([1]!Tabel1[[#This Row],[Er i resplan?]]&lt;&gt;"Ja")*([1]!Tabel1[[#This Row],[Status]]="Pågår")</f>
        <v>0</v>
      </c>
      <c r="AG746" s="12">
        <f ca="1">[1]!Tabel1[[#This Row],[Vægtet Honorar]]*([1]!Tabel1[[#This Row],[Sidst redigeret]]&gt;TODAY()-40)*([1]!Tabel1[[#This Row],[Status]]="Pågår")</f>
        <v>0</v>
      </c>
      <c r="AH746" s="13"/>
      <c r="AI746" s="12"/>
      <c r="AJ746" s="12" t="s">
        <v>1864</v>
      </c>
      <c r="AK746" s="12" t="s">
        <v>2706</v>
      </c>
      <c r="AL746" s="12"/>
      <c r="AM746" s="12"/>
      <c r="AN746" s="12"/>
      <c r="AO746" s="12"/>
      <c r="AP746" s="12"/>
    </row>
    <row r="747" spans="1:42">
      <c r="A747" t="s">
        <v>2707</v>
      </c>
      <c r="B747" s="8"/>
      <c r="C747" s="8" t="s">
        <v>2708</v>
      </c>
      <c r="D747" s="8" t="s">
        <v>2709</v>
      </c>
      <c r="E747" s="8" t="s">
        <v>120</v>
      </c>
      <c r="F747" s="8" t="s">
        <v>2710</v>
      </c>
      <c r="G747" s="8" t="s">
        <v>2711</v>
      </c>
      <c r="H747" s="9">
        <v>6500000</v>
      </c>
      <c r="I747" s="9">
        <f>[1]!Tabel1[[#This Row],[Honorar]]*[1]!Tabel1[[#This Row],[Sandsynlighed]]</f>
        <v>20000</v>
      </c>
      <c r="J747" s="10" t="s">
        <v>1061</v>
      </c>
      <c r="K747" s="10" t="s">
        <v>585</v>
      </c>
      <c r="L747" s="17"/>
      <c r="M747" s="11">
        <v>0.05</v>
      </c>
      <c r="N747" s="1">
        <v>7000</v>
      </c>
      <c r="O747" s="10">
        <v>46279.611921296295</v>
      </c>
      <c r="P747" s="10"/>
      <c r="Q747" s="1" t="s">
        <v>72</v>
      </c>
      <c r="R747" s="8" t="s">
        <v>75</v>
      </c>
      <c r="S74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4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4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4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4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4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4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4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4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4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4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4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4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47" s="12">
        <f ca="1">[1]!Tabel1[[#This Row],[Vægtet Honorar]]*([1]!Tabel1[[#This Row],[Sidst redigeret]]&gt;TODAY()-40)*([1]!Tabel1[[#This Row],[Er i resplan?]]&lt;&gt;"Ja")*([1]!Tabel1[[#This Row],[Status]]="Pågår")</f>
        <v>0</v>
      </c>
      <c r="AG747" s="12">
        <f ca="1">[1]!Tabel1[[#This Row],[Vægtet Honorar]]*([1]!Tabel1[[#This Row],[Sidst redigeret]]&gt;TODAY()-40)*([1]!Tabel1[[#This Row],[Status]]="Pågår")</f>
        <v>0</v>
      </c>
      <c r="AH747" s="13"/>
      <c r="AI747" s="12"/>
      <c r="AJ747" s="12" t="s">
        <v>1737</v>
      </c>
      <c r="AK747" s="12" t="s">
        <v>2712</v>
      </c>
      <c r="AL747" s="12"/>
      <c r="AM747" s="12"/>
      <c r="AN747" s="12" t="s">
        <v>2713</v>
      </c>
      <c r="AO747" s="12"/>
      <c r="AP747" s="12"/>
    </row>
    <row r="748" spans="1:42">
      <c r="A748" t="s">
        <v>2714</v>
      </c>
      <c r="B748" s="8"/>
      <c r="C748" s="8" t="s">
        <v>2715</v>
      </c>
      <c r="D748" s="8" t="s">
        <v>1764</v>
      </c>
      <c r="E748" s="8" t="s">
        <v>71</v>
      </c>
      <c r="F748" s="8" t="s">
        <v>1012</v>
      </c>
      <c r="G748" s="8" t="s">
        <v>1012</v>
      </c>
      <c r="H748" s="9">
        <v>50000</v>
      </c>
      <c r="I748" s="9">
        <f>[1]!Tabel1[[#This Row],[Honorar]]*[1]!Tabel1[[#This Row],[Sandsynlighed]]</f>
        <v>20000</v>
      </c>
      <c r="J748" s="10" t="s">
        <v>328</v>
      </c>
      <c r="K748" s="10" t="s">
        <v>612</v>
      </c>
      <c r="L748" s="17"/>
      <c r="M748" s="11">
        <v>0.05</v>
      </c>
      <c r="N748" s="1" t="s">
        <v>2716</v>
      </c>
      <c r="O748" s="10">
        <v>46279.611921296295</v>
      </c>
      <c r="P748" s="10"/>
      <c r="Q748" s="1" t="s">
        <v>46</v>
      </c>
      <c r="R748" s="8" t="s">
        <v>47</v>
      </c>
      <c r="S74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4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4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4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4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4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4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4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4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4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4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4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4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48" s="12">
        <f ca="1">[1]!Tabel1[[#This Row],[Vægtet Honorar]]*([1]!Tabel1[[#This Row],[Sidst redigeret]]&gt;TODAY()-40)*([1]!Tabel1[[#This Row],[Er i resplan?]]&lt;&gt;"Ja")*([1]!Tabel1[[#This Row],[Status]]="Pågår")</f>
        <v>0</v>
      </c>
      <c r="AG748" s="12">
        <f ca="1">[1]!Tabel1[[#This Row],[Vægtet Honorar]]*([1]!Tabel1[[#This Row],[Sidst redigeret]]&gt;TODAY()-40)*([1]!Tabel1[[#This Row],[Status]]="Pågår")</f>
        <v>0</v>
      </c>
      <c r="AH748" s="13"/>
      <c r="AI748" s="12"/>
      <c r="AJ748" s="12"/>
      <c r="AK748" s="12"/>
      <c r="AL748" s="12"/>
      <c r="AM748" s="12"/>
      <c r="AN748" s="12"/>
      <c r="AO748" s="12"/>
      <c r="AP748" s="12"/>
    </row>
    <row r="749" spans="1:42">
      <c r="A749" t="s">
        <v>2717</v>
      </c>
      <c r="B749" s="8"/>
      <c r="C749" s="8" t="s">
        <v>2718</v>
      </c>
      <c r="D749" s="8" t="s">
        <v>2719</v>
      </c>
      <c r="E749" s="8" t="s">
        <v>71</v>
      </c>
      <c r="F749" s="8" t="s">
        <v>940</v>
      </c>
      <c r="G749" s="8" t="s">
        <v>940</v>
      </c>
      <c r="H749" s="9">
        <v>130000</v>
      </c>
      <c r="I749" s="9">
        <f>[1]!Tabel1[[#This Row],[Honorar]]*[1]!Tabel1[[#This Row],[Sandsynlighed]]</f>
        <v>170000</v>
      </c>
      <c r="J749" s="10" t="s">
        <v>328</v>
      </c>
      <c r="K749" s="10" t="s">
        <v>452</v>
      </c>
      <c r="L749" s="17"/>
      <c r="M749" s="11">
        <v>0.75</v>
      </c>
      <c r="N749" s="1" t="s">
        <v>2716</v>
      </c>
      <c r="O749" s="10">
        <v>46279.611921296295</v>
      </c>
      <c r="P749" s="10"/>
      <c r="Q749" s="1" t="s">
        <v>46</v>
      </c>
      <c r="R749" s="8" t="s">
        <v>47</v>
      </c>
      <c r="S74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4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4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4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4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4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4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4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4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4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4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4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4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49" s="12">
        <f ca="1">[1]!Tabel1[[#This Row],[Vægtet Honorar]]*([1]!Tabel1[[#This Row],[Sidst redigeret]]&gt;TODAY()-40)*([1]!Tabel1[[#This Row],[Er i resplan?]]&lt;&gt;"Ja")*([1]!Tabel1[[#This Row],[Status]]="Pågår")</f>
        <v>0</v>
      </c>
      <c r="AG749" s="12">
        <f ca="1">[1]!Tabel1[[#This Row],[Vægtet Honorar]]*([1]!Tabel1[[#This Row],[Sidst redigeret]]&gt;TODAY()-40)*([1]!Tabel1[[#This Row],[Status]]="Pågår")</f>
        <v>0</v>
      </c>
      <c r="AH749" s="13"/>
      <c r="AI749" s="12"/>
      <c r="AJ749" s="12"/>
      <c r="AK749" s="12"/>
      <c r="AL749" s="12"/>
      <c r="AM749" s="12"/>
      <c r="AN749" s="12"/>
      <c r="AO749" s="12"/>
      <c r="AP749" s="12"/>
    </row>
    <row r="750" spans="1:42">
      <c r="A750" t="s">
        <v>2720</v>
      </c>
      <c r="B750" s="8"/>
      <c r="C750" s="8" t="s">
        <v>2721</v>
      </c>
      <c r="D750" s="8" t="s">
        <v>2722</v>
      </c>
      <c r="E750" s="8" t="s">
        <v>71</v>
      </c>
      <c r="F750" s="8" t="s">
        <v>940</v>
      </c>
      <c r="G750" s="8" t="s">
        <v>940</v>
      </c>
      <c r="H750" s="9">
        <v>60000</v>
      </c>
      <c r="I750" s="9">
        <f>[1]!Tabel1[[#This Row],[Honorar]]*[1]!Tabel1[[#This Row],[Sandsynlighed]]</f>
        <v>700000</v>
      </c>
      <c r="J750" s="10" t="s">
        <v>452</v>
      </c>
      <c r="K750" s="10" t="s">
        <v>612</v>
      </c>
      <c r="L750" s="17"/>
      <c r="M750" s="11">
        <v>0</v>
      </c>
      <c r="N750" s="1" t="s">
        <v>2716</v>
      </c>
      <c r="O750" s="10">
        <v>46279.611921296295</v>
      </c>
      <c r="P750" s="10"/>
      <c r="Q750" s="1" t="s">
        <v>46</v>
      </c>
      <c r="R750" s="8" t="s">
        <v>75</v>
      </c>
      <c r="S75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5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5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5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5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5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5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5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5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5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5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5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5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50" s="12">
        <f ca="1">[1]!Tabel1[[#This Row],[Vægtet Honorar]]*([1]!Tabel1[[#This Row],[Sidst redigeret]]&gt;TODAY()-40)*([1]!Tabel1[[#This Row],[Er i resplan?]]&lt;&gt;"Ja")*([1]!Tabel1[[#This Row],[Status]]="Pågår")</f>
        <v>700000</v>
      </c>
      <c r="AG750" s="12">
        <f ca="1">[1]!Tabel1[[#This Row],[Vægtet Honorar]]*([1]!Tabel1[[#This Row],[Sidst redigeret]]&gt;TODAY()-40)*([1]!Tabel1[[#This Row],[Status]]="Pågår")</f>
        <v>700000</v>
      </c>
      <c r="AH750" s="13"/>
      <c r="AI750" s="12"/>
      <c r="AJ750" s="12"/>
      <c r="AK750" s="12"/>
      <c r="AL750" s="12"/>
      <c r="AM750" s="12"/>
      <c r="AN750" s="12"/>
      <c r="AO750" s="12"/>
      <c r="AP750" s="12"/>
    </row>
    <row r="751" spans="1:42">
      <c r="A751" t="s">
        <v>2723</v>
      </c>
      <c r="B751" s="8"/>
      <c r="C751" s="8" t="s">
        <v>2724</v>
      </c>
      <c r="D751" s="8" t="s">
        <v>57</v>
      </c>
      <c r="E751" s="8" t="s">
        <v>94</v>
      </c>
      <c r="F751" s="8" t="s">
        <v>2354</v>
      </c>
      <c r="G751" s="8" t="s">
        <v>2725</v>
      </c>
      <c r="H751" s="9">
        <v>3000000</v>
      </c>
      <c r="I751" s="9">
        <f>[1]!Tabel1[[#This Row],[Honorar]]*[1]!Tabel1[[#This Row],[Sandsynlighed]]</f>
        <v>50000</v>
      </c>
      <c r="J751" s="10" t="s">
        <v>452</v>
      </c>
      <c r="K751" s="10" t="s">
        <v>341</v>
      </c>
      <c r="L751" s="17"/>
      <c r="M751" s="11">
        <v>0.05</v>
      </c>
      <c r="N751" s="1">
        <v>5300</v>
      </c>
      <c r="O751" s="10">
        <v>46279.611921296295</v>
      </c>
      <c r="P751" s="1" t="s">
        <v>72</v>
      </c>
      <c r="Q751" s="1" t="s">
        <v>72</v>
      </c>
      <c r="R751" s="8" t="s">
        <v>49</v>
      </c>
      <c r="S75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5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5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5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5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5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5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5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5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5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5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5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5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51" s="12">
        <f ca="1">[1]!Tabel1[[#This Row],[Vægtet Honorar]]*([1]!Tabel1[[#This Row],[Sidst redigeret]]&gt;TODAY()-40)*([1]!Tabel1[[#This Row],[Er i resplan?]]&lt;&gt;"Ja")*([1]!Tabel1[[#This Row],[Status]]="Pågår")</f>
        <v>50000</v>
      </c>
      <c r="AG751" s="12">
        <f ca="1">[1]!Tabel1[[#This Row],[Vægtet Honorar]]*([1]!Tabel1[[#This Row],[Sidst redigeret]]&gt;TODAY()-40)*([1]!Tabel1[[#This Row],[Status]]="Pågår")</f>
        <v>50000</v>
      </c>
      <c r="AH751" s="13"/>
      <c r="AI751" s="12"/>
      <c r="AJ751" s="12" t="s">
        <v>2005</v>
      </c>
      <c r="AK751" s="12"/>
      <c r="AL751" s="12"/>
      <c r="AM751" s="12"/>
      <c r="AN751" s="12"/>
      <c r="AO751" s="12"/>
      <c r="AP751" s="12"/>
    </row>
    <row r="752" spans="1:42">
      <c r="A752" t="s">
        <v>2726</v>
      </c>
      <c r="B752" s="8"/>
      <c r="C752" s="8" t="s">
        <v>2727</v>
      </c>
      <c r="D752" s="8" t="s">
        <v>57</v>
      </c>
      <c r="E752" s="8" t="s">
        <v>167</v>
      </c>
      <c r="F752" s="8" t="s">
        <v>2728</v>
      </c>
      <c r="G752" s="8" t="s">
        <v>2728</v>
      </c>
      <c r="H752" s="9">
        <v>10000000</v>
      </c>
      <c r="I752" s="9">
        <f>[1]!Tabel1[[#This Row],[Honorar]]*[1]!Tabel1[[#This Row],[Sandsynlighed]]</f>
        <v>325000</v>
      </c>
      <c r="J752" s="10" t="s">
        <v>452</v>
      </c>
      <c r="K752" s="10" t="s">
        <v>1430</v>
      </c>
      <c r="L752" s="17"/>
      <c r="M752" s="11">
        <v>0.05</v>
      </c>
      <c r="N752" s="1">
        <v>300000</v>
      </c>
      <c r="O752" s="10">
        <v>46279.611921296295</v>
      </c>
      <c r="P752" s="10"/>
      <c r="Q752" s="1" t="s">
        <v>72</v>
      </c>
      <c r="R752" s="8" t="s">
        <v>49</v>
      </c>
      <c r="S75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5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5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5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5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5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5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5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5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5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5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5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5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52" s="12">
        <f ca="1">[1]!Tabel1[[#This Row],[Vægtet Honorar]]*([1]!Tabel1[[#This Row],[Sidst redigeret]]&gt;TODAY()-40)*([1]!Tabel1[[#This Row],[Er i resplan?]]&lt;&gt;"Ja")*([1]!Tabel1[[#This Row],[Status]]="Pågår")</f>
        <v>0</v>
      </c>
      <c r="AG752" s="12">
        <f ca="1">[1]!Tabel1[[#This Row],[Vægtet Honorar]]*([1]!Tabel1[[#This Row],[Sidst redigeret]]&gt;TODAY()-40)*([1]!Tabel1[[#This Row],[Status]]="Pågår")</f>
        <v>0</v>
      </c>
      <c r="AH752" s="13"/>
      <c r="AI752" s="12"/>
      <c r="AJ752" s="12" t="s">
        <v>2729</v>
      </c>
      <c r="AK752" s="12"/>
      <c r="AL752" s="12"/>
      <c r="AM752" s="12"/>
      <c r="AN752" s="12"/>
      <c r="AO752" s="12"/>
      <c r="AP752" s="12"/>
    </row>
    <row r="753" spans="1:42">
      <c r="A753" t="s">
        <v>2730</v>
      </c>
      <c r="B753" s="8"/>
      <c r="C753" s="8" t="s">
        <v>2731</v>
      </c>
      <c r="D753" s="8" t="s">
        <v>2732</v>
      </c>
      <c r="E753" s="8" t="s">
        <v>167</v>
      </c>
      <c r="F753" s="8" t="s">
        <v>2733</v>
      </c>
      <c r="G753" s="8" t="s">
        <v>2734</v>
      </c>
      <c r="H753" s="9">
        <v>10800000</v>
      </c>
      <c r="I753" s="9">
        <f>[1]!Tabel1[[#This Row],[Honorar]]*[1]!Tabel1[[#This Row],[Sandsynlighed]]</f>
        <v>2500</v>
      </c>
      <c r="J753" s="10" t="s">
        <v>452</v>
      </c>
      <c r="K753" s="10" t="s">
        <v>1430</v>
      </c>
      <c r="L753" s="17" t="s">
        <v>2733</v>
      </c>
      <c r="M753" s="11">
        <v>0.2</v>
      </c>
      <c r="N753" s="1">
        <v>16000</v>
      </c>
      <c r="O753" s="10">
        <v>46279.611921296295</v>
      </c>
      <c r="P753" s="10"/>
      <c r="Q753" s="1" t="s">
        <v>72</v>
      </c>
      <c r="R753" s="8" t="s">
        <v>75</v>
      </c>
      <c r="S75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5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5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5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5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5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5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5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5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5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5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5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5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53" s="12">
        <f ca="1">[1]!Tabel1[[#This Row],[Vægtet Honorar]]*([1]!Tabel1[[#This Row],[Sidst redigeret]]&gt;TODAY()-40)*([1]!Tabel1[[#This Row],[Er i resplan?]]&lt;&gt;"Ja")*([1]!Tabel1[[#This Row],[Status]]="Pågår")</f>
        <v>0</v>
      </c>
      <c r="AG753" s="12">
        <f ca="1">[1]!Tabel1[[#This Row],[Vægtet Honorar]]*([1]!Tabel1[[#This Row],[Sidst redigeret]]&gt;TODAY()-40)*([1]!Tabel1[[#This Row],[Status]]="Pågår")</f>
        <v>0</v>
      </c>
      <c r="AH753" s="13"/>
      <c r="AI753" s="12"/>
      <c r="AJ753" s="12" t="s">
        <v>1737</v>
      </c>
      <c r="AK753" s="12" t="s">
        <v>2734</v>
      </c>
      <c r="AL753" s="12"/>
      <c r="AM753" s="12"/>
      <c r="AN753" s="12"/>
      <c r="AO753" s="12"/>
      <c r="AP753" s="12"/>
    </row>
    <row r="754" spans="1:42">
      <c r="A754" t="s">
        <v>2735</v>
      </c>
      <c r="B754" s="8"/>
      <c r="C754" s="8" t="s">
        <v>2736</v>
      </c>
      <c r="D754" s="8" t="s">
        <v>158</v>
      </c>
      <c r="E754" s="8" t="s">
        <v>167</v>
      </c>
      <c r="F754" s="8" t="s">
        <v>667</v>
      </c>
      <c r="G754" s="8" t="s">
        <v>667</v>
      </c>
      <c r="H754" s="9">
        <v>80000</v>
      </c>
      <c r="I754" s="9">
        <f>[1]!Tabel1[[#This Row],[Honorar]]*[1]!Tabel1[[#This Row],[Sandsynlighed]]</f>
        <v>97500</v>
      </c>
      <c r="J754" s="10" t="s">
        <v>328</v>
      </c>
      <c r="K754" s="10" t="s">
        <v>452</v>
      </c>
      <c r="L754" s="17"/>
      <c r="M754" s="11">
        <v>0</v>
      </c>
      <c r="N754" s="1">
        <v>0</v>
      </c>
      <c r="O754" s="10">
        <v>46279.611921296295</v>
      </c>
      <c r="P754" s="10"/>
      <c r="Q754" s="1" t="s">
        <v>46</v>
      </c>
      <c r="R754" s="8" t="s">
        <v>49</v>
      </c>
      <c r="S75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5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5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5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5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5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5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5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5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5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5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5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5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54" s="12">
        <f ca="1">[1]!Tabel1[[#This Row],[Vægtet Honorar]]*([1]!Tabel1[[#This Row],[Sidst redigeret]]&gt;TODAY()-40)*([1]!Tabel1[[#This Row],[Er i resplan?]]&lt;&gt;"Ja")*([1]!Tabel1[[#This Row],[Status]]="Pågår")</f>
        <v>0</v>
      </c>
      <c r="AG754" s="12">
        <f ca="1">[1]!Tabel1[[#This Row],[Vægtet Honorar]]*([1]!Tabel1[[#This Row],[Sidst redigeret]]&gt;TODAY()-40)*([1]!Tabel1[[#This Row],[Status]]="Pågår")</f>
        <v>0</v>
      </c>
      <c r="AH754" s="13"/>
      <c r="AI754" s="12"/>
      <c r="AJ754" s="12"/>
      <c r="AK754" s="12"/>
      <c r="AL754" s="12"/>
      <c r="AM754" s="12"/>
      <c r="AN754" s="12"/>
      <c r="AO754" s="12"/>
      <c r="AP754" s="12"/>
    </row>
    <row r="755" spans="1:42" ht="75">
      <c r="A755" t="s">
        <v>2737</v>
      </c>
      <c r="B755" s="8"/>
      <c r="C755" s="8" t="s">
        <v>2738</v>
      </c>
      <c r="D755" s="8" t="s">
        <v>1771</v>
      </c>
      <c r="E755" s="8" t="s">
        <v>94</v>
      </c>
      <c r="F755" s="8" t="s">
        <v>2739</v>
      </c>
      <c r="G755" s="8" t="s">
        <v>2739</v>
      </c>
      <c r="H755" s="9">
        <v>5376000</v>
      </c>
      <c r="I755" s="9">
        <f>[1]!Tabel1[[#This Row],[Honorar]]*[1]!Tabel1[[#This Row],[Sandsynlighed]]</f>
        <v>0</v>
      </c>
      <c r="J755" s="10" t="s">
        <v>612</v>
      </c>
      <c r="K755" s="10" t="s">
        <v>2405</v>
      </c>
      <c r="L755" s="17" t="s">
        <v>2740</v>
      </c>
      <c r="M755" s="11">
        <v>0</v>
      </c>
      <c r="N755" s="1">
        <v>8000</v>
      </c>
      <c r="O755" s="10">
        <v>46279.611921296295</v>
      </c>
      <c r="P755" s="1" t="s">
        <v>72</v>
      </c>
      <c r="Q755" s="1" t="s">
        <v>72</v>
      </c>
      <c r="R755" s="8" t="s">
        <v>49</v>
      </c>
      <c r="S75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5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5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5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5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5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5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5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5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5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5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5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5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55" s="12">
        <f ca="1">[1]!Tabel1[[#This Row],[Vægtet Honorar]]*([1]!Tabel1[[#This Row],[Sidst redigeret]]&gt;TODAY()-40)*([1]!Tabel1[[#This Row],[Er i resplan?]]&lt;&gt;"Ja")*([1]!Tabel1[[#This Row],[Status]]="Pågår")</f>
        <v>0</v>
      </c>
      <c r="AG755" s="12">
        <f ca="1">[1]!Tabel1[[#This Row],[Vægtet Honorar]]*([1]!Tabel1[[#This Row],[Sidst redigeret]]&gt;TODAY()-40)*([1]!Tabel1[[#This Row],[Status]]="Pågår")</f>
        <v>0</v>
      </c>
      <c r="AH755" s="13"/>
      <c r="AI755" s="12"/>
      <c r="AJ755" s="12" t="s">
        <v>1856</v>
      </c>
      <c r="AK755" s="12"/>
      <c r="AL755" s="12"/>
      <c r="AM755" s="12"/>
      <c r="AN755" s="12"/>
      <c r="AO755" s="12"/>
      <c r="AP755" s="12"/>
    </row>
    <row r="756" spans="1:42">
      <c r="A756" t="s">
        <v>2741</v>
      </c>
      <c r="B756" s="8"/>
      <c r="C756" s="8" t="s">
        <v>2742</v>
      </c>
      <c r="D756" s="8" t="s">
        <v>358</v>
      </c>
      <c r="E756" s="8" t="s">
        <v>102</v>
      </c>
      <c r="F756" s="8" t="s">
        <v>1004</v>
      </c>
      <c r="G756" s="8" t="s">
        <v>1620</v>
      </c>
      <c r="H756" s="9">
        <v>1500000</v>
      </c>
      <c r="I756" s="9">
        <f>[1]!Tabel1[[#This Row],[Honorar]]*[1]!Tabel1[[#This Row],[Sandsynlighed]]</f>
        <v>150000</v>
      </c>
      <c r="J756" s="10" t="s">
        <v>452</v>
      </c>
      <c r="K756" s="10" t="s">
        <v>342</v>
      </c>
      <c r="L756" s="17"/>
      <c r="M756" s="11">
        <v>0.1</v>
      </c>
      <c r="N756" s="1">
        <v>2000</v>
      </c>
      <c r="O756" s="10">
        <v>46279.611921296295</v>
      </c>
      <c r="P756" s="10"/>
      <c r="Q756" s="1" t="s">
        <v>72</v>
      </c>
      <c r="R756" s="8" t="s">
        <v>75</v>
      </c>
      <c r="S75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5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5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5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5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5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5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5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5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5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5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5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5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56" s="12">
        <f ca="1">[1]!Tabel1[[#This Row],[Vægtet Honorar]]*([1]!Tabel1[[#This Row],[Sidst redigeret]]&gt;TODAY()-40)*([1]!Tabel1[[#This Row],[Er i resplan?]]&lt;&gt;"Ja")*([1]!Tabel1[[#This Row],[Status]]="Pågår")</f>
        <v>0</v>
      </c>
      <c r="AG756" s="12">
        <f ca="1">[1]!Tabel1[[#This Row],[Vægtet Honorar]]*([1]!Tabel1[[#This Row],[Sidst redigeret]]&gt;TODAY()-40)*([1]!Tabel1[[#This Row],[Status]]="Pågår")</f>
        <v>0</v>
      </c>
      <c r="AH756" s="13"/>
      <c r="AI756" s="12"/>
      <c r="AJ756" s="12" t="s">
        <v>1620</v>
      </c>
      <c r="AK756" s="12"/>
      <c r="AL756" s="12"/>
      <c r="AM756" s="12"/>
      <c r="AN756" s="12"/>
      <c r="AO756" s="12"/>
      <c r="AP756" s="12"/>
    </row>
    <row r="757" spans="1:42" ht="30">
      <c r="A757" t="s">
        <v>2743</v>
      </c>
      <c r="B757" s="8"/>
      <c r="C757" s="8" t="s">
        <v>2744</v>
      </c>
      <c r="D757" s="8" t="s">
        <v>134</v>
      </c>
      <c r="E757" s="8" t="s">
        <v>94</v>
      </c>
      <c r="F757" s="8"/>
      <c r="G757" s="8" t="s">
        <v>2269</v>
      </c>
      <c r="H757" s="9">
        <v>90000</v>
      </c>
      <c r="I757" s="9">
        <f>[1]!Tabel1[[#This Row],[Honorar]]*[1]!Tabel1[[#This Row],[Sandsynlighed]]</f>
        <v>500000</v>
      </c>
      <c r="J757" s="10" t="s">
        <v>452</v>
      </c>
      <c r="K757" s="10" t="s">
        <v>452</v>
      </c>
      <c r="L757" s="17" t="s">
        <v>2745</v>
      </c>
      <c r="M757" s="11">
        <v>0.3</v>
      </c>
      <c r="N757" s="1"/>
      <c r="O757" s="10">
        <v>46279.611921296295</v>
      </c>
      <c r="P757" s="1" t="s">
        <v>72</v>
      </c>
      <c r="Q757" s="1" t="s">
        <v>46</v>
      </c>
      <c r="R757" s="8" t="s">
        <v>47</v>
      </c>
      <c r="S75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5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5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5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5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5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5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5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5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5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5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5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5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57" s="12">
        <f ca="1">[1]!Tabel1[[#This Row],[Vægtet Honorar]]*([1]!Tabel1[[#This Row],[Sidst redigeret]]&gt;TODAY()-40)*([1]!Tabel1[[#This Row],[Er i resplan?]]&lt;&gt;"Ja")*([1]!Tabel1[[#This Row],[Status]]="Pågår")</f>
        <v>0</v>
      </c>
      <c r="AG757" s="12">
        <f ca="1">[1]!Tabel1[[#This Row],[Vægtet Honorar]]*([1]!Tabel1[[#This Row],[Sidst redigeret]]&gt;TODAY()-40)*([1]!Tabel1[[#This Row],[Status]]="Pågår")</f>
        <v>0</v>
      </c>
      <c r="AH757" s="13"/>
      <c r="AI757" s="12"/>
      <c r="AJ757" s="12"/>
      <c r="AK757" s="12"/>
      <c r="AL757" s="12"/>
      <c r="AM757" s="12"/>
      <c r="AN757" s="12"/>
      <c r="AO757" s="12"/>
      <c r="AP757" s="12"/>
    </row>
    <row r="758" spans="1:42">
      <c r="A758" t="s">
        <v>2746</v>
      </c>
      <c r="B758" s="8"/>
      <c r="C758" s="8" t="s">
        <v>2747</v>
      </c>
      <c r="D758" s="8" t="s">
        <v>134</v>
      </c>
      <c r="E758" s="8" t="s">
        <v>94</v>
      </c>
      <c r="F758" s="8" t="s">
        <v>2747</v>
      </c>
      <c r="G758" s="8" t="s">
        <v>2748</v>
      </c>
      <c r="H758" s="9">
        <v>1500000</v>
      </c>
      <c r="I758" s="9">
        <f>[1]!Tabel1[[#This Row],[Honorar]]*[1]!Tabel1[[#This Row],[Sandsynlighed]]</f>
        <v>2160000</v>
      </c>
      <c r="J758" s="10" t="s">
        <v>452</v>
      </c>
      <c r="K758" s="10" t="s">
        <v>612</v>
      </c>
      <c r="L758" s="17"/>
      <c r="M758" s="11">
        <v>0.05</v>
      </c>
      <c r="N758" s="1">
        <v>2500</v>
      </c>
      <c r="O758" s="10">
        <v>46279.611921296295</v>
      </c>
      <c r="P758" s="1" t="s">
        <v>72</v>
      </c>
      <c r="Q758" s="1" t="s">
        <v>72</v>
      </c>
      <c r="R758" s="8" t="s">
        <v>49</v>
      </c>
      <c r="S75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5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5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5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5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5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5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5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5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5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5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5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5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58" s="12">
        <f ca="1">[1]!Tabel1[[#This Row],[Vægtet Honorar]]*([1]!Tabel1[[#This Row],[Sidst redigeret]]&gt;TODAY()-40)*([1]!Tabel1[[#This Row],[Er i resplan?]]&lt;&gt;"Ja")*([1]!Tabel1[[#This Row],[Status]]="Pågår")</f>
        <v>0</v>
      </c>
      <c r="AG758" s="12">
        <f ca="1">[1]!Tabel1[[#This Row],[Vægtet Honorar]]*([1]!Tabel1[[#This Row],[Sidst redigeret]]&gt;TODAY()-40)*([1]!Tabel1[[#This Row],[Status]]="Pågår")</f>
        <v>0</v>
      </c>
      <c r="AH758" s="13"/>
      <c r="AI758" s="12"/>
      <c r="AJ758" s="12"/>
      <c r="AK758" s="12"/>
      <c r="AL758" s="12"/>
      <c r="AM758" s="12"/>
      <c r="AN758" s="12"/>
      <c r="AO758" s="12"/>
      <c r="AP758" s="12"/>
    </row>
    <row r="759" spans="1:42" ht="75">
      <c r="A759" t="s">
        <v>2749</v>
      </c>
      <c r="B759" s="8"/>
      <c r="C759" s="8" t="s">
        <v>2750</v>
      </c>
      <c r="D759" s="8" t="s">
        <v>720</v>
      </c>
      <c r="E759" s="8" t="s">
        <v>71</v>
      </c>
      <c r="F759" s="8" t="s">
        <v>940</v>
      </c>
      <c r="G759" s="8" t="s">
        <v>940</v>
      </c>
      <c r="H759" s="9">
        <v>1500000</v>
      </c>
      <c r="I759" s="9">
        <f>[1]!Tabel1[[#This Row],[Honorar]]*[1]!Tabel1[[#This Row],[Sandsynlighed]]</f>
        <v>0</v>
      </c>
      <c r="J759" s="10" t="s">
        <v>612</v>
      </c>
      <c r="K759" s="10" t="s">
        <v>1310</v>
      </c>
      <c r="L759" s="17" t="s">
        <v>2751</v>
      </c>
      <c r="M759" s="11">
        <v>0.05</v>
      </c>
      <c r="N759" s="1" t="s">
        <v>2752</v>
      </c>
      <c r="O759" s="10">
        <v>46279.611921296295</v>
      </c>
      <c r="P759" s="10"/>
      <c r="Q759" s="1" t="s">
        <v>72</v>
      </c>
      <c r="R759" s="8" t="s">
        <v>75</v>
      </c>
      <c r="S75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5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5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5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5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5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5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5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5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5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5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5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5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59" s="12">
        <f ca="1">[1]!Tabel1[[#This Row],[Vægtet Honorar]]*([1]!Tabel1[[#This Row],[Sidst redigeret]]&gt;TODAY()-40)*([1]!Tabel1[[#This Row],[Er i resplan?]]&lt;&gt;"Ja")*([1]!Tabel1[[#This Row],[Status]]="Pågår")</f>
        <v>0</v>
      </c>
      <c r="AG759" s="12">
        <f ca="1">[1]!Tabel1[[#This Row],[Vægtet Honorar]]*([1]!Tabel1[[#This Row],[Sidst redigeret]]&gt;TODAY()-40)*([1]!Tabel1[[#This Row],[Status]]="Pågår")</f>
        <v>0</v>
      </c>
      <c r="AH759" s="13"/>
      <c r="AI759" s="12"/>
      <c r="AJ759" s="12" t="s">
        <v>1620</v>
      </c>
      <c r="AK759" s="12"/>
      <c r="AL759" s="12"/>
      <c r="AM759" s="12"/>
      <c r="AN759" s="12"/>
      <c r="AO759" s="12"/>
      <c r="AP759" s="12"/>
    </row>
    <row r="760" spans="1:42">
      <c r="A760" t="s">
        <v>2753</v>
      </c>
      <c r="B760" s="8"/>
      <c r="C760" s="8" t="s">
        <v>2754</v>
      </c>
      <c r="D760" s="8" t="s">
        <v>57</v>
      </c>
      <c r="E760" s="8" t="s">
        <v>167</v>
      </c>
      <c r="F760" s="8" t="s">
        <v>2755</v>
      </c>
      <c r="G760" s="8" t="s">
        <v>2755</v>
      </c>
      <c r="H760" s="9">
        <v>1755000</v>
      </c>
      <c r="I760" s="9">
        <f>[1]!Tabel1[[#This Row],[Honorar]]*[1]!Tabel1[[#This Row],[Sandsynlighed]]</f>
        <v>0</v>
      </c>
      <c r="J760" s="10" t="s">
        <v>452</v>
      </c>
      <c r="K760" s="10" t="s">
        <v>1191</v>
      </c>
      <c r="L760" s="17"/>
      <c r="M760" s="11">
        <v>1</v>
      </c>
      <c r="N760" s="1">
        <v>3755</v>
      </c>
      <c r="O760" s="10">
        <v>46279.611921296295</v>
      </c>
      <c r="P760" s="10"/>
      <c r="Q760" s="1" t="s">
        <v>46</v>
      </c>
      <c r="R760" s="8" t="s">
        <v>47</v>
      </c>
      <c r="S76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6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6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6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6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6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6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6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6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6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6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6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6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60" s="12">
        <f ca="1">[1]!Tabel1[[#This Row],[Vægtet Honorar]]*([1]!Tabel1[[#This Row],[Sidst redigeret]]&gt;TODAY()-40)*([1]!Tabel1[[#This Row],[Er i resplan?]]&lt;&gt;"Ja")*([1]!Tabel1[[#This Row],[Status]]="Pågår")</f>
        <v>0</v>
      </c>
      <c r="AG760" s="12">
        <f ca="1">[1]!Tabel1[[#This Row],[Vægtet Honorar]]*([1]!Tabel1[[#This Row],[Sidst redigeret]]&gt;TODAY()-40)*([1]!Tabel1[[#This Row],[Status]]="Pågår")</f>
        <v>0</v>
      </c>
      <c r="AH760" s="13"/>
      <c r="AI760" s="12"/>
      <c r="AJ760" s="12"/>
      <c r="AK760" s="12"/>
      <c r="AL760" s="12"/>
      <c r="AM760" s="12"/>
      <c r="AN760" s="12"/>
      <c r="AO760" s="12"/>
      <c r="AP760" s="12"/>
    </row>
    <row r="761" spans="1:42">
      <c r="A761" t="s">
        <v>2756</v>
      </c>
      <c r="B761" s="8"/>
      <c r="C761" s="8" t="s">
        <v>2757</v>
      </c>
      <c r="D761" s="8" t="s">
        <v>358</v>
      </c>
      <c r="E761" s="8" t="s">
        <v>102</v>
      </c>
      <c r="F761" s="8" t="s">
        <v>2758</v>
      </c>
      <c r="G761" s="8" t="s">
        <v>2759</v>
      </c>
      <c r="H761" s="9">
        <v>20000</v>
      </c>
      <c r="I761" s="9">
        <f>[1]!Tabel1[[#This Row],[Honorar]]*[1]!Tabel1[[#This Row],[Sandsynlighed]]</f>
        <v>150000</v>
      </c>
      <c r="J761" s="10" t="s">
        <v>452</v>
      </c>
      <c r="K761" s="10" t="s">
        <v>1191</v>
      </c>
      <c r="L761" s="17"/>
      <c r="M761" s="11">
        <v>1</v>
      </c>
      <c r="N761" s="1">
        <v>250</v>
      </c>
      <c r="O761" s="10">
        <v>46279.611921296295</v>
      </c>
      <c r="P761" s="10"/>
      <c r="Q761" s="1" t="s">
        <v>46</v>
      </c>
      <c r="R761" s="8" t="s">
        <v>47</v>
      </c>
      <c r="S76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6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6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6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6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6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6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6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6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6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6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6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6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61" s="12">
        <f ca="1">[1]!Tabel1[[#This Row],[Vægtet Honorar]]*([1]!Tabel1[[#This Row],[Sidst redigeret]]&gt;TODAY()-40)*([1]!Tabel1[[#This Row],[Er i resplan?]]&lt;&gt;"Ja")*([1]!Tabel1[[#This Row],[Status]]="Pågår")</f>
        <v>0</v>
      </c>
      <c r="AG761" s="12">
        <f ca="1">[1]!Tabel1[[#This Row],[Vægtet Honorar]]*([1]!Tabel1[[#This Row],[Sidst redigeret]]&gt;TODAY()-40)*([1]!Tabel1[[#This Row],[Status]]="Pågår")</f>
        <v>0</v>
      </c>
      <c r="AH761" s="13"/>
      <c r="AI761" s="12"/>
      <c r="AJ761" s="12"/>
      <c r="AK761" s="12"/>
      <c r="AL761" s="12"/>
      <c r="AM761" s="12"/>
      <c r="AN761" s="12"/>
      <c r="AO761" s="12"/>
      <c r="AP761" s="12"/>
    </row>
    <row r="762" spans="1:42">
      <c r="A762" t="s">
        <v>2760</v>
      </c>
      <c r="B762" s="8"/>
      <c r="C762" s="8" t="s">
        <v>2761</v>
      </c>
      <c r="D762" s="8" t="s">
        <v>720</v>
      </c>
      <c r="E762" s="8" t="s">
        <v>71</v>
      </c>
      <c r="F762" s="8" t="s">
        <v>726</v>
      </c>
      <c r="G762" s="8" t="s">
        <v>1100</v>
      </c>
      <c r="H762" s="9">
        <v>4000000</v>
      </c>
      <c r="I762" s="9">
        <f>[1]!Tabel1[[#This Row],[Honorar]]*[1]!Tabel1[[#This Row],[Sandsynlighed]]</f>
        <v>27000</v>
      </c>
      <c r="J762" s="10" t="s">
        <v>452</v>
      </c>
      <c r="K762" s="10" t="s">
        <v>1310</v>
      </c>
      <c r="L762" s="17" t="s">
        <v>601</v>
      </c>
      <c r="M762" s="11">
        <v>0.02</v>
      </c>
      <c r="N762" s="1" t="s">
        <v>2762</v>
      </c>
      <c r="O762" s="10">
        <v>46279.611921296295</v>
      </c>
      <c r="P762" s="10"/>
      <c r="Q762" s="1" t="s">
        <v>72</v>
      </c>
      <c r="R762" s="8" t="s">
        <v>343</v>
      </c>
      <c r="S76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6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6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6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6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6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6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6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6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6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6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6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6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62" s="12">
        <f ca="1">[1]!Tabel1[[#This Row],[Vægtet Honorar]]*([1]!Tabel1[[#This Row],[Sidst redigeret]]&gt;TODAY()-40)*([1]!Tabel1[[#This Row],[Er i resplan?]]&lt;&gt;"Ja")*([1]!Tabel1[[#This Row],[Status]]="Pågår")</f>
        <v>0</v>
      </c>
      <c r="AG762" s="12">
        <f ca="1">[1]!Tabel1[[#This Row],[Vægtet Honorar]]*([1]!Tabel1[[#This Row],[Sidst redigeret]]&gt;TODAY()-40)*([1]!Tabel1[[#This Row],[Status]]="Pågår")</f>
        <v>0</v>
      </c>
      <c r="AH762" s="13"/>
      <c r="AI762" s="12"/>
      <c r="AJ762" s="12" t="s">
        <v>2393</v>
      </c>
      <c r="AK762" s="12" t="s">
        <v>1100</v>
      </c>
      <c r="AL762" s="12"/>
      <c r="AM762" s="12"/>
      <c r="AN762" s="12"/>
      <c r="AO762" s="12"/>
      <c r="AP762" s="12"/>
    </row>
    <row r="763" spans="1:42" ht="60">
      <c r="A763" t="s">
        <v>2763</v>
      </c>
      <c r="B763" s="8"/>
      <c r="C763" s="8" t="s">
        <v>2764</v>
      </c>
      <c r="D763" s="8" t="s">
        <v>70</v>
      </c>
      <c r="E763" s="8" t="s">
        <v>102</v>
      </c>
      <c r="F763" s="8" t="s">
        <v>2765</v>
      </c>
      <c r="G763" s="8" t="s">
        <v>925</v>
      </c>
      <c r="H763" s="9">
        <v>188000</v>
      </c>
      <c r="I763" s="9">
        <f>[1]!Tabel1[[#This Row],[Honorar]]*[1]!Tabel1[[#This Row],[Sandsynlighed]]</f>
        <v>75000</v>
      </c>
      <c r="J763" s="10" t="s">
        <v>328</v>
      </c>
      <c r="K763" s="10" t="s">
        <v>1061</v>
      </c>
      <c r="L763" s="17" t="s">
        <v>2766</v>
      </c>
      <c r="M763" s="11">
        <v>0.6</v>
      </c>
      <c r="N763" s="1" t="s">
        <v>2767</v>
      </c>
      <c r="O763" s="10">
        <v>46279.611921296295</v>
      </c>
      <c r="P763" s="10"/>
      <c r="Q763" s="1" t="s">
        <v>72</v>
      </c>
      <c r="R763" s="8" t="s">
        <v>49</v>
      </c>
      <c r="S76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6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6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6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6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6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6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6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6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6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6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6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6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63" s="12">
        <f ca="1">[1]!Tabel1[[#This Row],[Vægtet Honorar]]*([1]!Tabel1[[#This Row],[Sidst redigeret]]&gt;TODAY()-40)*([1]!Tabel1[[#This Row],[Er i resplan?]]&lt;&gt;"Ja")*([1]!Tabel1[[#This Row],[Status]]="Pågår")</f>
        <v>0</v>
      </c>
      <c r="AG763" s="12">
        <f ca="1">[1]!Tabel1[[#This Row],[Vægtet Honorar]]*([1]!Tabel1[[#This Row],[Sidst redigeret]]&gt;TODAY()-40)*([1]!Tabel1[[#This Row],[Status]]="Pågår")</f>
        <v>0</v>
      </c>
      <c r="AH763" s="13"/>
      <c r="AI763" s="12"/>
      <c r="AJ763" s="12"/>
      <c r="AK763" s="12"/>
      <c r="AL763" s="12"/>
      <c r="AM763" s="12"/>
      <c r="AN763" s="12"/>
      <c r="AO763" s="12"/>
      <c r="AP763" s="12"/>
    </row>
    <row r="764" spans="1:42">
      <c r="A764" t="s">
        <v>2768</v>
      </c>
      <c r="B764" s="8">
        <v>242620</v>
      </c>
      <c r="C764" s="8" t="s">
        <v>2769</v>
      </c>
      <c r="D764" s="8" t="s">
        <v>990</v>
      </c>
      <c r="E764" s="8" t="s">
        <v>71</v>
      </c>
      <c r="F764" s="8" t="s">
        <v>1012</v>
      </c>
      <c r="G764" s="8" t="s">
        <v>1012</v>
      </c>
      <c r="H764" s="9">
        <v>185000</v>
      </c>
      <c r="I764" s="9">
        <f>[1]!Tabel1[[#This Row],[Honorar]]*[1]!Tabel1[[#This Row],[Sandsynlighed]]</f>
        <v>75000</v>
      </c>
      <c r="J764" s="10" t="s">
        <v>328</v>
      </c>
      <c r="K764" s="10" t="s">
        <v>612</v>
      </c>
      <c r="L764" s="17"/>
      <c r="M764" s="11">
        <v>1</v>
      </c>
      <c r="N764" s="1" t="s">
        <v>2770</v>
      </c>
      <c r="O764" s="10">
        <v>46279.611921296295</v>
      </c>
      <c r="P764" s="10"/>
      <c r="Q764" s="1" t="s">
        <v>46</v>
      </c>
      <c r="R764" s="8" t="s">
        <v>75</v>
      </c>
      <c r="S76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6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6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6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6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6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6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6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6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6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6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6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6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64" s="12">
        <f ca="1">[1]!Tabel1[[#This Row],[Vægtet Honorar]]*([1]!Tabel1[[#This Row],[Sidst redigeret]]&gt;TODAY()-40)*([1]!Tabel1[[#This Row],[Er i resplan?]]&lt;&gt;"Ja")*([1]!Tabel1[[#This Row],[Status]]="Pågår")</f>
        <v>0</v>
      </c>
      <c r="AG764" s="12">
        <f ca="1">[1]!Tabel1[[#This Row],[Vægtet Honorar]]*([1]!Tabel1[[#This Row],[Sidst redigeret]]&gt;TODAY()-40)*([1]!Tabel1[[#This Row],[Status]]="Pågår")</f>
        <v>0</v>
      </c>
      <c r="AH764" s="13"/>
      <c r="AI764" s="12"/>
      <c r="AJ764" s="12"/>
      <c r="AK764" s="12"/>
      <c r="AL764" s="12"/>
      <c r="AM764" s="12"/>
      <c r="AN764" s="12"/>
      <c r="AO764" s="12"/>
      <c r="AP764" s="12"/>
    </row>
    <row r="765" spans="1:42" ht="120">
      <c r="A765" t="s">
        <v>2771</v>
      </c>
      <c r="B765" s="8"/>
      <c r="C765" s="8" t="s">
        <v>2772</v>
      </c>
      <c r="D765" s="8" t="s">
        <v>1771</v>
      </c>
      <c r="E765" s="8" t="s">
        <v>94</v>
      </c>
      <c r="F765" s="8" t="s">
        <v>2773</v>
      </c>
      <c r="G765" s="8" t="s">
        <v>2773</v>
      </c>
      <c r="H765" s="9">
        <v>5340000</v>
      </c>
      <c r="I765" s="9">
        <f>[1]!Tabel1[[#This Row],[Honorar]]*[1]!Tabel1[[#This Row],[Sandsynlighed]]</f>
        <v>1755000</v>
      </c>
      <c r="J765" s="10" t="s">
        <v>612</v>
      </c>
      <c r="K765" s="10" t="s">
        <v>342</v>
      </c>
      <c r="L765" s="17" t="s">
        <v>2774</v>
      </c>
      <c r="M765" s="11">
        <v>0</v>
      </c>
      <c r="N765" s="1"/>
      <c r="O765" s="10">
        <v>46279.611921296295</v>
      </c>
      <c r="P765" s="1" t="s">
        <v>72</v>
      </c>
      <c r="Q765" s="1" t="s">
        <v>72</v>
      </c>
      <c r="R765" s="8" t="s">
        <v>49</v>
      </c>
      <c r="S76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6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6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6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6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6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6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6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6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6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6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6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6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65" s="12">
        <f ca="1">[1]!Tabel1[[#This Row],[Vægtet Honorar]]*([1]!Tabel1[[#This Row],[Sidst redigeret]]&gt;TODAY()-40)*([1]!Tabel1[[#This Row],[Er i resplan?]]&lt;&gt;"Ja")*([1]!Tabel1[[#This Row],[Status]]="Pågår")</f>
        <v>0</v>
      </c>
      <c r="AG765" s="12">
        <f ca="1">[1]!Tabel1[[#This Row],[Vægtet Honorar]]*([1]!Tabel1[[#This Row],[Sidst redigeret]]&gt;TODAY()-40)*([1]!Tabel1[[#This Row],[Status]]="Pågår")</f>
        <v>0</v>
      </c>
      <c r="AH765" s="13"/>
      <c r="AI765" s="12"/>
      <c r="AJ765" s="12" t="s">
        <v>2775</v>
      </c>
      <c r="AK765" s="12"/>
      <c r="AL765" s="12"/>
      <c r="AM765" s="12"/>
      <c r="AN765" s="12"/>
      <c r="AO765" s="12"/>
      <c r="AP765" s="12"/>
    </row>
    <row r="766" spans="1:42">
      <c r="A766" t="s">
        <v>2776</v>
      </c>
      <c r="B766" s="8"/>
      <c r="C766" s="8" t="s">
        <v>2777</v>
      </c>
      <c r="D766" s="8" t="s">
        <v>200</v>
      </c>
      <c r="E766" s="8" t="s">
        <v>120</v>
      </c>
      <c r="F766" s="8" t="s">
        <v>2778</v>
      </c>
      <c r="G766" s="8" t="s">
        <v>2778</v>
      </c>
      <c r="H766" s="9">
        <v>1000000</v>
      </c>
      <c r="I766" s="9">
        <f>[1]!Tabel1[[#This Row],[Honorar]]*[1]!Tabel1[[#This Row],[Sandsynlighed]]</f>
        <v>20000</v>
      </c>
      <c r="J766" s="10" t="s">
        <v>612</v>
      </c>
      <c r="K766" s="10" t="s">
        <v>898</v>
      </c>
      <c r="L766" s="17"/>
      <c r="M766" s="11">
        <v>0.01</v>
      </c>
      <c r="N766" s="1"/>
      <c r="O766" s="10">
        <v>46279.611921296295</v>
      </c>
      <c r="P766" s="10"/>
      <c r="Q766" s="1" t="s">
        <v>72</v>
      </c>
      <c r="R766" s="8" t="s">
        <v>343</v>
      </c>
      <c r="S76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6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6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6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6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6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6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6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6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6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6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6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6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66" s="12">
        <f ca="1">[1]!Tabel1[[#This Row],[Vægtet Honorar]]*([1]!Tabel1[[#This Row],[Sidst redigeret]]&gt;TODAY()-40)*([1]!Tabel1[[#This Row],[Er i resplan?]]&lt;&gt;"Ja")*([1]!Tabel1[[#This Row],[Status]]="Pågår")</f>
        <v>0</v>
      </c>
      <c r="AG766" s="12">
        <f ca="1">[1]!Tabel1[[#This Row],[Vægtet Honorar]]*([1]!Tabel1[[#This Row],[Sidst redigeret]]&gt;TODAY()-40)*([1]!Tabel1[[#This Row],[Status]]="Pågår")</f>
        <v>0</v>
      </c>
      <c r="AH766" s="13"/>
      <c r="AI766" s="12"/>
      <c r="AJ766" s="12"/>
      <c r="AK766" s="12"/>
      <c r="AL766" s="12"/>
      <c r="AM766" s="12"/>
      <c r="AN766" s="12"/>
      <c r="AO766" s="12"/>
      <c r="AP766" s="12"/>
    </row>
    <row r="767" spans="1:42" ht="90">
      <c r="A767" t="s">
        <v>2779</v>
      </c>
      <c r="B767" s="8"/>
      <c r="C767" s="8" t="s">
        <v>2780</v>
      </c>
      <c r="D767" s="8" t="s">
        <v>93</v>
      </c>
      <c r="E767" s="8" t="s">
        <v>94</v>
      </c>
      <c r="F767" s="8" t="s">
        <v>844</v>
      </c>
      <c r="G767" s="8" t="s">
        <v>844</v>
      </c>
      <c r="H767" s="9">
        <v>250000</v>
      </c>
      <c r="I767" s="9">
        <f>[1]!Tabel1[[#This Row],[Honorar]]*[1]!Tabel1[[#This Row],[Sandsynlighed]]</f>
        <v>80000</v>
      </c>
      <c r="J767" s="10" t="s">
        <v>1088</v>
      </c>
      <c r="K767" s="10" t="s">
        <v>342</v>
      </c>
      <c r="L767" s="17" t="s">
        <v>2781</v>
      </c>
      <c r="M767" s="11">
        <v>0.25</v>
      </c>
      <c r="N767" s="1" t="s">
        <v>2782</v>
      </c>
      <c r="O767" s="10">
        <v>46279.611921296295</v>
      </c>
      <c r="P767" s="1" t="s">
        <v>72</v>
      </c>
      <c r="Q767" s="1" t="s">
        <v>72</v>
      </c>
      <c r="R767" s="8" t="s">
        <v>49</v>
      </c>
      <c r="S76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6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6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6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6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6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6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6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6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6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6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6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6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67" s="12">
        <f ca="1">[1]!Tabel1[[#This Row],[Vægtet Honorar]]*([1]!Tabel1[[#This Row],[Sidst redigeret]]&gt;TODAY()-40)*([1]!Tabel1[[#This Row],[Er i resplan?]]&lt;&gt;"Ja")*([1]!Tabel1[[#This Row],[Status]]="Pågår")</f>
        <v>80000</v>
      </c>
      <c r="AG767" s="12">
        <f ca="1">[1]!Tabel1[[#This Row],[Vægtet Honorar]]*([1]!Tabel1[[#This Row],[Sidst redigeret]]&gt;TODAY()-40)*([1]!Tabel1[[#This Row],[Status]]="Pågår")</f>
        <v>80000</v>
      </c>
      <c r="AH767" s="13"/>
      <c r="AI767" s="12"/>
      <c r="AJ767" s="12"/>
      <c r="AK767" s="12"/>
      <c r="AL767" s="12"/>
      <c r="AM767" s="12"/>
      <c r="AN767" s="12"/>
      <c r="AO767" s="12"/>
      <c r="AP767" s="12"/>
    </row>
    <row r="768" spans="1:42" ht="75">
      <c r="A768" t="s">
        <v>2783</v>
      </c>
      <c r="B768" s="8"/>
      <c r="C768" s="8" t="s">
        <v>2784</v>
      </c>
      <c r="D768" s="8" t="s">
        <v>93</v>
      </c>
      <c r="E768" s="8" t="s">
        <v>94</v>
      </c>
      <c r="F768" s="8" t="s">
        <v>844</v>
      </c>
      <c r="G768" s="8" t="s">
        <v>844</v>
      </c>
      <c r="H768" s="9">
        <v>250000</v>
      </c>
      <c r="I768" s="9">
        <f>[1]!Tabel1[[#This Row],[Honorar]]*[1]!Tabel1[[#This Row],[Sandsynlighed]]</f>
        <v>112800</v>
      </c>
      <c r="J768" s="10" t="s">
        <v>452</v>
      </c>
      <c r="K768" s="10" t="s">
        <v>1287</v>
      </c>
      <c r="L768" s="17" t="s">
        <v>2785</v>
      </c>
      <c r="M768" s="11">
        <v>0.25</v>
      </c>
      <c r="N768" s="1" t="s">
        <v>2786</v>
      </c>
      <c r="O768" s="10">
        <v>46279.611921296295</v>
      </c>
      <c r="P768" s="1" t="s">
        <v>72</v>
      </c>
      <c r="Q768" s="1" t="s">
        <v>72</v>
      </c>
      <c r="R768" s="8" t="s">
        <v>47</v>
      </c>
      <c r="S76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6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6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6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6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6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6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6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6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6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6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6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6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68" s="12">
        <f ca="1">[1]!Tabel1[[#This Row],[Vægtet Honorar]]*([1]!Tabel1[[#This Row],[Sidst redigeret]]&gt;TODAY()-40)*([1]!Tabel1[[#This Row],[Er i resplan?]]&lt;&gt;"Ja")*([1]!Tabel1[[#This Row],[Status]]="Pågår")</f>
        <v>0</v>
      </c>
      <c r="AG768" s="12">
        <f ca="1">[1]!Tabel1[[#This Row],[Vægtet Honorar]]*([1]!Tabel1[[#This Row],[Sidst redigeret]]&gt;TODAY()-40)*([1]!Tabel1[[#This Row],[Status]]="Pågår")</f>
        <v>0</v>
      </c>
      <c r="AH768" s="13"/>
      <c r="AI768" s="12"/>
      <c r="AJ768" s="12"/>
      <c r="AK768" s="12"/>
      <c r="AL768" s="12"/>
      <c r="AM768" s="12"/>
      <c r="AN768" s="12"/>
      <c r="AO768" s="12"/>
      <c r="AP768" s="12"/>
    </row>
    <row r="769" spans="1:42" ht="75">
      <c r="A769" t="s">
        <v>2787</v>
      </c>
      <c r="B769" s="8"/>
      <c r="C769" s="8" t="s">
        <v>2788</v>
      </c>
      <c r="D769" s="8" t="s">
        <v>93</v>
      </c>
      <c r="E769" s="8" t="s">
        <v>94</v>
      </c>
      <c r="F769" s="8" t="s">
        <v>2789</v>
      </c>
      <c r="G769" s="8" t="s">
        <v>1737</v>
      </c>
      <c r="H769" s="9">
        <v>3000000</v>
      </c>
      <c r="I769" s="9">
        <f>[1]!Tabel1[[#This Row],[Honorar]]*[1]!Tabel1[[#This Row],[Sandsynlighed]]</f>
        <v>185000</v>
      </c>
      <c r="J769" s="10" t="s">
        <v>612</v>
      </c>
      <c r="K769" s="10" t="s">
        <v>1191</v>
      </c>
      <c r="L769" s="17" t="s">
        <v>2790</v>
      </c>
      <c r="M769" s="11">
        <v>0.2</v>
      </c>
      <c r="N769" s="1" t="s">
        <v>2791</v>
      </c>
      <c r="O769" s="10">
        <v>46279.611921296295</v>
      </c>
      <c r="P769" s="1" t="s">
        <v>72</v>
      </c>
      <c r="Q769" s="1" t="s">
        <v>46</v>
      </c>
      <c r="R769" s="8" t="s">
        <v>47</v>
      </c>
      <c r="S76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6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6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6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6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6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6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6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6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6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6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6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6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69" s="12">
        <f ca="1">[1]!Tabel1[[#This Row],[Vægtet Honorar]]*([1]!Tabel1[[#This Row],[Sidst redigeret]]&gt;TODAY()-40)*([1]!Tabel1[[#This Row],[Er i resplan?]]&lt;&gt;"Ja")*([1]!Tabel1[[#This Row],[Status]]="Pågår")</f>
        <v>0</v>
      </c>
      <c r="AG769" s="12">
        <f ca="1">[1]!Tabel1[[#This Row],[Vægtet Honorar]]*([1]!Tabel1[[#This Row],[Sidst redigeret]]&gt;TODAY()-40)*([1]!Tabel1[[#This Row],[Status]]="Pågår")</f>
        <v>0</v>
      </c>
      <c r="AH769" s="13"/>
      <c r="AI769" s="12"/>
      <c r="AJ769" s="12"/>
      <c r="AK769" s="12"/>
      <c r="AL769" s="12"/>
      <c r="AM769" s="12"/>
      <c r="AN769" s="12"/>
      <c r="AO769" s="12"/>
      <c r="AP769" s="12"/>
    </row>
    <row r="770" spans="1:42" ht="105">
      <c r="A770" t="s">
        <v>2792</v>
      </c>
      <c r="B770" s="8"/>
      <c r="C770" s="8" t="s">
        <v>2793</v>
      </c>
      <c r="D770" s="8" t="s">
        <v>57</v>
      </c>
      <c r="E770" s="8" t="s">
        <v>94</v>
      </c>
      <c r="F770" s="8"/>
      <c r="G770" s="8"/>
      <c r="H770" s="9">
        <v>500000</v>
      </c>
      <c r="I770" s="9">
        <f>[1]!Tabel1[[#This Row],[Honorar]]*[1]!Tabel1[[#This Row],[Sandsynlighed]]</f>
        <v>0</v>
      </c>
      <c r="J770" s="10" t="s">
        <v>612</v>
      </c>
      <c r="K770" s="10" t="s">
        <v>1191</v>
      </c>
      <c r="L770" s="17" t="s">
        <v>2794</v>
      </c>
      <c r="M770" s="11">
        <v>0.02</v>
      </c>
      <c r="N770" s="1">
        <v>2400</v>
      </c>
      <c r="O770" s="10">
        <v>46279.611921296295</v>
      </c>
      <c r="P770" s="1" t="s">
        <v>72</v>
      </c>
      <c r="Q770" s="1" t="s">
        <v>72</v>
      </c>
      <c r="R770" s="8" t="s">
        <v>75</v>
      </c>
      <c r="S77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7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7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7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7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7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7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7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7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7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7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7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7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70" s="12">
        <f ca="1">[1]!Tabel1[[#This Row],[Vægtet Honorar]]*([1]!Tabel1[[#This Row],[Sidst redigeret]]&gt;TODAY()-40)*([1]!Tabel1[[#This Row],[Er i resplan?]]&lt;&gt;"Ja")*([1]!Tabel1[[#This Row],[Status]]="Pågår")</f>
        <v>0</v>
      </c>
      <c r="AG770" s="12">
        <f ca="1">[1]!Tabel1[[#This Row],[Vægtet Honorar]]*([1]!Tabel1[[#This Row],[Sidst redigeret]]&gt;TODAY()-40)*([1]!Tabel1[[#This Row],[Status]]="Pågår")</f>
        <v>0</v>
      </c>
      <c r="AH770" s="13"/>
      <c r="AI770" s="12"/>
      <c r="AJ770" s="12" t="s">
        <v>2005</v>
      </c>
      <c r="AK770" s="12"/>
      <c r="AL770" s="12"/>
      <c r="AM770" s="12"/>
      <c r="AN770" s="12"/>
      <c r="AO770" s="12"/>
      <c r="AP770" s="12"/>
    </row>
    <row r="771" spans="1:42">
      <c r="A771" t="s">
        <v>2795</v>
      </c>
      <c r="B771" s="8"/>
      <c r="C771" s="8" t="s">
        <v>2796</v>
      </c>
      <c r="D771" s="8" t="s">
        <v>859</v>
      </c>
      <c r="E771" s="8" t="s">
        <v>71</v>
      </c>
      <c r="F771" s="8" t="s">
        <v>2450</v>
      </c>
      <c r="G771" s="8" t="s">
        <v>2450</v>
      </c>
      <c r="H771" s="9">
        <v>574000</v>
      </c>
      <c r="I771" s="9">
        <f>[1]!Tabel1[[#This Row],[Honorar]]*[1]!Tabel1[[#This Row],[Sandsynlighed]]</f>
        <v>10000</v>
      </c>
      <c r="J771" s="10" t="s">
        <v>328</v>
      </c>
      <c r="K771" s="10" t="s">
        <v>612</v>
      </c>
      <c r="L771" s="17"/>
      <c r="M771" s="11">
        <v>0.25</v>
      </c>
      <c r="N771" s="1"/>
      <c r="O771" s="10">
        <v>46279.611921296295</v>
      </c>
      <c r="P771" s="10"/>
      <c r="Q771" s="1" t="s">
        <v>72</v>
      </c>
      <c r="R771" s="8" t="s">
        <v>47</v>
      </c>
      <c r="S77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7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7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7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7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7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7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7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7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7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7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7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7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71" s="12">
        <f ca="1">[1]!Tabel1[[#This Row],[Vægtet Honorar]]*([1]!Tabel1[[#This Row],[Sidst redigeret]]&gt;TODAY()-40)*([1]!Tabel1[[#This Row],[Er i resplan?]]&lt;&gt;"Ja")*([1]!Tabel1[[#This Row],[Status]]="Pågår")</f>
        <v>10000</v>
      </c>
      <c r="AG771" s="12">
        <f ca="1">[1]!Tabel1[[#This Row],[Vægtet Honorar]]*([1]!Tabel1[[#This Row],[Sidst redigeret]]&gt;TODAY()-40)*([1]!Tabel1[[#This Row],[Status]]="Pågår")</f>
        <v>10000</v>
      </c>
      <c r="AH771" s="13"/>
      <c r="AI771" s="12"/>
      <c r="AJ771" s="12"/>
      <c r="AK771" s="12"/>
      <c r="AL771" s="12"/>
      <c r="AM771" s="12"/>
      <c r="AN771" s="12"/>
      <c r="AO771" s="12"/>
      <c r="AP771" s="12"/>
    </row>
    <row r="772" spans="1:42">
      <c r="A772" t="s">
        <v>2797</v>
      </c>
      <c r="B772" s="8"/>
      <c r="C772" s="8" t="s">
        <v>2798</v>
      </c>
      <c r="D772" s="8" t="s">
        <v>57</v>
      </c>
      <c r="E772" s="8" t="s">
        <v>167</v>
      </c>
      <c r="F772" s="8" t="s">
        <v>2799</v>
      </c>
      <c r="G772" s="8" t="s">
        <v>2799</v>
      </c>
      <c r="H772" s="9">
        <v>2625000.0000000005</v>
      </c>
      <c r="I772" s="9">
        <f>[1]!Tabel1[[#This Row],[Honorar]]*[1]!Tabel1[[#This Row],[Sandsynlighed]]</f>
        <v>62500</v>
      </c>
      <c r="J772" s="10" t="s">
        <v>612</v>
      </c>
      <c r="K772" s="10" t="s">
        <v>1191</v>
      </c>
      <c r="L772" s="17"/>
      <c r="M772" s="11">
        <v>0.05</v>
      </c>
      <c r="N772" s="1">
        <v>2000</v>
      </c>
      <c r="O772" s="10">
        <v>46279.611921296295</v>
      </c>
      <c r="P772" s="10"/>
      <c r="Q772" s="1" t="s">
        <v>72</v>
      </c>
      <c r="R772" s="8" t="s">
        <v>75</v>
      </c>
      <c r="S77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7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7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7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7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7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7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7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7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7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7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7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7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72" s="12">
        <f ca="1">[1]!Tabel1[[#This Row],[Vægtet Honorar]]*([1]!Tabel1[[#This Row],[Sidst redigeret]]&gt;TODAY()-40)*([1]!Tabel1[[#This Row],[Er i resplan?]]&lt;&gt;"Ja")*([1]!Tabel1[[#This Row],[Status]]="Pågår")</f>
        <v>0</v>
      </c>
      <c r="AG772" s="12">
        <f ca="1">[1]!Tabel1[[#This Row],[Vægtet Honorar]]*([1]!Tabel1[[#This Row],[Sidst redigeret]]&gt;TODAY()-40)*([1]!Tabel1[[#This Row],[Status]]="Pågår")</f>
        <v>0</v>
      </c>
      <c r="AH772" s="13"/>
      <c r="AI772" s="12"/>
      <c r="AJ772" s="12" t="s">
        <v>1737</v>
      </c>
      <c r="AK772" s="12"/>
      <c r="AL772" s="12"/>
      <c r="AM772" s="12"/>
      <c r="AN772" s="12"/>
      <c r="AO772" s="12"/>
      <c r="AP772" s="12"/>
    </row>
    <row r="773" spans="1:42" ht="45">
      <c r="A773" t="s">
        <v>2800</v>
      </c>
      <c r="B773" s="8"/>
      <c r="C773" s="8" t="s">
        <v>2801</v>
      </c>
      <c r="D773" s="8" t="s">
        <v>2372</v>
      </c>
      <c r="E773" s="8" t="s">
        <v>94</v>
      </c>
      <c r="F773" s="8" t="s">
        <v>2802</v>
      </c>
      <c r="G773" s="8" t="s">
        <v>2803</v>
      </c>
      <c r="H773" s="9">
        <v>10000000</v>
      </c>
      <c r="I773" s="9">
        <f>[1]!Tabel1[[#This Row],[Honorar]]*[1]!Tabel1[[#This Row],[Sandsynlighed]]</f>
        <v>62500</v>
      </c>
      <c r="J773" s="10" t="s">
        <v>452</v>
      </c>
      <c r="K773" s="10" t="s">
        <v>585</v>
      </c>
      <c r="L773" s="17" t="s">
        <v>2804</v>
      </c>
      <c r="M773" s="11">
        <v>0.2</v>
      </c>
      <c r="N773" s="1">
        <v>12000</v>
      </c>
      <c r="O773" s="10">
        <v>46279.611921296295</v>
      </c>
      <c r="P773" s="1" t="s">
        <v>72</v>
      </c>
      <c r="Q773" s="1" t="s">
        <v>72</v>
      </c>
      <c r="R773" s="8" t="s">
        <v>47</v>
      </c>
      <c r="S77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7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7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7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7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7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7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7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7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7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7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7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7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73" s="12">
        <f ca="1">[1]!Tabel1[[#This Row],[Vægtet Honorar]]*([1]!Tabel1[[#This Row],[Sidst redigeret]]&gt;TODAY()-40)*([1]!Tabel1[[#This Row],[Er i resplan?]]&lt;&gt;"Ja")*([1]!Tabel1[[#This Row],[Status]]="Pågår")</f>
        <v>0</v>
      </c>
      <c r="AG773" s="12">
        <f ca="1">[1]!Tabel1[[#This Row],[Vægtet Honorar]]*([1]!Tabel1[[#This Row],[Sidst redigeret]]&gt;TODAY()-40)*([1]!Tabel1[[#This Row],[Status]]="Pågår")</f>
        <v>0</v>
      </c>
      <c r="AH773" s="13"/>
      <c r="AI773" s="12"/>
      <c r="AJ773" s="12"/>
      <c r="AK773" s="12"/>
      <c r="AL773" s="12"/>
      <c r="AM773" s="12"/>
      <c r="AN773" s="12"/>
      <c r="AO773" s="12"/>
      <c r="AP773" s="12"/>
    </row>
    <row r="774" spans="1:42" ht="30">
      <c r="A774" t="s">
        <v>2805</v>
      </c>
      <c r="B774" s="8"/>
      <c r="C774" s="8" t="s">
        <v>2806</v>
      </c>
      <c r="D774" s="8" t="s">
        <v>720</v>
      </c>
      <c r="E774" s="8" t="s">
        <v>71</v>
      </c>
      <c r="F774" s="8" t="s">
        <v>2807</v>
      </c>
      <c r="G774" s="8" t="s">
        <v>2807</v>
      </c>
      <c r="H774" s="9">
        <v>1500000</v>
      </c>
      <c r="I774" s="9">
        <f>[1]!Tabel1[[#This Row],[Honorar]]*[1]!Tabel1[[#This Row],[Sandsynlighed]]</f>
        <v>600000</v>
      </c>
      <c r="J774" s="10" t="s">
        <v>452</v>
      </c>
      <c r="K774" s="10" t="s">
        <v>585</v>
      </c>
      <c r="L774" s="17" t="s">
        <v>2808</v>
      </c>
      <c r="M774" s="11">
        <v>0</v>
      </c>
      <c r="N774" s="1">
        <v>1300</v>
      </c>
      <c r="O774" s="10">
        <v>46279.611921296295</v>
      </c>
      <c r="P774" s="10"/>
      <c r="Q774" s="1" t="s">
        <v>46</v>
      </c>
      <c r="R774" s="8" t="s">
        <v>75</v>
      </c>
      <c r="S77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7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7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7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7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7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7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7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7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7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7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7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7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74" s="12">
        <f ca="1">[1]!Tabel1[[#This Row],[Vægtet Honorar]]*([1]!Tabel1[[#This Row],[Sidst redigeret]]&gt;TODAY()-40)*([1]!Tabel1[[#This Row],[Er i resplan?]]&lt;&gt;"Ja")*([1]!Tabel1[[#This Row],[Status]]="Pågår")</f>
        <v>0</v>
      </c>
      <c r="AG774" s="12">
        <f ca="1">[1]!Tabel1[[#This Row],[Vægtet Honorar]]*([1]!Tabel1[[#This Row],[Sidst redigeret]]&gt;TODAY()-40)*([1]!Tabel1[[#This Row],[Status]]="Pågår")</f>
        <v>0</v>
      </c>
      <c r="AH774" s="13"/>
      <c r="AI774" s="12"/>
      <c r="AJ774" s="12"/>
      <c r="AK774" s="12"/>
      <c r="AL774" s="12"/>
      <c r="AM774" s="12"/>
      <c r="AN774" s="12"/>
      <c r="AO774" s="12"/>
      <c r="AP774" s="12"/>
    </row>
    <row r="775" spans="1:42" ht="75">
      <c r="A775" t="s">
        <v>2809</v>
      </c>
      <c r="B775" s="8"/>
      <c r="C775" s="8" t="s">
        <v>2810</v>
      </c>
      <c r="D775" s="8" t="s">
        <v>70</v>
      </c>
      <c r="E775" s="8" t="s">
        <v>102</v>
      </c>
      <c r="F775" s="8"/>
      <c r="G775" s="8" t="s">
        <v>1626</v>
      </c>
      <c r="H775" s="9">
        <v>1500000</v>
      </c>
      <c r="I775" s="9">
        <f>[1]!Tabel1[[#This Row],[Honorar]]*[1]!Tabel1[[#This Row],[Sandsynlighed]]</f>
        <v>10000</v>
      </c>
      <c r="J775" s="10" t="s">
        <v>1287</v>
      </c>
      <c r="K775" s="10" t="s">
        <v>342</v>
      </c>
      <c r="L775" s="17" t="s">
        <v>2811</v>
      </c>
      <c r="M775" s="11">
        <v>0.1</v>
      </c>
      <c r="N775" s="1"/>
      <c r="O775" s="10">
        <v>46279.611921296295</v>
      </c>
      <c r="P775" s="10"/>
      <c r="Q775" s="1" t="s">
        <v>72</v>
      </c>
      <c r="R775" s="8" t="s">
        <v>49</v>
      </c>
      <c r="S77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7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7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7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7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7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7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7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7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7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7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7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7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75" s="12">
        <f ca="1">[1]!Tabel1[[#This Row],[Vægtet Honorar]]*([1]!Tabel1[[#This Row],[Sidst redigeret]]&gt;TODAY()-40)*([1]!Tabel1[[#This Row],[Er i resplan?]]&lt;&gt;"Ja")*([1]!Tabel1[[#This Row],[Status]]="Pågår")</f>
        <v>0</v>
      </c>
      <c r="AG775" s="12">
        <f ca="1">[1]!Tabel1[[#This Row],[Vægtet Honorar]]*([1]!Tabel1[[#This Row],[Sidst redigeret]]&gt;TODAY()-40)*([1]!Tabel1[[#This Row],[Status]]="Pågår")</f>
        <v>0</v>
      </c>
      <c r="AH775" s="13"/>
      <c r="AI775" s="12"/>
      <c r="AJ775" s="12"/>
      <c r="AK775" s="12"/>
      <c r="AL775" s="12"/>
      <c r="AM775" s="12"/>
      <c r="AN775" s="12"/>
      <c r="AO775" s="12"/>
      <c r="AP775" s="12"/>
    </row>
    <row r="776" spans="1:42">
      <c r="A776" t="s">
        <v>2812</v>
      </c>
      <c r="B776" s="8"/>
      <c r="C776" s="8" t="s">
        <v>2813</v>
      </c>
      <c r="D776" s="8" t="s">
        <v>1468</v>
      </c>
      <c r="E776" s="8" t="s">
        <v>167</v>
      </c>
      <c r="F776" s="8" t="s">
        <v>2814</v>
      </c>
      <c r="G776" s="8" t="s">
        <v>2814</v>
      </c>
      <c r="H776" s="9">
        <v>1</v>
      </c>
      <c r="I776" s="9">
        <v>1</v>
      </c>
      <c r="J776" s="10" t="s">
        <v>452</v>
      </c>
      <c r="K776" s="10" t="s">
        <v>1310</v>
      </c>
      <c r="L776" s="17"/>
      <c r="M776" s="11">
        <v>0.1</v>
      </c>
      <c r="N776" s="1"/>
      <c r="O776" s="10">
        <v>46279.611921296295</v>
      </c>
      <c r="P776" s="10"/>
      <c r="Q776" s="1" t="s">
        <v>72</v>
      </c>
      <c r="R776" s="8" t="s">
        <v>47</v>
      </c>
      <c r="S77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7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7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7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7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7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7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7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7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7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7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7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7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76" s="12">
        <f ca="1">[1]!Tabel1[[#This Row],[Vægtet Honorar]]*([1]!Tabel1[[#This Row],[Sidst redigeret]]&gt;TODAY()-40)*([1]!Tabel1[[#This Row],[Er i resplan?]]&lt;&gt;"Ja")*([1]!Tabel1[[#This Row],[Status]]="Pågår")</f>
        <v>0</v>
      </c>
      <c r="AG776" s="12">
        <f ca="1">[1]!Tabel1[[#This Row],[Vægtet Honorar]]*([1]!Tabel1[[#This Row],[Sidst redigeret]]&gt;TODAY()-40)*([1]!Tabel1[[#This Row],[Status]]="Pågår")</f>
        <v>0</v>
      </c>
      <c r="AH776" s="13"/>
      <c r="AI776" s="12"/>
      <c r="AJ776" s="12"/>
      <c r="AK776" s="12"/>
      <c r="AL776" s="12"/>
      <c r="AM776" s="12"/>
      <c r="AN776" s="12"/>
      <c r="AO776" s="12"/>
      <c r="AP776" s="12"/>
    </row>
    <row r="777" spans="1:42">
      <c r="A777" t="s">
        <v>2815</v>
      </c>
      <c r="B777" s="8"/>
      <c r="C777" s="8" t="s">
        <v>2816</v>
      </c>
      <c r="D777" s="8" t="s">
        <v>2633</v>
      </c>
      <c r="E777" s="8" t="s">
        <v>71</v>
      </c>
      <c r="F777" s="8" t="s">
        <v>2814</v>
      </c>
      <c r="G777" s="8" t="s">
        <v>1012</v>
      </c>
      <c r="H777" s="9">
        <v>100000</v>
      </c>
      <c r="I777" s="9">
        <f>[1]!Tabel1[[#This Row],[Honorar]]*[1]!Tabel1[[#This Row],[Sandsynlighed]]</f>
        <v>131250.00000000003</v>
      </c>
      <c r="J777" s="10" t="s">
        <v>328</v>
      </c>
      <c r="K777" s="10" t="s">
        <v>612</v>
      </c>
      <c r="L777" s="17"/>
      <c r="M777" s="11">
        <v>1</v>
      </c>
      <c r="N777" s="1">
        <v>25</v>
      </c>
      <c r="O777" s="10">
        <v>46279.611921296295</v>
      </c>
      <c r="P777" s="10"/>
      <c r="Q777" s="1" t="s">
        <v>46</v>
      </c>
      <c r="R777" s="8" t="s">
        <v>47</v>
      </c>
      <c r="S77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7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7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7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7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7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7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7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7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7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7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7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7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77" s="12">
        <f ca="1">[1]!Tabel1[[#This Row],[Vægtet Honorar]]*([1]!Tabel1[[#This Row],[Sidst redigeret]]&gt;TODAY()-40)*([1]!Tabel1[[#This Row],[Er i resplan?]]&lt;&gt;"Ja")*([1]!Tabel1[[#This Row],[Status]]="Pågår")</f>
        <v>0</v>
      </c>
      <c r="AG777" s="12">
        <f ca="1">[1]!Tabel1[[#This Row],[Vægtet Honorar]]*([1]!Tabel1[[#This Row],[Sidst redigeret]]&gt;TODAY()-40)*([1]!Tabel1[[#This Row],[Status]]="Pågår")</f>
        <v>0</v>
      </c>
      <c r="AH777" s="13"/>
      <c r="AI777" s="12"/>
      <c r="AJ777" s="12"/>
      <c r="AK777" s="12"/>
      <c r="AL777" s="12"/>
      <c r="AM777" s="12"/>
      <c r="AN777" s="12"/>
      <c r="AO777" s="12"/>
      <c r="AP777" s="12"/>
    </row>
    <row r="778" spans="1:42" ht="60">
      <c r="A778" t="s">
        <v>2817</v>
      </c>
      <c r="B778" s="8"/>
      <c r="C778" s="8" t="s">
        <v>2818</v>
      </c>
      <c r="D778" s="8" t="s">
        <v>720</v>
      </c>
      <c r="E778" s="8" t="s">
        <v>71</v>
      </c>
      <c r="F778" s="8" t="s">
        <v>2819</v>
      </c>
      <c r="G778" s="8" t="s">
        <v>2820</v>
      </c>
      <c r="H778" s="9">
        <v>1500000</v>
      </c>
      <c r="I778" s="9">
        <f>[1]!Tabel1[[#This Row],[Honorar]]*[1]!Tabel1[[#This Row],[Sandsynlighed]]</f>
        <v>2000000</v>
      </c>
      <c r="J778" s="10" t="s">
        <v>452</v>
      </c>
      <c r="K778" s="10" t="s">
        <v>612</v>
      </c>
      <c r="L778" s="17" t="s">
        <v>2821</v>
      </c>
      <c r="M778" s="11">
        <v>1</v>
      </c>
      <c r="N778" s="1">
        <v>3000</v>
      </c>
      <c r="O778" s="10">
        <v>46279.611921296295</v>
      </c>
      <c r="P778" s="10"/>
      <c r="Q778" s="1" t="s">
        <v>46</v>
      </c>
      <c r="R778" s="8" t="s">
        <v>47</v>
      </c>
      <c r="S77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7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7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7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7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7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7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7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7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7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7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7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7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78" s="12">
        <f ca="1">[1]!Tabel1[[#This Row],[Vægtet Honorar]]*([1]!Tabel1[[#This Row],[Sidst redigeret]]&gt;TODAY()-40)*([1]!Tabel1[[#This Row],[Er i resplan?]]&lt;&gt;"Ja")*([1]!Tabel1[[#This Row],[Status]]="Pågår")</f>
        <v>0</v>
      </c>
      <c r="AG778" s="12">
        <f ca="1">[1]!Tabel1[[#This Row],[Vægtet Honorar]]*([1]!Tabel1[[#This Row],[Sidst redigeret]]&gt;TODAY()-40)*([1]!Tabel1[[#This Row],[Status]]="Pågår")</f>
        <v>0</v>
      </c>
      <c r="AH778" s="13"/>
      <c r="AI778" s="12"/>
      <c r="AJ778" s="12"/>
      <c r="AK778" s="12"/>
      <c r="AL778" s="12"/>
      <c r="AM778" s="12"/>
      <c r="AN778" s="12"/>
      <c r="AO778" s="12"/>
      <c r="AP778" s="12"/>
    </row>
    <row r="779" spans="1:42">
      <c r="A779" t="s">
        <v>2822</v>
      </c>
      <c r="B779" s="8"/>
      <c r="C779" s="8" t="s">
        <v>2823</v>
      </c>
      <c r="D779" s="8" t="s">
        <v>203</v>
      </c>
      <c r="E779" s="8" t="s">
        <v>167</v>
      </c>
      <c r="F779" s="8" t="s">
        <v>2824</v>
      </c>
      <c r="G779" s="8" t="s">
        <v>2825</v>
      </c>
      <c r="H779" s="9">
        <v>1</v>
      </c>
      <c r="I779" s="9">
        <v>1</v>
      </c>
      <c r="J779" s="10" t="s">
        <v>452</v>
      </c>
      <c r="K779" s="10" t="s">
        <v>612</v>
      </c>
      <c r="L779" s="17"/>
      <c r="M779" s="11">
        <v>1</v>
      </c>
      <c r="N779" s="1">
        <v>48500</v>
      </c>
      <c r="O779" s="10">
        <v>46279.611921296295</v>
      </c>
      <c r="P779" s="10"/>
      <c r="Q779" s="1" t="s">
        <v>72</v>
      </c>
      <c r="R779" s="8" t="s">
        <v>343</v>
      </c>
      <c r="S77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7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7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7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7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7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7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7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7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7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7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7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7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79" s="12">
        <f ca="1">[1]!Tabel1[[#This Row],[Vægtet Honorar]]*([1]!Tabel1[[#This Row],[Sidst redigeret]]&gt;TODAY()-40)*([1]!Tabel1[[#This Row],[Er i resplan?]]&lt;&gt;"Ja")*([1]!Tabel1[[#This Row],[Status]]="Pågår")</f>
        <v>0</v>
      </c>
      <c r="AG779" s="12">
        <f ca="1">[1]!Tabel1[[#This Row],[Vægtet Honorar]]*([1]!Tabel1[[#This Row],[Sidst redigeret]]&gt;TODAY()-40)*([1]!Tabel1[[#This Row],[Status]]="Pågår")</f>
        <v>0</v>
      </c>
      <c r="AH779" s="13"/>
      <c r="AI779" s="12"/>
      <c r="AJ779" s="12"/>
      <c r="AK779" s="12"/>
      <c r="AL779" s="12"/>
      <c r="AM779" s="12"/>
      <c r="AN779" s="12"/>
      <c r="AO779" s="12"/>
      <c r="AP779" s="12"/>
    </row>
    <row r="780" spans="1:42">
      <c r="A780" t="s">
        <v>2826</v>
      </c>
      <c r="B780" s="8"/>
      <c r="C780" s="8" t="s">
        <v>2827</v>
      </c>
      <c r="D780" s="8" t="s">
        <v>70</v>
      </c>
      <c r="E780" s="8" t="s">
        <v>102</v>
      </c>
      <c r="F780" s="8" t="s">
        <v>2828</v>
      </c>
      <c r="G780" s="8" t="s">
        <v>2828</v>
      </c>
      <c r="H780" s="9">
        <v>4000000</v>
      </c>
      <c r="I780" s="9">
        <f>[1]!Tabel1[[#This Row],[Honorar]]*[1]!Tabel1[[#This Row],[Sandsynlighed]]</f>
        <v>150000</v>
      </c>
      <c r="J780" s="10" t="s">
        <v>612</v>
      </c>
      <c r="K780" s="10" t="s">
        <v>612</v>
      </c>
      <c r="L780" s="17"/>
      <c r="M780" s="11">
        <v>0.4</v>
      </c>
      <c r="N780" s="1"/>
      <c r="O780" s="10">
        <v>46279.611921296295</v>
      </c>
      <c r="P780" s="10"/>
      <c r="Q780" s="1" t="s">
        <v>46</v>
      </c>
      <c r="R780" s="8" t="s">
        <v>49</v>
      </c>
      <c r="S78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8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8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8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8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8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8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8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8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8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8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8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8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80" s="12">
        <f ca="1">[1]!Tabel1[[#This Row],[Vægtet Honorar]]*([1]!Tabel1[[#This Row],[Sidst redigeret]]&gt;TODAY()-40)*([1]!Tabel1[[#This Row],[Er i resplan?]]&lt;&gt;"Ja")*([1]!Tabel1[[#This Row],[Status]]="Pågår")</f>
        <v>0</v>
      </c>
      <c r="AG780" s="12">
        <f ca="1">[1]!Tabel1[[#This Row],[Vægtet Honorar]]*([1]!Tabel1[[#This Row],[Sidst redigeret]]&gt;TODAY()-40)*([1]!Tabel1[[#This Row],[Status]]="Pågår")</f>
        <v>0</v>
      </c>
      <c r="AH780" s="13"/>
      <c r="AI780" s="12"/>
      <c r="AJ780" s="12"/>
      <c r="AK780" s="12"/>
      <c r="AL780" s="12"/>
      <c r="AM780" s="12"/>
      <c r="AN780" s="12"/>
      <c r="AO780" s="12"/>
      <c r="AP780" s="12"/>
    </row>
    <row r="781" spans="1:42">
      <c r="A781" t="s">
        <v>2829</v>
      </c>
      <c r="B781" s="8"/>
      <c r="C781" s="8"/>
      <c r="D781" s="8"/>
      <c r="E781" s="8"/>
      <c r="F781" s="8"/>
      <c r="G781" s="8"/>
      <c r="H781" s="9"/>
      <c r="I781" s="9"/>
      <c r="J781" s="10"/>
      <c r="K781" s="10"/>
      <c r="L781" s="17"/>
      <c r="M781" s="11"/>
      <c r="N781" s="1"/>
      <c r="O781" s="10">
        <v>46279.611921296295</v>
      </c>
      <c r="P781" s="10"/>
      <c r="Q781" s="1"/>
      <c r="R781" s="8" t="s">
        <v>49</v>
      </c>
      <c r="S78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8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8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8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8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8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8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8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8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8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8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8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8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81" s="12">
        <f ca="1">[1]!Tabel1[[#This Row],[Vægtet Honorar]]*([1]!Tabel1[[#This Row],[Sidst redigeret]]&gt;TODAY()-40)*([1]!Tabel1[[#This Row],[Er i resplan?]]&lt;&gt;"Ja")*([1]!Tabel1[[#This Row],[Status]]="Pågår")</f>
        <v>0</v>
      </c>
      <c r="AG781" s="12">
        <f ca="1">[1]!Tabel1[[#This Row],[Vægtet Honorar]]*([1]!Tabel1[[#This Row],[Sidst redigeret]]&gt;TODAY()-40)*([1]!Tabel1[[#This Row],[Status]]="Pågår")</f>
        <v>0</v>
      </c>
      <c r="AH781" s="13"/>
      <c r="AI781" s="12"/>
      <c r="AJ781" s="12"/>
      <c r="AK781" s="12"/>
      <c r="AL781" s="12"/>
      <c r="AM781" s="12"/>
      <c r="AN781" s="12"/>
      <c r="AO781" s="12"/>
      <c r="AP781" s="12"/>
    </row>
    <row r="782" spans="1:42">
      <c r="A782" t="s">
        <v>2830</v>
      </c>
      <c r="B782" s="8"/>
      <c r="C782" s="8" t="s">
        <v>2831</v>
      </c>
      <c r="D782" s="8" t="s">
        <v>158</v>
      </c>
      <c r="E782" s="8" t="s">
        <v>167</v>
      </c>
      <c r="F782" s="8" t="s">
        <v>2832</v>
      </c>
      <c r="G782" s="8" t="s">
        <v>2832</v>
      </c>
      <c r="H782" s="9">
        <v>550000</v>
      </c>
      <c r="I782" s="9">
        <f>[1]!Tabel1[[#This Row],[Honorar]]*[1]!Tabel1[[#This Row],[Sandsynlighed]]</f>
        <v>100000</v>
      </c>
      <c r="J782" s="10" t="s">
        <v>328</v>
      </c>
      <c r="K782" s="10" t="s">
        <v>612</v>
      </c>
      <c r="L782" s="17"/>
      <c r="M782" s="11">
        <v>1</v>
      </c>
      <c r="N782" s="1"/>
      <c r="O782" s="10">
        <v>46279.611921296295</v>
      </c>
      <c r="P782" s="10"/>
      <c r="Q782" s="1" t="s">
        <v>72</v>
      </c>
      <c r="R782" s="8" t="s">
        <v>47</v>
      </c>
      <c r="S78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8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8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8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8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8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8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8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8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8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8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8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8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82" s="12">
        <f ca="1">[1]!Tabel1[[#This Row],[Vægtet Honorar]]*([1]!Tabel1[[#This Row],[Sidst redigeret]]&gt;TODAY()-40)*([1]!Tabel1[[#This Row],[Er i resplan?]]&lt;&gt;"Ja")*([1]!Tabel1[[#This Row],[Status]]="Pågår")</f>
        <v>0</v>
      </c>
      <c r="AG782" s="12">
        <f ca="1">[1]!Tabel1[[#This Row],[Vægtet Honorar]]*([1]!Tabel1[[#This Row],[Sidst redigeret]]&gt;TODAY()-40)*([1]!Tabel1[[#This Row],[Status]]="Pågår")</f>
        <v>0</v>
      </c>
      <c r="AH782" s="13"/>
      <c r="AI782" s="12"/>
      <c r="AJ782" s="12"/>
      <c r="AK782" s="12"/>
      <c r="AL782" s="12"/>
      <c r="AM782" s="12"/>
      <c r="AN782" s="12"/>
      <c r="AO782" s="12"/>
      <c r="AP782" s="12"/>
    </row>
    <row r="783" spans="1:42" ht="60">
      <c r="A783" t="s">
        <v>2830</v>
      </c>
      <c r="B783" s="8"/>
      <c r="C783" s="8" t="s">
        <v>2833</v>
      </c>
      <c r="D783" s="8" t="s">
        <v>720</v>
      </c>
      <c r="E783" s="8" t="s">
        <v>71</v>
      </c>
      <c r="F783" s="8" t="s">
        <v>2834</v>
      </c>
      <c r="G783" s="8" t="s">
        <v>2834</v>
      </c>
      <c r="H783" s="9">
        <v>1500000</v>
      </c>
      <c r="I783" s="9">
        <f>[1]!Tabel1[[#This Row],[Honorar]]*[1]!Tabel1[[#This Row],[Sandsynlighed]]</f>
        <v>1500000</v>
      </c>
      <c r="J783" s="10" t="s">
        <v>1310</v>
      </c>
      <c r="K783" s="10" t="s">
        <v>898</v>
      </c>
      <c r="L783" s="17" t="s">
        <v>2835</v>
      </c>
      <c r="M783" s="11">
        <v>0.25</v>
      </c>
      <c r="N783" s="1"/>
      <c r="O783" s="10">
        <v>46279.611921296295</v>
      </c>
      <c r="P783" s="10"/>
      <c r="Q783" s="1" t="s">
        <v>46</v>
      </c>
      <c r="R783" s="8" t="s">
        <v>343</v>
      </c>
      <c r="S78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8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8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8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8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8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8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8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8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8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8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8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8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83" s="12">
        <f ca="1">[1]!Tabel1[[#This Row],[Vægtet Honorar]]*([1]!Tabel1[[#This Row],[Sidst redigeret]]&gt;TODAY()-40)*([1]!Tabel1[[#This Row],[Er i resplan?]]&lt;&gt;"Ja")*([1]!Tabel1[[#This Row],[Status]]="Pågår")</f>
        <v>0</v>
      </c>
      <c r="AG783" s="12">
        <f ca="1">[1]!Tabel1[[#This Row],[Vægtet Honorar]]*([1]!Tabel1[[#This Row],[Sidst redigeret]]&gt;TODAY()-40)*([1]!Tabel1[[#This Row],[Status]]="Pågår")</f>
        <v>0</v>
      </c>
      <c r="AH783" s="13"/>
      <c r="AI783" s="12"/>
      <c r="AJ783" s="12"/>
      <c r="AK783" s="12"/>
      <c r="AL783" s="12"/>
      <c r="AM783" s="12"/>
      <c r="AN783" s="12"/>
      <c r="AO783" s="12"/>
      <c r="AP783" s="12"/>
    </row>
    <row r="784" spans="1:42">
      <c r="A784" t="s">
        <v>2836</v>
      </c>
      <c r="B784" s="8">
        <v>242394</v>
      </c>
      <c r="C784" s="8" t="s">
        <v>2837</v>
      </c>
      <c r="D784" s="8" t="s">
        <v>421</v>
      </c>
      <c r="E784" s="8" t="s">
        <v>120</v>
      </c>
      <c r="F784" s="8" t="s">
        <v>2838</v>
      </c>
      <c r="G784" s="8" t="s">
        <v>756</v>
      </c>
      <c r="H784" s="9">
        <v>400000</v>
      </c>
      <c r="I784" s="9">
        <f>[1]!Tabel1[[#This Row],[Honorar]]*[1]!Tabel1[[#This Row],[Sandsynlighed]]</f>
        <v>1</v>
      </c>
      <c r="J784" s="10" t="s">
        <v>329</v>
      </c>
      <c r="K784" s="10" t="s">
        <v>622</v>
      </c>
      <c r="L784" s="17"/>
      <c r="M784" s="11">
        <v>0.75</v>
      </c>
      <c r="N784" s="1"/>
      <c r="O784" s="10">
        <v>46279.611921296295</v>
      </c>
      <c r="P784" s="10"/>
      <c r="Q784" s="1" t="s">
        <v>46</v>
      </c>
      <c r="R784" s="8" t="s">
        <v>47</v>
      </c>
      <c r="S78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8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8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8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8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8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8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8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8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8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8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8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8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84" s="12">
        <f ca="1">[1]!Tabel1[[#This Row],[Vægtet Honorar]]*([1]!Tabel1[[#This Row],[Sidst redigeret]]&gt;TODAY()-40)*([1]!Tabel1[[#This Row],[Er i resplan?]]&lt;&gt;"Ja")*([1]!Tabel1[[#This Row],[Status]]="Pågår")</f>
        <v>1</v>
      </c>
      <c r="AG784" s="12">
        <f ca="1">[1]!Tabel1[[#This Row],[Vægtet Honorar]]*([1]!Tabel1[[#This Row],[Sidst redigeret]]&gt;TODAY()-40)*([1]!Tabel1[[#This Row],[Status]]="Pågår")</f>
        <v>1</v>
      </c>
      <c r="AH784" s="13"/>
      <c r="AI784" s="12"/>
      <c r="AJ784" s="12"/>
      <c r="AK784" s="12"/>
      <c r="AL784" s="12"/>
      <c r="AM784" s="12"/>
      <c r="AN784" s="12"/>
      <c r="AO784" s="12"/>
      <c r="AP784" s="12"/>
    </row>
    <row r="785" spans="1:42">
      <c r="A785" t="s">
        <v>2839</v>
      </c>
      <c r="B785" s="8"/>
      <c r="C785" s="8" t="s">
        <v>2840</v>
      </c>
      <c r="D785" s="8" t="s">
        <v>2841</v>
      </c>
      <c r="E785" s="8" t="s">
        <v>120</v>
      </c>
      <c r="F785" s="8" t="s">
        <v>1616</v>
      </c>
      <c r="G785" s="8" t="s">
        <v>756</v>
      </c>
      <c r="H785" s="9">
        <v>75000</v>
      </c>
      <c r="I785" s="9">
        <f>[1]!Tabel1[[#This Row],[Honorar]]*[1]!Tabel1[[#This Row],[Sandsynlighed]]</f>
        <v>1600000</v>
      </c>
      <c r="J785" s="10" t="s">
        <v>452</v>
      </c>
      <c r="K785" s="10" t="s">
        <v>612</v>
      </c>
      <c r="L785" s="17"/>
      <c r="M785" s="11">
        <v>0.5</v>
      </c>
      <c r="N785" s="1"/>
      <c r="O785" s="10">
        <v>46279.611921296295</v>
      </c>
      <c r="P785" s="10"/>
      <c r="Q785" s="1" t="s">
        <v>72</v>
      </c>
      <c r="R785" s="8" t="s">
        <v>75</v>
      </c>
      <c r="S78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8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8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8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8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8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8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8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8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8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8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8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8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85" s="12">
        <f ca="1">[1]!Tabel1[[#This Row],[Vægtet Honorar]]*([1]!Tabel1[[#This Row],[Sidst redigeret]]&gt;TODAY()-40)*([1]!Tabel1[[#This Row],[Er i resplan?]]&lt;&gt;"Ja")*([1]!Tabel1[[#This Row],[Status]]="Pågår")</f>
        <v>0</v>
      </c>
      <c r="AG785" s="12">
        <f ca="1">[1]!Tabel1[[#This Row],[Vægtet Honorar]]*([1]!Tabel1[[#This Row],[Sidst redigeret]]&gt;TODAY()-40)*([1]!Tabel1[[#This Row],[Status]]="Pågår")</f>
        <v>0</v>
      </c>
      <c r="AH785" s="13"/>
      <c r="AI785" s="12"/>
      <c r="AJ785" s="12"/>
      <c r="AK785" s="12"/>
      <c r="AL785" s="12"/>
      <c r="AM785" s="12"/>
      <c r="AN785" s="12"/>
      <c r="AO785" s="12"/>
      <c r="AP785" s="12"/>
    </row>
    <row r="786" spans="1:42" ht="105">
      <c r="A786" t="s">
        <v>2842</v>
      </c>
      <c r="B786" s="8"/>
      <c r="C786" s="8" t="s">
        <v>2843</v>
      </c>
      <c r="D786" s="8" t="s">
        <v>134</v>
      </c>
      <c r="E786" s="8" t="s">
        <v>94</v>
      </c>
      <c r="F786" s="8" t="s">
        <v>1683</v>
      </c>
      <c r="G786" s="8" t="s">
        <v>1683</v>
      </c>
      <c r="H786" s="9">
        <v>5000000</v>
      </c>
      <c r="I786" s="9">
        <f>[1]!Tabel1[[#This Row],[Honorar]]*[1]!Tabel1[[#This Row],[Sandsynlighed]]</f>
        <v>0</v>
      </c>
      <c r="J786" s="10" t="s">
        <v>1061</v>
      </c>
      <c r="K786" s="10" t="s">
        <v>1191</v>
      </c>
      <c r="L786" s="17" t="s">
        <v>2844</v>
      </c>
      <c r="M786" s="11">
        <v>0.1</v>
      </c>
      <c r="N786" s="1">
        <v>14000</v>
      </c>
      <c r="O786" s="10">
        <v>46279.611921296295</v>
      </c>
      <c r="P786" s="1" t="s">
        <v>72</v>
      </c>
      <c r="Q786" s="1" t="s">
        <v>72</v>
      </c>
      <c r="R786" s="8" t="s">
        <v>49</v>
      </c>
      <c r="S78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8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8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8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8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8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8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8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8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8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8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8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8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86" s="12">
        <f ca="1">[1]!Tabel1[[#This Row],[Vægtet Honorar]]*([1]!Tabel1[[#This Row],[Sidst redigeret]]&gt;TODAY()-40)*([1]!Tabel1[[#This Row],[Er i resplan?]]&lt;&gt;"Ja")*([1]!Tabel1[[#This Row],[Status]]="Pågår")</f>
        <v>0</v>
      </c>
      <c r="AG786" s="12">
        <f ca="1">[1]!Tabel1[[#This Row],[Vægtet Honorar]]*([1]!Tabel1[[#This Row],[Sidst redigeret]]&gt;TODAY()-40)*([1]!Tabel1[[#This Row],[Status]]="Pågår")</f>
        <v>0</v>
      </c>
      <c r="AH786" s="13"/>
      <c r="AI786" s="12"/>
      <c r="AJ786" s="12"/>
      <c r="AK786" s="12"/>
      <c r="AL786" s="12"/>
      <c r="AM786" s="12"/>
      <c r="AN786" s="12"/>
      <c r="AO786" s="12"/>
      <c r="AP786" s="12"/>
    </row>
    <row r="787" spans="1:42" ht="90">
      <c r="A787" t="s">
        <v>2845</v>
      </c>
      <c r="B787" s="8"/>
      <c r="C787" s="8" t="s">
        <v>2846</v>
      </c>
      <c r="D787" s="8" t="s">
        <v>134</v>
      </c>
      <c r="E787" s="8" t="s">
        <v>94</v>
      </c>
      <c r="F787" s="8" t="s">
        <v>2847</v>
      </c>
      <c r="G787" s="8" t="s">
        <v>2847</v>
      </c>
      <c r="H787" s="9">
        <v>70000</v>
      </c>
      <c r="I787" s="9">
        <f>[1]!Tabel1[[#This Row],[Honorar]]*[1]!Tabel1[[#This Row],[Sandsynlighed]]</f>
        <v>550000</v>
      </c>
      <c r="J787" s="10" t="s">
        <v>612</v>
      </c>
      <c r="K787" s="10" t="s">
        <v>612</v>
      </c>
      <c r="L787" s="17" t="s">
        <v>2848</v>
      </c>
      <c r="M787" s="11">
        <v>0.5</v>
      </c>
      <c r="N787" s="1">
        <v>250</v>
      </c>
      <c r="O787" s="10">
        <v>46279.611921296295</v>
      </c>
      <c r="P787" s="1" t="s">
        <v>72</v>
      </c>
      <c r="Q787" s="1" t="s">
        <v>46</v>
      </c>
      <c r="R787" s="8" t="s">
        <v>49</v>
      </c>
      <c r="S78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8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8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8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8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8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8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8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8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8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8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8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8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87" s="12">
        <f ca="1">[1]!Tabel1[[#This Row],[Vægtet Honorar]]*([1]!Tabel1[[#This Row],[Sidst redigeret]]&gt;TODAY()-40)*([1]!Tabel1[[#This Row],[Er i resplan?]]&lt;&gt;"Ja")*([1]!Tabel1[[#This Row],[Status]]="Pågår")</f>
        <v>0</v>
      </c>
      <c r="AG787" s="12">
        <f ca="1">[1]!Tabel1[[#This Row],[Vægtet Honorar]]*([1]!Tabel1[[#This Row],[Sidst redigeret]]&gt;TODAY()-40)*([1]!Tabel1[[#This Row],[Status]]="Pågår")</f>
        <v>0</v>
      </c>
      <c r="AH787" s="13"/>
      <c r="AI787" s="12"/>
      <c r="AJ787" s="12"/>
      <c r="AK787" s="12"/>
      <c r="AL787" s="12"/>
      <c r="AM787" s="12"/>
      <c r="AN787" s="12"/>
      <c r="AO787" s="12"/>
      <c r="AP787" s="12"/>
    </row>
    <row r="788" spans="1:42" ht="30">
      <c r="A788" t="s">
        <v>2849</v>
      </c>
      <c r="B788" s="8"/>
      <c r="C788" s="8" t="s">
        <v>2850</v>
      </c>
      <c r="D788" s="8" t="s">
        <v>70</v>
      </c>
      <c r="E788" s="8" t="s">
        <v>102</v>
      </c>
      <c r="F788" s="8" t="s">
        <v>2851</v>
      </c>
      <c r="G788" s="8" t="s">
        <v>2851</v>
      </c>
      <c r="H788" s="9">
        <v>184500</v>
      </c>
      <c r="I788" s="9">
        <f>[1]!Tabel1[[#This Row],[Honorar]]*[1]!Tabel1[[#This Row],[Sandsynlighed]]</f>
        <v>375000</v>
      </c>
      <c r="J788" s="10" t="s">
        <v>452</v>
      </c>
      <c r="K788" s="10" t="s">
        <v>1287</v>
      </c>
      <c r="L788" s="17" t="s">
        <v>1828</v>
      </c>
      <c r="M788" s="11">
        <v>1</v>
      </c>
      <c r="N788" s="1">
        <v>130</v>
      </c>
      <c r="O788" s="10">
        <v>46279.611921296295</v>
      </c>
      <c r="P788" s="10"/>
      <c r="Q788" s="1" t="s">
        <v>46</v>
      </c>
      <c r="R788" s="8" t="s">
        <v>47</v>
      </c>
      <c r="S78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8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8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8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8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8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8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8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8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8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8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8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8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88" s="12">
        <f ca="1">[1]!Tabel1[[#This Row],[Vægtet Honorar]]*([1]!Tabel1[[#This Row],[Sidst redigeret]]&gt;TODAY()-40)*([1]!Tabel1[[#This Row],[Er i resplan?]]&lt;&gt;"Ja")*([1]!Tabel1[[#This Row],[Status]]="Pågår")</f>
        <v>0</v>
      </c>
      <c r="AG788" s="12">
        <f ca="1">[1]!Tabel1[[#This Row],[Vægtet Honorar]]*([1]!Tabel1[[#This Row],[Sidst redigeret]]&gt;TODAY()-40)*([1]!Tabel1[[#This Row],[Status]]="Pågår")</f>
        <v>375000</v>
      </c>
      <c r="AH788" s="13"/>
      <c r="AI788" s="12"/>
      <c r="AJ788" s="12"/>
      <c r="AK788" s="12"/>
      <c r="AL788" s="12"/>
      <c r="AM788" s="12"/>
      <c r="AN788" s="12"/>
      <c r="AO788" s="12"/>
      <c r="AP788" s="12"/>
    </row>
    <row r="789" spans="1:42">
      <c r="A789" t="s">
        <v>2852</v>
      </c>
      <c r="B789" s="8"/>
      <c r="C789" s="8"/>
      <c r="D789" s="8"/>
      <c r="E789" s="8"/>
      <c r="F789" s="8"/>
      <c r="G789" s="8"/>
      <c r="H789" s="9"/>
      <c r="I789" s="9"/>
      <c r="J789" s="10"/>
      <c r="K789" s="10"/>
      <c r="L789" s="17"/>
      <c r="M789" s="11"/>
      <c r="N789" s="1"/>
      <c r="O789" s="10">
        <v>46279.611921296295</v>
      </c>
      <c r="P789" s="10"/>
      <c r="Q789" s="1"/>
      <c r="R789" s="8" t="s">
        <v>49</v>
      </c>
      <c r="S78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8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8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8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8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8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8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8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8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8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8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8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8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89" s="12">
        <f ca="1">[1]!Tabel1[[#This Row],[Vægtet Honorar]]*([1]!Tabel1[[#This Row],[Sidst redigeret]]&gt;TODAY()-40)*([1]!Tabel1[[#This Row],[Er i resplan?]]&lt;&gt;"Ja")*([1]!Tabel1[[#This Row],[Status]]="Pågår")</f>
        <v>0</v>
      </c>
      <c r="AG789" s="12">
        <f ca="1">[1]!Tabel1[[#This Row],[Vægtet Honorar]]*([1]!Tabel1[[#This Row],[Sidst redigeret]]&gt;TODAY()-40)*([1]!Tabel1[[#This Row],[Status]]="Pågår")</f>
        <v>0</v>
      </c>
      <c r="AH789" s="13"/>
      <c r="AI789" s="12"/>
      <c r="AJ789" s="12"/>
      <c r="AK789" s="12"/>
      <c r="AL789" s="12"/>
      <c r="AM789" s="12"/>
      <c r="AN789" s="12"/>
      <c r="AO789" s="12"/>
      <c r="AP789" s="12"/>
    </row>
    <row r="790" spans="1:42">
      <c r="A790" t="s">
        <v>2853</v>
      </c>
      <c r="B790" s="8"/>
      <c r="C790" s="8" t="s">
        <v>2854</v>
      </c>
      <c r="D790" s="8" t="s">
        <v>158</v>
      </c>
      <c r="E790" s="8" t="s">
        <v>167</v>
      </c>
      <c r="F790" s="8" t="s">
        <v>671</v>
      </c>
      <c r="G790" s="8" t="s">
        <v>671</v>
      </c>
      <c r="H790" s="9">
        <v>15000</v>
      </c>
      <c r="I790" s="9">
        <f>[1]!Tabel1[[#This Row],[Honorar]]*[1]!Tabel1[[#This Row],[Sandsynlighed]]</f>
        <v>37500</v>
      </c>
      <c r="J790" s="10" t="s">
        <v>328</v>
      </c>
      <c r="K790" s="10" t="s">
        <v>328</v>
      </c>
      <c r="L790" s="17"/>
      <c r="M790" s="11">
        <v>1</v>
      </c>
      <c r="N790" s="1"/>
      <c r="O790" s="10">
        <v>46279.611921296295</v>
      </c>
      <c r="P790" s="10"/>
      <c r="Q790" s="1" t="s">
        <v>46</v>
      </c>
      <c r="R790" s="8" t="s">
        <v>47</v>
      </c>
      <c r="S79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9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9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9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9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9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9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9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9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9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9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9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9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90" s="12">
        <f ca="1">[1]!Tabel1[[#This Row],[Vægtet Honorar]]*([1]!Tabel1[[#This Row],[Sidst redigeret]]&gt;TODAY()-40)*([1]!Tabel1[[#This Row],[Er i resplan?]]&lt;&gt;"Ja")*([1]!Tabel1[[#This Row],[Status]]="Pågår")</f>
        <v>0</v>
      </c>
      <c r="AG790" s="12">
        <f ca="1">[1]!Tabel1[[#This Row],[Vægtet Honorar]]*([1]!Tabel1[[#This Row],[Sidst redigeret]]&gt;TODAY()-40)*([1]!Tabel1[[#This Row],[Status]]="Pågår")</f>
        <v>0</v>
      </c>
      <c r="AH790" s="13"/>
      <c r="AI790" s="12"/>
      <c r="AJ790" s="12"/>
      <c r="AK790" s="12"/>
      <c r="AL790" s="12"/>
      <c r="AM790" s="12"/>
      <c r="AN790" s="12"/>
      <c r="AO790" s="12"/>
      <c r="AP790" s="12"/>
    </row>
    <row r="791" spans="1:42" ht="60">
      <c r="A791" t="s">
        <v>2855</v>
      </c>
      <c r="B791" s="8"/>
      <c r="C791" s="8" t="s">
        <v>2856</v>
      </c>
      <c r="D791" s="8" t="s">
        <v>1764</v>
      </c>
      <c r="E791" s="8" t="s">
        <v>71</v>
      </c>
      <c r="F791" s="8" t="s">
        <v>2592</v>
      </c>
      <c r="G791" s="8" t="s">
        <v>2857</v>
      </c>
      <c r="H791" s="9">
        <v>100000</v>
      </c>
      <c r="I791" s="9">
        <f>[1]!Tabel1[[#This Row],[Honorar]]*[1]!Tabel1[[#This Row],[Sandsynlighed]]</f>
        <v>500000</v>
      </c>
      <c r="J791" s="10" t="s">
        <v>328</v>
      </c>
      <c r="K791" s="10" t="s">
        <v>452</v>
      </c>
      <c r="L791" s="17" t="s">
        <v>2858</v>
      </c>
      <c r="M791" s="11">
        <v>1</v>
      </c>
      <c r="N791" s="1"/>
      <c r="O791" s="10">
        <v>46279.611921296295</v>
      </c>
      <c r="P791" s="10"/>
      <c r="Q791" s="1" t="s">
        <v>46</v>
      </c>
      <c r="R791" s="8" t="s">
        <v>47</v>
      </c>
      <c r="S79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9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9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9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9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9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9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9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9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9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9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9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9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91" s="12">
        <f ca="1">[1]!Tabel1[[#This Row],[Vægtet Honorar]]*([1]!Tabel1[[#This Row],[Sidst redigeret]]&gt;TODAY()-40)*([1]!Tabel1[[#This Row],[Er i resplan?]]&lt;&gt;"Ja")*([1]!Tabel1[[#This Row],[Status]]="Pågår")</f>
        <v>0</v>
      </c>
      <c r="AG791" s="12">
        <f ca="1">[1]!Tabel1[[#This Row],[Vægtet Honorar]]*([1]!Tabel1[[#This Row],[Sidst redigeret]]&gt;TODAY()-40)*([1]!Tabel1[[#This Row],[Status]]="Pågår")</f>
        <v>0</v>
      </c>
      <c r="AH791" s="13"/>
      <c r="AI791" s="12"/>
      <c r="AJ791" s="12"/>
      <c r="AK791" s="12"/>
      <c r="AL791" s="12"/>
      <c r="AM791" s="12"/>
      <c r="AN791" s="12"/>
      <c r="AO791" s="12"/>
      <c r="AP791" s="12"/>
    </row>
    <row r="792" spans="1:42">
      <c r="A792" t="s">
        <v>2859</v>
      </c>
      <c r="B792" s="8"/>
      <c r="C792" s="8" t="s">
        <v>2860</v>
      </c>
      <c r="D792" s="8" t="s">
        <v>358</v>
      </c>
      <c r="E792" s="8" t="s">
        <v>102</v>
      </c>
      <c r="F792" s="8" t="s">
        <v>2861</v>
      </c>
      <c r="G792" s="8" t="s">
        <v>2861</v>
      </c>
      <c r="H792" s="9">
        <v>100000</v>
      </c>
      <c r="I792" s="9">
        <f>[1]!Tabel1[[#This Row],[Honorar]]*[1]!Tabel1[[#This Row],[Sandsynlighed]]</f>
        <v>35000</v>
      </c>
      <c r="J792" s="10" t="s">
        <v>328</v>
      </c>
      <c r="K792" s="10" t="s">
        <v>452</v>
      </c>
      <c r="L792" s="17" t="s">
        <v>2862</v>
      </c>
      <c r="M792" s="11">
        <v>1</v>
      </c>
      <c r="N792" s="1"/>
      <c r="O792" s="10">
        <v>46279.611921296295</v>
      </c>
      <c r="P792" s="10"/>
      <c r="Q792" s="1" t="s">
        <v>46</v>
      </c>
      <c r="R792" s="8" t="s">
        <v>47</v>
      </c>
      <c r="S79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9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9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9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9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9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9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9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9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9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9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9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9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92" s="12">
        <f ca="1">[1]!Tabel1[[#This Row],[Vægtet Honorar]]*([1]!Tabel1[[#This Row],[Sidst redigeret]]&gt;TODAY()-40)*([1]!Tabel1[[#This Row],[Er i resplan?]]&lt;&gt;"Ja")*([1]!Tabel1[[#This Row],[Status]]="Pågår")</f>
        <v>0</v>
      </c>
      <c r="AG792" s="12">
        <f ca="1">[1]!Tabel1[[#This Row],[Vægtet Honorar]]*([1]!Tabel1[[#This Row],[Sidst redigeret]]&gt;TODAY()-40)*([1]!Tabel1[[#This Row],[Status]]="Pågår")</f>
        <v>0</v>
      </c>
      <c r="AH792" s="13"/>
      <c r="AI792" s="12"/>
      <c r="AJ792" s="12"/>
      <c r="AK792" s="12"/>
      <c r="AL792" s="12"/>
      <c r="AM792" s="12"/>
      <c r="AN792" s="12"/>
      <c r="AO792" s="12"/>
      <c r="AP792" s="12"/>
    </row>
    <row r="793" spans="1:42" ht="60">
      <c r="A793" t="s">
        <v>2863</v>
      </c>
      <c r="B793" s="8"/>
      <c r="C793" s="8" t="s">
        <v>2864</v>
      </c>
      <c r="D793" s="8" t="s">
        <v>200</v>
      </c>
      <c r="E793" s="8" t="s">
        <v>120</v>
      </c>
      <c r="F793" s="8" t="s">
        <v>2865</v>
      </c>
      <c r="G793" s="8" t="s">
        <v>2866</v>
      </c>
      <c r="H793" s="9">
        <v>2000000</v>
      </c>
      <c r="I793" s="9">
        <f>[1]!Tabel1[[#This Row],[Honorar]]*[1]!Tabel1[[#This Row],[Sandsynlighed]]</f>
        <v>184500</v>
      </c>
      <c r="J793" s="10" t="s">
        <v>1061</v>
      </c>
      <c r="K793" s="10" t="s">
        <v>342</v>
      </c>
      <c r="L793" s="17" t="s">
        <v>2867</v>
      </c>
      <c r="M793" s="11">
        <v>0.05</v>
      </c>
      <c r="N793" s="1"/>
      <c r="O793" s="10">
        <v>46279.611921296295</v>
      </c>
      <c r="P793" s="10"/>
      <c r="Q793" s="1" t="s">
        <v>72</v>
      </c>
      <c r="R793" s="8" t="s">
        <v>343</v>
      </c>
      <c r="S79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9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9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9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9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9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9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9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9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9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9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9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9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93" s="12">
        <f ca="1">[1]!Tabel1[[#This Row],[Vægtet Honorar]]*([1]!Tabel1[[#This Row],[Sidst redigeret]]&gt;TODAY()-40)*([1]!Tabel1[[#This Row],[Er i resplan?]]&lt;&gt;"Ja")*([1]!Tabel1[[#This Row],[Status]]="Pågår")</f>
        <v>0</v>
      </c>
      <c r="AG793" s="12">
        <f ca="1">[1]!Tabel1[[#This Row],[Vægtet Honorar]]*([1]!Tabel1[[#This Row],[Sidst redigeret]]&gt;TODAY()-40)*([1]!Tabel1[[#This Row],[Status]]="Pågår")</f>
        <v>0</v>
      </c>
      <c r="AH793" s="13"/>
      <c r="AI793" s="12"/>
      <c r="AJ793" s="12" t="s">
        <v>2868</v>
      </c>
      <c r="AK793" s="12" t="s">
        <v>2869</v>
      </c>
      <c r="AL793" s="12"/>
      <c r="AM793" s="12"/>
      <c r="AN793" s="12"/>
      <c r="AO793" s="12"/>
      <c r="AP793" s="12"/>
    </row>
    <row r="794" spans="1:42" ht="75">
      <c r="A794" t="s">
        <v>2870</v>
      </c>
      <c r="B794" s="8">
        <v>241153</v>
      </c>
      <c r="C794" s="8" t="s">
        <v>2871</v>
      </c>
      <c r="D794" s="8" t="s">
        <v>119</v>
      </c>
      <c r="E794" s="8" t="s">
        <v>71</v>
      </c>
      <c r="F794" s="8" t="s">
        <v>2872</v>
      </c>
      <c r="G794" s="8" t="s">
        <v>2873</v>
      </c>
      <c r="H794" s="9">
        <v>125000</v>
      </c>
      <c r="I794" s="9">
        <f>[1]!Tabel1[[#This Row],[Honorar]]*[1]!Tabel1[[#This Row],[Sandsynlighed]]</f>
        <v>0</v>
      </c>
      <c r="J794" s="10" t="s">
        <v>328</v>
      </c>
      <c r="K794" s="10" t="s">
        <v>1061</v>
      </c>
      <c r="L794" s="17" t="s">
        <v>2874</v>
      </c>
      <c r="M794" s="11">
        <v>1</v>
      </c>
      <c r="N794" s="1">
        <v>500</v>
      </c>
      <c r="O794" s="10">
        <v>46279.611921296295</v>
      </c>
      <c r="P794" s="10"/>
      <c r="Q794" s="1" t="s">
        <v>46</v>
      </c>
      <c r="R794" s="8" t="s">
        <v>47</v>
      </c>
      <c r="S79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9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9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9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9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9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9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9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9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9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9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9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9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94" s="12">
        <f ca="1">[1]!Tabel1[[#This Row],[Vægtet Honorar]]*([1]!Tabel1[[#This Row],[Sidst redigeret]]&gt;TODAY()-40)*([1]!Tabel1[[#This Row],[Er i resplan?]]&lt;&gt;"Ja")*([1]!Tabel1[[#This Row],[Status]]="Pågår")</f>
        <v>0</v>
      </c>
      <c r="AG794" s="12">
        <f ca="1">[1]!Tabel1[[#This Row],[Vægtet Honorar]]*([1]!Tabel1[[#This Row],[Sidst redigeret]]&gt;TODAY()-40)*([1]!Tabel1[[#This Row],[Status]]="Pågår")</f>
        <v>0</v>
      </c>
      <c r="AH794" s="13"/>
      <c r="AI794" s="12"/>
      <c r="AJ794" s="12" t="s">
        <v>2135</v>
      </c>
      <c r="AK794" s="12" t="s">
        <v>1015</v>
      </c>
      <c r="AL794" s="12"/>
      <c r="AM794" s="12"/>
      <c r="AN794" s="12"/>
      <c r="AO794" s="12"/>
      <c r="AP794" s="12"/>
    </row>
    <row r="795" spans="1:42" ht="240">
      <c r="A795" t="s">
        <v>2875</v>
      </c>
      <c r="B795" s="8"/>
      <c r="C795" s="8" t="s">
        <v>2876</v>
      </c>
      <c r="D795" s="8" t="s">
        <v>70</v>
      </c>
      <c r="E795" s="8" t="s">
        <v>102</v>
      </c>
      <c r="F795" s="8" t="s">
        <v>1119</v>
      </c>
      <c r="G795" s="8" t="s">
        <v>1119</v>
      </c>
      <c r="H795" s="9">
        <v>15000000</v>
      </c>
      <c r="I795" s="9">
        <f>[1]!Tabel1[[#This Row],[Honorar]]*[1]!Tabel1[[#This Row],[Sandsynlighed]]</f>
        <v>15000</v>
      </c>
      <c r="J795" s="10" t="s">
        <v>1191</v>
      </c>
      <c r="K795" s="10" t="s">
        <v>342</v>
      </c>
      <c r="L795" s="17" t="s">
        <v>2877</v>
      </c>
      <c r="M795" s="11">
        <v>0.1</v>
      </c>
      <c r="N795" s="1">
        <v>10000</v>
      </c>
      <c r="O795" s="10">
        <v>46279.611921296295</v>
      </c>
      <c r="P795" s="10"/>
      <c r="Q795" s="1" t="s">
        <v>72</v>
      </c>
      <c r="R795" s="8" t="s">
        <v>49</v>
      </c>
      <c r="S79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9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9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9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9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9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9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9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9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9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9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9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9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95" s="12">
        <f ca="1">[1]!Tabel1[[#This Row],[Vægtet Honorar]]*([1]!Tabel1[[#This Row],[Sidst redigeret]]&gt;TODAY()-40)*([1]!Tabel1[[#This Row],[Er i resplan?]]&lt;&gt;"Ja")*([1]!Tabel1[[#This Row],[Status]]="Pågår")</f>
        <v>0</v>
      </c>
      <c r="AG795" s="12">
        <f ca="1">[1]!Tabel1[[#This Row],[Vægtet Honorar]]*([1]!Tabel1[[#This Row],[Sidst redigeret]]&gt;TODAY()-40)*([1]!Tabel1[[#This Row],[Status]]="Pågår")</f>
        <v>0</v>
      </c>
      <c r="AH795" s="13"/>
      <c r="AI795" s="12"/>
      <c r="AJ795" s="12"/>
      <c r="AK795" s="12"/>
      <c r="AL795" s="12"/>
      <c r="AM795" s="12"/>
      <c r="AN795" s="12"/>
      <c r="AO795" s="12"/>
      <c r="AP795" s="12"/>
    </row>
    <row r="796" spans="1:42" ht="120">
      <c r="A796" t="s">
        <v>2878</v>
      </c>
      <c r="B796" s="8"/>
      <c r="C796" s="8" t="s">
        <v>2879</v>
      </c>
      <c r="D796" s="8" t="s">
        <v>70</v>
      </c>
      <c r="E796" s="8" t="s">
        <v>102</v>
      </c>
      <c r="F796" s="8" t="s">
        <v>2879</v>
      </c>
      <c r="G796" s="8" t="s">
        <v>2393</v>
      </c>
      <c r="H796" s="9">
        <v>600000</v>
      </c>
      <c r="I796" s="9">
        <f>[1]!Tabel1[[#This Row],[Honorar]]*[1]!Tabel1[[#This Row],[Sandsynlighed]]</f>
        <v>100000</v>
      </c>
      <c r="J796" s="10" t="s">
        <v>1191</v>
      </c>
      <c r="K796" s="10" t="s">
        <v>342</v>
      </c>
      <c r="L796" s="17" t="s">
        <v>2880</v>
      </c>
      <c r="M796" s="11">
        <v>0.05</v>
      </c>
      <c r="N796" s="1"/>
      <c r="O796" s="10">
        <v>46279.611921296295</v>
      </c>
      <c r="P796" s="10"/>
      <c r="Q796" s="1" t="s">
        <v>72</v>
      </c>
      <c r="R796" s="8" t="s">
        <v>343</v>
      </c>
      <c r="S79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9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9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9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9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9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9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9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9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9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9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9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9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96" s="12">
        <f ca="1">[1]!Tabel1[[#This Row],[Vægtet Honorar]]*([1]!Tabel1[[#This Row],[Sidst redigeret]]&gt;TODAY()-40)*([1]!Tabel1[[#This Row],[Er i resplan?]]&lt;&gt;"Ja")*([1]!Tabel1[[#This Row],[Status]]="Pågår")</f>
        <v>0</v>
      </c>
      <c r="AG796" s="12">
        <f ca="1">[1]!Tabel1[[#This Row],[Vægtet Honorar]]*([1]!Tabel1[[#This Row],[Sidst redigeret]]&gt;TODAY()-40)*([1]!Tabel1[[#This Row],[Status]]="Pågår")</f>
        <v>0</v>
      </c>
      <c r="AH796" s="13"/>
      <c r="AI796" s="12"/>
      <c r="AJ796" s="12"/>
      <c r="AK796" s="12"/>
      <c r="AL796" s="12"/>
      <c r="AM796" s="12"/>
      <c r="AN796" s="12"/>
      <c r="AO796" s="12"/>
      <c r="AP796" s="12"/>
    </row>
    <row r="797" spans="1:42" ht="105">
      <c r="A797" t="s">
        <v>2881</v>
      </c>
      <c r="B797" s="8"/>
      <c r="C797" s="8" t="s">
        <v>2882</v>
      </c>
      <c r="D797" s="8" t="s">
        <v>93</v>
      </c>
      <c r="E797" s="8" t="s">
        <v>94</v>
      </c>
      <c r="F797" s="8" t="s">
        <v>1778</v>
      </c>
      <c r="G797" s="8" t="s">
        <v>1260</v>
      </c>
      <c r="H797" s="9">
        <v>3000000</v>
      </c>
      <c r="I797" s="9">
        <f>[1]!Tabel1[[#This Row],[Honorar]]*[1]!Tabel1[[#This Row],[Sandsynlighed]]</f>
        <v>100000</v>
      </c>
      <c r="J797" s="10" t="s">
        <v>452</v>
      </c>
      <c r="K797" s="10" t="s">
        <v>329</v>
      </c>
      <c r="L797" s="17" t="s">
        <v>2883</v>
      </c>
      <c r="M797" s="11">
        <v>0.25</v>
      </c>
      <c r="N797" s="1">
        <v>4000</v>
      </c>
      <c r="O797" s="10">
        <v>46279.611921296295</v>
      </c>
      <c r="P797" s="1" t="s">
        <v>72</v>
      </c>
      <c r="Q797" s="1" t="s">
        <v>72</v>
      </c>
      <c r="R797" s="8" t="s">
        <v>47</v>
      </c>
      <c r="S79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9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9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9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9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9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9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9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9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9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9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9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9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97" s="12">
        <f ca="1">[1]!Tabel1[[#This Row],[Vægtet Honorar]]*([1]!Tabel1[[#This Row],[Sidst redigeret]]&gt;TODAY()-40)*([1]!Tabel1[[#This Row],[Er i resplan?]]&lt;&gt;"Ja")*([1]!Tabel1[[#This Row],[Status]]="Pågår")</f>
        <v>0</v>
      </c>
      <c r="AG797" s="12">
        <f ca="1">[1]!Tabel1[[#This Row],[Vægtet Honorar]]*([1]!Tabel1[[#This Row],[Sidst redigeret]]&gt;TODAY()-40)*([1]!Tabel1[[#This Row],[Status]]="Pågår")</f>
        <v>0</v>
      </c>
      <c r="AH797" s="13"/>
      <c r="AI797" s="12"/>
      <c r="AJ797" s="12"/>
      <c r="AK797" s="12"/>
      <c r="AL797" s="12"/>
      <c r="AM797" s="12"/>
      <c r="AN797" s="12"/>
      <c r="AO797" s="12"/>
      <c r="AP797" s="12"/>
    </row>
    <row r="798" spans="1:42" ht="105">
      <c r="A798" t="s">
        <v>2884</v>
      </c>
      <c r="B798" s="8"/>
      <c r="C798" s="8" t="s">
        <v>2885</v>
      </c>
      <c r="D798" s="8" t="s">
        <v>2886</v>
      </c>
      <c r="E798" s="8" t="s">
        <v>120</v>
      </c>
      <c r="F798" s="8" t="s">
        <v>2885</v>
      </c>
      <c r="G798" s="8" t="s">
        <v>2885</v>
      </c>
      <c r="H798" s="9">
        <v>1</v>
      </c>
      <c r="I798" s="9">
        <f>[1]!Tabel1[[#This Row],[Honorar]]*[1]!Tabel1[[#This Row],[Sandsynlighed]]</f>
        <v>100000</v>
      </c>
      <c r="J798" s="10" t="s">
        <v>452</v>
      </c>
      <c r="K798" s="10" t="s">
        <v>329</v>
      </c>
      <c r="L798" s="17" t="s">
        <v>2883</v>
      </c>
      <c r="M798" s="11">
        <v>1</v>
      </c>
      <c r="N798" s="1">
        <v>4000</v>
      </c>
      <c r="O798" s="10">
        <v>46279.611921296295</v>
      </c>
      <c r="P798" s="10"/>
      <c r="Q798" s="1" t="s">
        <v>72</v>
      </c>
      <c r="R798" s="8" t="s">
        <v>49</v>
      </c>
      <c r="S79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9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9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9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9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9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9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9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9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9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9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9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9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98" s="12">
        <f ca="1">[1]!Tabel1[[#This Row],[Vægtet Honorar]]*([1]!Tabel1[[#This Row],[Sidst redigeret]]&gt;TODAY()-40)*([1]!Tabel1[[#This Row],[Er i resplan?]]&lt;&gt;"Ja")*([1]!Tabel1[[#This Row],[Status]]="Pågår")</f>
        <v>100000</v>
      </c>
      <c r="AG798" s="12">
        <f ca="1">[1]!Tabel1[[#This Row],[Vægtet Honorar]]*([1]!Tabel1[[#This Row],[Sidst redigeret]]&gt;TODAY()-40)*([1]!Tabel1[[#This Row],[Status]]="Pågår")</f>
        <v>100000</v>
      </c>
      <c r="AH798" s="13"/>
      <c r="AI798" s="12"/>
      <c r="AJ798" s="12" t="s">
        <v>2135</v>
      </c>
      <c r="AK798" s="12" t="s">
        <v>1015</v>
      </c>
      <c r="AL798" s="12"/>
      <c r="AM798" s="12"/>
      <c r="AN798" s="12"/>
      <c r="AO798" s="12"/>
      <c r="AP798" s="12"/>
    </row>
    <row r="799" spans="1:42" ht="60">
      <c r="A799" t="s">
        <v>2887</v>
      </c>
      <c r="B799" s="8"/>
      <c r="C799" s="8" t="s">
        <v>2888</v>
      </c>
      <c r="D799" s="8" t="s">
        <v>435</v>
      </c>
      <c r="E799" s="8" t="s">
        <v>167</v>
      </c>
      <c r="F799" s="8" t="s">
        <v>2889</v>
      </c>
      <c r="G799" s="8" t="s">
        <v>2889</v>
      </c>
      <c r="H799" s="9">
        <v>1000000</v>
      </c>
      <c r="I799" s="9">
        <f>[1]!Tabel1[[#This Row],[Honorar]]*[1]!Tabel1[[#This Row],[Sandsynlighed]]</f>
        <v>125000</v>
      </c>
      <c r="J799" s="10" t="s">
        <v>452</v>
      </c>
      <c r="K799" s="10" t="s">
        <v>341</v>
      </c>
      <c r="L799" s="17" t="s">
        <v>2890</v>
      </c>
      <c r="M799" s="11">
        <v>0.5</v>
      </c>
      <c r="N799" s="1"/>
      <c r="O799" s="10">
        <v>46279.611921296295</v>
      </c>
      <c r="P799" s="10"/>
      <c r="Q799" s="1" t="s">
        <v>72</v>
      </c>
      <c r="R799" s="8" t="s">
        <v>343</v>
      </c>
      <c r="S79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79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79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79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79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79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79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79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79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79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79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79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79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799" s="12">
        <f ca="1">[1]!Tabel1[[#This Row],[Vægtet Honorar]]*([1]!Tabel1[[#This Row],[Sidst redigeret]]&gt;TODAY()-40)*([1]!Tabel1[[#This Row],[Er i resplan?]]&lt;&gt;"Ja")*([1]!Tabel1[[#This Row],[Status]]="Pågår")</f>
        <v>0</v>
      </c>
      <c r="AG799" s="12">
        <f ca="1">[1]!Tabel1[[#This Row],[Vægtet Honorar]]*([1]!Tabel1[[#This Row],[Sidst redigeret]]&gt;TODAY()-40)*([1]!Tabel1[[#This Row],[Status]]="Pågår")</f>
        <v>0</v>
      </c>
      <c r="AH799" s="13"/>
      <c r="AI799" s="12"/>
      <c r="AJ799" s="12"/>
      <c r="AK799" s="12"/>
      <c r="AL799" s="12"/>
      <c r="AM799" s="12"/>
      <c r="AN799" s="12"/>
      <c r="AO799" s="12"/>
      <c r="AP799" s="12"/>
    </row>
    <row r="800" spans="1:42" ht="60">
      <c r="A800" t="s">
        <v>2891</v>
      </c>
      <c r="B800" s="8"/>
      <c r="C800" s="8" t="s">
        <v>2892</v>
      </c>
      <c r="D800" s="8" t="s">
        <v>1886</v>
      </c>
      <c r="E800" s="8" t="s">
        <v>94</v>
      </c>
      <c r="F800" s="8" t="s">
        <v>2527</v>
      </c>
      <c r="G800" s="8" t="s">
        <v>1970</v>
      </c>
      <c r="H800" s="9">
        <v>26000</v>
      </c>
      <c r="I800" s="9">
        <f>[1]!Tabel1[[#This Row],[Honorar]]*[1]!Tabel1[[#This Row],[Sandsynlighed]]</f>
        <v>1500000</v>
      </c>
      <c r="J800" s="10" t="s">
        <v>452</v>
      </c>
      <c r="K800" s="10" t="s">
        <v>585</v>
      </c>
      <c r="L800" s="17" t="s">
        <v>2890</v>
      </c>
      <c r="M800" s="11">
        <v>0.85</v>
      </c>
      <c r="N800" s="1">
        <v>9000</v>
      </c>
      <c r="O800" s="10">
        <v>46279.611921296295</v>
      </c>
      <c r="P800" s="1" t="s">
        <v>46</v>
      </c>
      <c r="Q800" s="1" t="s">
        <v>72</v>
      </c>
      <c r="R800" s="8" t="s">
        <v>47</v>
      </c>
      <c r="S80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0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0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0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0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0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0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0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0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0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0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0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0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00" s="12">
        <f ca="1">[1]!Tabel1[[#This Row],[Vægtet Honorar]]*([1]!Tabel1[[#This Row],[Sidst redigeret]]&gt;TODAY()-40)*([1]!Tabel1[[#This Row],[Er i resplan?]]&lt;&gt;"Ja")*([1]!Tabel1[[#This Row],[Status]]="Pågår")</f>
        <v>0</v>
      </c>
      <c r="AG800" s="12">
        <f ca="1">[1]!Tabel1[[#This Row],[Vægtet Honorar]]*([1]!Tabel1[[#This Row],[Sidst redigeret]]&gt;TODAY()-40)*([1]!Tabel1[[#This Row],[Status]]="Pågår")</f>
        <v>0</v>
      </c>
      <c r="AH800" s="13"/>
      <c r="AI800" s="12"/>
      <c r="AJ800" s="12"/>
      <c r="AK800" s="12"/>
      <c r="AL800" s="12"/>
      <c r="AM800" s="12"/>
      <c r="AN800" s="12"/>
      <c r="AO800" s="12"/>
      <c r="AP800" s="12"/>
    </row>
    <row r="801" spans="1:42" ht="60">
      <c r="A801" t="s">
        <v>2893</v>
      </c>
      <c r="B801" s="8"/>
      <c r="C801" s="8" t="s">
        <v>2894</v>
      </c>
      <c r="D801" s="8" t="s">
        <v>1886</v>
      </c>
      <c r="E801" s="8" t="s">
        <v>94</v>
      </c>
      <c r="F801" s="8" t="s">
        <v>2341</v>
      </c>
      <c r="G801" s="8" t="s">
        <v>2895</v>
      </c>
      <c r="H801" s="9">
        <v>67000</v>
      </c>
      <c r="I801" s="9">
        <f>[1]!Tabel1[[#This Row],[Honorar]]*[1]!Tabel1[[#This Row],[Sandsynlighed]]</f>
        <v>30000</v>
      </c>
      <c r="J801" s="10" t="s">
        <v>452</v>
      </c>
      <c r="K801" s="10" t="s">
        <v>612</v>
      </c>
      <c r="L801" s="17" t="s">
        <v>2890</v>
      </c>
      <c r="M801" s="11">
        <v>0.95</v>
      </c>
      <c r="N801" s="1">
        <v>1000</v>
      </c>
      <c r="O801" s="10">
        <v>46279.611921296295</v>
      </c>
      <c r="P801" s="1" t="s">
        <v>72</v>
      </c>
      <c r="Q801" s="1" t="s">
        <v>46</v>
      </c>
      <c r="R801" s="8" t="s">
        <v>47</v>
      </c>
      <c r="S80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0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0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0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0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0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0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0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0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0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0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0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0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01" s="12">
        <f ca="1">[1]!Tabel1[[#This Row],[Vægtet Honorar]]*([1]!Tabel1[[#This Row],[Sidst redigeret]]&gt;TODAY()-40)*([1]!Tabel1[[#This Row],[Er i resplan?]]&lt;&gt;"Ja")*([1]!Tabel1[[#This Row],[Status]]="Pågår")</f>
        <v>30000</v>
      </c>
      <c r="AG801" s="12">
        <f ca="1">[1]!Tabel1[[#This Row],[Vægtet Honorar]]*([1]!Tabel1[[#This Row],[Sidst redigeret]]&gt;TODAY()-40)*([1]!Tabel1[[#This Row],[Status]]="Pågår")</f>
        <v>30000</v>
      </c>
      <c r="AH801" s="13"/>
      <c r="AI801" s="12"/>
      <c r="AJ801" s="12"/>
      <c r="AK801" s="12"/>
      <c r="AL801" s="12"/>
      <c r="AM801" s="12"/>
      <c r="AN801" s="12"/>
      <c r="AO801" s="12"/>
      <c r="AP801" s="12"/>
    </row>
    <row r="802" spans="1:42" ht="60">
      <c r="A802" t="s">
        <v>2896</v>
      </c>
      <c r="B802" s="8"/>
      <c r="C802" s="8" t="s">
        <v>2897</v>
      </c>
      <c r="D802" s="8" t="s">
        <v>2886</v>
      </c>
      <c r="E802" s="8" t="s">
        <v>120</v>
      </c>
      <c r="F802" s="8" t="s">
        <v>2898</v>
      </c>
      <c r="G802" s="8" t="s">
        <v>2895</v>
      </c>
      <c r="H802" s="9">
        <v>4000000</v>
      </c>
      <c r="I802" s="9">
        <f>[1]!Tabel1[[#This Row],[Honorar]]*[1]!Tabel1[[#This Row],[Sandsynlighed]]</f>
        <v>750000</v>
      </c>
      <c r="J802" s="10" t="s">
        <v>1061</v>
      </c>
      <c r="K802" s="10" t="s">
        <v>2405</v>
      </c>
      <c r="L802" s="17" t="s">
        <v>2899</v>
      </c>
      <c r="M802" s="11">
        <v>0.05</v>
      </c>
      <c r="N802" s="1">
        <v>5736</v>
      </c>
      <c r="O802" s="10">
        <v>46279.611921296295</v>
      </c>
      <c r="P802" s="10"/>
      <c r="Q802" s="1" t="s">
        <v>72</v>
      </c>
      <c r="R802" s="8" t="s">
        <v>75</v>
      </c>
      <c r="S80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0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0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0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0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0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0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0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0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0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0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0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0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02" s="12">
        <f ca="1">[1]!Tabel1[[#This Row],[Vægtet Honorar]]*([1]!Tabel1[[#This Row],[Sidst redigeret]]&gt;TODAY()-40)*([1]!Tabel1[[#This Row],[Er i resplan?]]&lt;&gt;"Ja")*([1]!Tabel1[[#This Row],[Status]]="Pågår")</f>
        <v>0</v>
      </c>
      <c r="AG802" s="12">
        <f ca="1">[1]!Tabel1[[#This Row],[Vægtet Honorar]]*([1]!Tabel1[[#This Row],[Sidst redigeret]]&gt;TODAY()-40)*([1]!Tabel1[[#This Row],[Status]]="Pågår")</f>
        <v>0</v>
      </c>
      <c r="AH802" s="13"/>
      <c r="AI802" s="12"/>
      <c r="AJ802" s="12" t="s">
        <v>2895</v>
      </c>
      <c r="AK802" s="12" t="s">
        <v>1015</v>
      </c>
      <c r="AL802" s="12"/>
      <c r="AM802" s="12"/>
      <c r="AN802" s="12"/>
      <c r="AO802" s="12"/>
      <c r="AP802" s="12"/>
    </row>
    <row r="803" spans="1:42" ht="75">
      <c r="A803" t="s">
        <v>2900</v>
      </c>
      <c r="B803" s="8"/>
      <c r="C803" s="8" t="s">
        <v>2901</v>
      </c>
      <c r="D803" s="8" t="s">
        <v>859</v>
      </c>
      <c r="E803" s="8" t="s">
        <v>71</v>
      </c>
      <c r="F803" s="8" t="s">
        <v>2902</v>
      </c>
      <c r="G803" s="8" t="s">
        <v>2903</v>
      </c>
      <c r="H803" s="9">
        <v>250000</v>
      </c>
      <c r="I803" s="9">
        <f>[1]!Tabel1[[#This Row],[Honorar]]*[1]!Tabel1[[#This Row],[Sandsynlighed]]</f>
        <v>1</v>
      </c>
      <c r="J803" s="10" t="s">
        <v>452</v>
      </c>
      <c r="K803" s="10" t="s">
        <v>329</v>
      </c>
      <c r="L803" s="17" t="s">
        <v>2904</v>
      </c>
      <c r="M803" s="11">
        <v>0.25</v>
      </c>
      <c r="N803" s="1"/>
      <c r="O803" s="10">
        <v>46279.611921296295</v>
      </c>
      <c r="P803" s="10"/>
      <c r="Q803" s="1" t="s">
        <v>72</v>
      </c>
      <c r="R803" s="8" t="s">
        <v>49</v>
      </c>
      <c r="S80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0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0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0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0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0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0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0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0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0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0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0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0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03" s="12">
        <f ca="1">[1]!Tabel1[[#This Row],[Vægtet Honorar]]*([1]!Tabel1[[#This Row],[Sidst redigeret]]&gt;TODAY()-40)*([1]!Tabel1[[#This Row],[Er i resplan?]]&lt;&gt;"Ja")*([1]!Tabel1[[#This Row],[Status]]="Pågår")</f>
        <v>0</v>
      </c>
      <c r="AG803" s="12">
        <f ca="1">[1]!Tabel1[[#This Row],[Vægtet Honorar]]*([1]!Tabel1[[#This Row],[Sidst redigeret]]&gt;TODAY()-40)*([1]!Tabel1[[#This Row],[Status]]="Pågår")</f>
        <v>0</v>
      </c>
      <c r="AH803" s="13"/>
      <c r="AI803" s="12"/>
      <c r="AJ803" s="12"/>
      <c r="AK803" s="12"/>
      <c r="AL803" s="12"/>
      <c r="AM803" s="12"/>
      <c r="AN803" s="12"/>
      <c r="AO803" s="12"/>
      <c r="AP803" s="12"/>
    </row>
    <row r="804" spans="1:42">
      <c r="A804" t="s">
        <v>2905</v>
      </c>
      <c r="B804" s="8"/>
      <c r="C804" s="8" t="s">
        <v>2906</v>
      </c>
      <c r="D804" s="8" t="s">
        <v>1623</v>
      </c>
      <c r="E804" s="8" t="s">
        <v>102</v>
      </c>
      <c r="F804" s="8" t="s">
        <v>339</v>
      </c>
      <c r="G804" s="8" t="s">
        <v>339</v>
      </c>
      <c r="H804" s="9">
        <v>350000</v>
      </c>
      <c r="I804" s="9">
        <f>[1]!Tabel1[[#This Row],[Honorar]]*[1]!Tabel1[[#This Row],[Sandsynlighed]]</f>
        <v>500000</v>
      </c>
      <c r="J804" s="10" t="s">
        <v>1061</v>
      </c>
      <c r="K804" s="10" t="s">
        <v>1310</v>
      </c>
      <c r="L804" s="17"/>
      <c r="M804" s="11">
        <v>1</v>
      </c>
      <c r="N804" s="1"/>
      <c r="O804" s="10">
        <v>46279.611921296295</v>
      </c>
      <c r="P804" s="10"/>
      <c r="Q804" s="1" t="s">
        <v>46</v>
      </c>
      <c r="R804" s="8" t="s">
        <v>47</v>
      </c>
      <c r="S80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0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0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0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0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0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0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0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0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0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0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0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0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04" s="12">
        <f ca="1">[1]!Tabel1[[#This Row],[Vægtet Honorar]]*([1]!Tabel1[[#This Row],[Sidst redigeret]]&gt;TODAY()-40)*([1]!Tabel1[[#This Row],[Er i resplan?]]&lt;&gt;"Ja")*([1]!Tabel1[[#This Row],[Status]]="Pågår")</f>
        <v>500000</v>
      </c>
      <c r="AG804" s="12">
        <f ca="1">[1]!Tabel1[[#This Row],[Vægtet Honorar]]*([1]!Tabel1[[#This Row],[Sidst redigeret]]&gt;TODAY()-40)*([1]!Tabel1[[#This Row],[Status]]="Pågår")</f>
        <v>500000</v>
      </c>
      <c r="AH804" s="13"/>
      <c r="AI804" s="12"/>
      <c r="AJ804" s="12"/>
      <c r="AK804" s="12"/>
      <c r="AL804" s="12"/>
      <c r="AM804" s="12"/>
      <c r="AN804" s="12"/>
      <c r="AO804" s="12"/>
      <c r="AP804" s="12"/>
    </row>
    <row r="805" spans="1:42" ht="60">
      <c r="A805" t="s">
        <v>2907</v>
      </c>
      <c r="B805" s="8"/>
      <c r="C805" s="8" t="s">
        <v>2908</v>
      </c>
      <c r="D805" s="8" t="s">
        <v>990</v>
      </c>
      <c r="E805" s="8" t="s">
        <v>71</v>
      </c>
      <c r="F805" s="8" t="s">
        <v>1012</v>
      </c>
      <c r="G805" s="8" t="s">
        <v>1012</v>
      </c>
      <c r="H805" s="9">
        <v>350000</v>
      </c>
      <c r="I805" s="9">
        <f>[1]!Tabel1[[#This Row],[Honorar]]*[1]!Tabel1[[#This Row],[Sandsynlighed]]</f>
        <v>22100</v>
      </c>
      <c r="J805" s="10" t="s">
        <v>452</v>
      </c>
      <c r="K805" s="10" t="s">
        <v>329</v>
      </c>
      <c r="L805" s="17" t="s">
        <v>2909</v>
      </c>
      <c r="M805" s="11">
        <v>1</v>
      </c>
      <c r="N805" s="1"/>
      <c r="O805" s="10">
        <v>46279.611921296295</v>
      </c>
      <c r="P805" s="10"/>
      <c r="Q805" s="1" t="s">
        <v>46</v>
      </c>
      <c r="R805" s="8" t="s">
        <v>47</v>
      </c>
      <c r="S80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0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0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0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0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0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0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0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0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0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0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0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0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05" s="12">
        <f ca="1">[1]!Tabel1[[#This Row],[Vægtet Honorar]]*([1]!Tabel1[[#This Row],[Sidst redigeret]]&gt;TODAY()-40)*([1]!Tabel1[[#This Row],[Er i resplan?]]&lt;&gt;"Ja")*([1]!Tabel1[[#This Row],[Status]]="Pågår")</f>
        <v>0</v>
      </c>
      <c r="AG805" s="12">
        <f ca="1">[1]!Tabel1[[#This Row],[Vægtet Honorar]]*([1]!Tabel1[[#This Row],[Sidst redigeret]]&gt;TODAY()-40)*([1]!Tabel1[[#This Row],[Status]]="Pågår")</f>
        <v>0</v>
      </c>
      <c r="AH805" s="13"/>
      <c r="AI805" s="12"/>
      <c r="AJ805" s="12"/>
      <c r="AK805" s="12"/>
      <c r="AL805" s="12"/>
      <c r="AM805" s="12"/>
      <c r="AN805" s="12"/>
      <c r="AO805" s="12"/>
      <c r="AP805" s="12"/>
    </row>
    <row r="806" spans="1:42">
      <c r="A806" t="s">
        <v>2910</v>
      </c>
      <c r="B806" s="8"/>
      <c r="C806" s="8" t="s">
        <v>2911</v>
      </c>
      <c r="D806" s="8" t="s">
        <v>435</v>
      </c>
      <c r="E806" s="8" t="s">
        <v>167</v>
      </c>
      <c r="F806" s="8" t="s">
        <v>2912</v>
      </c>
      <c r="G806" s="8" t="s">
        <v>2912</v>
      </c>
      <c r="H806" s="9">
        <v>55000</v>
      </c>
      <c r="I806" s="9">
        <f>[1]!Tabel1[[#This Row],[Honorar]]*[1]!Tabel1[[#This Row],[Sandsynlighed]]</f>
        <v>63650</v>
      </c>
      <c r="J806" s="10" t="s">
        <v>452</v>
      </c>
      <c r="K806" s="10" t="s">
        <v>612</v>
      </c>
      <c r="L806" s="17"/>
      <c r="M806" s="11">
        <v>0.7</v>
      </c>
      <c r="N806" s="1">
        <v>32</v>
      </c>
      <c r="O806" s="10">
        <v>46279.611921296295</v>
      </c>
      <c r="P806" s="10"/>
      <c r="Q806" s="1" t="s">
        <v>72</v>
      </c>
      <c r="R806" s="8" t="s">
        <v>343</v>
      </c>
      <c r="S80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0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0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0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0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0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0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0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0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0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0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0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0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06" s="12">
        <f ca="1">[1]!Tabel1[[#This Row],[Vægtet Honorar]]*([1]!Tabel1[[#This Row],[Sidst redigeret]]&gt;TODAY()-40)*([1]!Tabel1[[#This Row],[Er i resplan?]]&lt;&gt;"Ja")*([1]!Tabel1[[#This Row],[Status]]="Pågår")</f>
        <v>0</v>
      </c>
      <c r="AG806" s="12">
        <f ca="1">[1]!Tabel1[[#This Row],[Vægtet Honorar]]*([1]!Tabel1[[#This Row],[Sidst redigeret]]&gt;TODAY()-40)*([1]!Tabel1[[#This Row],[Status]]="Pågår")</f>
        <v>0</v>
      </c>
      <c r="AH806" s="13"/>
      <c r="AI806" s="12"/>
      <c r="AJ806" s="12"/>
      <c r="AK806" s="12"/>
      <c r="AL806" s="12"/>
      <c r="AM806" s="12"/>
      <c r="AN806" s="12"/>
      <c r="AO806" s="12"/>
      <c r="AP806" s="12"/>
    </row>
    <row r="807" spans="1:42">
      <c r="A807" t="s">
        <v>2913</v>
      </c>
      <c r="B807" s="8"/>
      <c r="C807" s="8" t="s">
        <v>2914</v>
      </c>
      <c r="D807" s="8" t="s">
        <v>158</v>
      </c>
      <c r="E807" s="8" t="s">
        <v>167</v>
      </c>
      <c r="F807" s="8" t="s">
        <v>667</v>
      </c>
      <c r="G807" s="8" t="s">
        <v>2912</v>
      </c>
      <c r="H807" s="9">
        <v>250000</v>
      </c>
      <c r="I807" s="9">
        <f>[1]!Tabel1[[#This Row],[Honorar]]*[1]!Tabel1[[#This Row],[Sandsynlighed]]</f>
        <v>200000</v>
      </c>
      <c r="J807" s="10" t="s">
        <v>328</v>
      </c>
      <c r="K807" s="10" t="s">
        <v>329</v>
      </c>
      <c r="L807" s="17"/>
      <c r="M807" s="11">
        <v>0.8</v>
      </c>
      <c r="N807" s="1"/>
      <c r="O807" s="10">
        <v>46279.611921296295</v>
      </c>
      <c r="P807" s="10"/>
      <c r="Q807" s="1" t="s">
        <v>72</v>
      </c>
      <c r="R807" s="8" t="s">
        <v>47</v>
      </c>
      <c r="S80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0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0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0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0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0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0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0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0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0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0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0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0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07" s="12">
        <f ca="1">[1]!Tabel1[[#This Row],[Vægtet Honorar]]*([1]!Tabel1[[#This Row],[Sidst redigeret]]&gt;TODAY()-40)*([1]!Tabel1[[#This Row],[Er i resplan?]]&lt;&gt;"Ja")*([1]!Tabel1[[#This Row],[Status]]="Pågår")</f>
        <v>0</v>
      </c>
      <c r="AG807" s="12">
        <f ca="1">[1]!Tabel1[[#This Row],[Vægtet Honorar]]*([1]!Tabel1[[#This Row],[Sidst redigeret]]&gt;TODAY()-40)*([1]!Tabel1[[#This Row],[Status]]="Pågår")</f>
        <v>0</v>
      </c>
      <c r="AH807" s="13"/>
      <c r="AI807" s="12"/>
      <c r="AJ807" s="12"/>
      <c r="AK807" s="12"/>
      <c r="AL807" s="12"/>
      <c r="AM807" s="12"/>
      <c r="AN807" s="12"/>
      <c r="AO807" s="12"/>
      <c r="AP807" s="12"/>
    </row>
    <row r="808" spans="1:42">
      <c r="A808" t="s">
        <v>2915</v>
      </c>
      <c r="B808" s="8"/>
      <c r="C808" s="8" t="s">
        <v>2916</v>
      </c>
      <c r="D808" s="8" t="s">
        <v>2886</v>
      </c>
      <c r="E808" s="8" t="s">
        <v>120</v>
      </c>
      <c r="F808" s="8" t="s">
        <v>1152</v>
      </c>
      <c r="G808" s="8" t="s">
        <v>1152</v>
      </c>
      <c r="H808" s="9">
        <v>4000000</v>
      </c>
      <c r="I808" s="9">
        <f>[1]!Tabel1[[#This Row],[Honorar]]*[1]!Tabel1[[#This Row],[Sandsynlighed]]</f>
        <v>62500</v>
      </c>
      <c r="J808" s="10" t="s">
        <v>1287</v>
      </c>
      <c r="K808" s="10" t="s">
        <v>1062</v>
      </c>
      <c r="L808" s="17"/>
      <c r="M808" s="11">
        <v>0.05</v>
      </c>
      <c r="N808" s="1"/>
      <c r="O808" s="10">
        <v>46279.611921296295</v>
      </c>
      <c r="P808" s="10"/>
      <c r="Q808" s="1" t="s">
        <v>72</v>
      </c>
      <c r="R808" s="8" t="s">
        <v>75</v>
      </c>
      <c r="S80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0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0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0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0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0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0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0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0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0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0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0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0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08" s="12">
        <f ca="1">[1]!Tabel1[[#This Row],[Vægtet Honorar]]*([1]!Tabel1[[#This Row],[Sidst redigeret]]&gt;TODAY()-40)*([1]!Tabel1[[#This Row],[Er i resplan?]]&lt;&gt;"Ja")*([1]!Tabel1[[#This Row],[Status]]="Pågår")</f>
        <v>0</v>
      </c>
      <c r="AG808" s="12">
        <f ca="1">[1]!Tabel1[[#This Row],[Vægtet Honorar]]*([1]!Tabel1[[#This Row],[Sidst redigeret]]&gt;TODAY()-40)*([1]!Tabel1[[#This Row],[Status]]="Pågår")</f>
        <v>0</v>
      </c>
      <c r="AH808" s="13"/>
      <c r="AI808" s="12" t="s">
        <v>1015</v>
      </c>
      <c r="AJ808" s="12" t="s">
        <v>2917</v>
      </c>
      <c r="AK808" s="12" t="s">
        <v>1015</v>
      </c>
      <c r="AL808" s="12"/>
      <c r="AM808" s="12"/>
      <c r="AN808" s="12"/>
      <c r="AO808" s="12"/>
      <c r="AP808" s="12"/>
    </row>
    <row r="809" spans="1:42" ht="60">
      <c r="A809" t="s">
        <v>2918</v>
      </c>
      <c r="B809" s="8"/>
      <c r="C809" s="8" t="s">
        <v>2919</v>
      </c>
      <c r="D809" s="8" t="s">
        <v>2722</v>
      </c>
      <c r="E809" s="8" t="s">
        <v>71</v>
      </c>
      <c r="F809" s="8" t="s">
        <v>2920</v>
      </c>
      <c r="G809" s="8" t="s">
        <v>2920</v>
      </c>
      <c r="H809" s="9">
        <v>60000</v>
      </c>
      <c r="I809" s="9">
        <f>[1]!Tabel1[[#This Row],[Honorar]]*[1]!Tabel1[[#This Row],[Sandsynlighed]]</f>
        <v>350000</v>
      </c>
      <c r="J809" s="10" t="s">
        <v>452</v>
      </c>
      <c r="K809" s="10" t="s">
        <v>612</v>
      </c>
      <c r="L809" s="17" t="s">
        <v>2921</v>
      </c>
      <c r="M809" s="11">
        <v>1</v>
      </c>
      <c r="N809" s="1"/>
      <c r="O809" s="10">
        <v>46279.611921296295</v>
      </c>
      <c r="P809" s="10"/>
      <c r="Q809" s="1" t="s">
        <v>46</v>
      </c>
      <c r="R809" s="8" t="s">
        <v>47</v>
      </c>
      <c r="S80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0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0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0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0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0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0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0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0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0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0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0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0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09" s="12">
        <f ca="1">[1]!Tabel1[[#This Row],[Vægtet Honorar]]*([1]!Tabel1[[#This Row],[Sidst redigeret]]&gt;TODAY()-40)*([1]!Tabel1[[#This Row],[Er i resplan?]]&lt;&gt;"Ja")*([1]!Tabel1[[#This Row],[Status]]="Pågår")</f>
        <v>0</v>
      </c>
      <c r="AG809" s="12">
        <f ca="1">[1]!Tabel1[[#This Row],[Vægtet Honorar]]*([1]!Tabel1[[#This Row],[Sidst redigeret]]&gt;TODAY()-40)*([1]!Tabel1[[#This Row],[Status]]="Pågår")</f>
        <v>0</v>
      </c>
      <c r="AH809" s="13"/>
      <c r="AI809" s="12"/>
      <c r="AJ809" s="12"/>
      <c r="AK809" s="12"/>
      <c r="AL809" s="12"/>
      <c r="AM809" s="12"/>
      <c r="AN809" s="12"/>
      <c r="AO809" s="12"/>
      <c r="AP809" s="12"/>
    </row>
    <row r="810" spans="1:42">
      <c r="A810" t="s">
        <v>2922</v>
      </c>
      <c r="B810" s="8"/>
      <c r="C810" s="8" t="s">
        <v>2923</v>
      </c>
      <c r="D810" s="8" t="s">
        <v>2886</v>
      </c>
      <c r="E810" s="8" t="s">
        <v>120</v>
      </c>
      <c r="F810" s="8" t="s">
        <v>721</v>
      </c>
      <c r="G810" s="8" t="s">
        <v>2924</v>
      </c>
      <c r="H810" s="9">
        <v>4000000</v>
      </c>
      <c r="I810" s="9">
        <f>[1]!Tabel1[[#This Row],[Honorar]]*[1]!Tabel1[[#This Row],[Sandsynlighed]]</f>
        <v>350000</v>
      </c>
      <c r="J810" s="10" t="s">
        <v>1061</v>
      </c>
      <c r="K810" s="10" t="s">
        <v>1323</v>
      </c>
      <c r="L810" s="17"/>
      <c r="M810" s="11">
        <v>0.05</v>
      </c>
      <c r="N810" s="1">
        <v>3870</v>
      </c>
      <c r="O810" s="10">
        <v>46279.611921296295</v>
      </c>
      <c r="P810" s="10"/>
      <c r="Q810" s="1" t="s">
        <v>72</v>
      </c>
      <c r="R810" s="8" t="s">
        <v>343</v>
      </c>
      <c r="S81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1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1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1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1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1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1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1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1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1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1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1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1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10" s="12">
        <f ca="1">[1]!Tabel1[[#This Row],[Vægtet Honorar]]*([1]!Tabel1[[#This Row],[Sidst redigeret]]&gt;TODAY()-40)*([1]!Tabel1[[#This Row],[Er i resplan?]]&lt;&gt;"Ja")*([1]!Tabel1[[#This Row],[Status]]="Pågår")</f>
        <v>0</v>
      </c>
      <c r="AG810" s="12">
        <f ca="1">[1]!Tabel1[[#This Row],[Vægtet Honorar]]*([1]!Tabel1[[#This Row],[Sidst redigeret]]&gt;TODAY()-40)*([1]!Tabel1[[#This Row],[Status]]="Pågår")</f>
        <v>0</v>
      </c>
      <c r="AH810" s="13"/>
      <c r="AI810" s="12" t="s">
        <v>1592</v>
      </c>
      <c r="AJ810" s="12" t="s">
        <v>2895</v>
      </c>
      <c r="AK810" s="12" t="s">
        <v>1015</v>
      </c>
      <c r="AL810" s="12"/>
      <c r="AM810" s="12"/>
      <c r="AN810" s="12"/>
      <c r="AO810" s="12"/>
      <c r="AP810" s="12"/>
    </row>
    <row r="811" spans="1:42" ht="60">
      <c r="A811" t="s">
        <v>2925</v>
      </c>
      <c r="B811" s="8">
        <v>242740</v>
      </c>
      <c r="C811" s="8" t="s">
        <v>2926</v>
      </c>
      <c r="D811" s="8" t="s">
        <v>720</v>
      </c>
      <c r="E811" s="8" t="s">
        <v>71</v>
      </c>
      <c r="F811" s="8" t="s">
        <v>788</v>
      </c>
      <c r="G811" s="8" t="s">
        <v>788</v>
      </c>
      <c r="H811" s="9">
        <v>150000</v>
      </c>
      <c r="I811" s="9">
        <f>[1]!Tabel1[[#This Row],[Honorar]]*[1]!Tabel1[[#This Row],[Sandsynlighed]]</f>
        <v>38500</v>
      </c>
      <c r="J811" s="10" t="s">
        <v>452</v>
      </c>
      <c r="K811" s="10" t="s">
        <v>612</v>
      </c>
      <c r="L811" s="17" t="s">
        <v>2927</v>
      </c>
      <c r="M811" s="11">
        <v>0.33</v>
      </c>
      <c r="N811" s="1"/>
      <c r="O811" s="10">
        <v>46279.611921296295</v>
      </c>
      <c r="P811" s="10"/>
      <c r="Q811" s="1" t="s">
        <v>46</v>
      </c>
      <c r="R811" s="8" t="s">
        <v>47</v>
      </c>
      <c r="S81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1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1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1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1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1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1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1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1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1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1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1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1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11" s="12">
        <f ca="1">[1]!Tabel1[[#This Row],[Vægtet Honorar]]*([1]!Tabel1[[#This Row],[Sidst redigeret]]&gt;TODAY()-40)*([1]!Tabel1[[#This Row],[Er i resplan?]]&lt;&gt;"Ja")*([1]!Tabel1[[#This Row],[Status]]="Pågår")</f>
        <v>38500</v>
      </c>
      <c r="AG811" s="12">
        <f ca="1">[1]!Tabel1[[#This Row],[Vægtet Honorar]]*([1]!Tabel1[[#This Row],[Sidst redigeret]]&gt;TODAY()-40)*([1]!Tabel1[[#This Row],[Status]]="Pågår")</f>
        <v>38500</v>
      </c>
      <c r="AH811" s="13"/>
      <c r="AI811" s="12"/>
      <c r="AJ811" s="12"/>
      <c r="AK811" s="12"/>
      <c r="AL811" s="12"/>
      <c r="AM811" s="12"/>
      <c r="AN811" s="12"/>
      <c r="AO811" s="12"/>
      <c r="AP811" s="12"/>
    </row>
    <row r="812" spans="1:42" ht="77.25">
      <c r="A812" t="s">
        <v>2928</v>
      </c>
      <c r="B812" s="8"/>
      <c r="C812" s="8" t="s">
        <v>2929</v>
      </c>
      <c r="D812" s="8" t="s">
        <v>720</v>
      </c>
      <c r="E812" s="8" t="s">
        <v>71</v>
      </c>
      <c r="F812" s="8" t="s">
        <v>543</v>
      </c>
      <c r="G812" s="8" t="s">
        <v>1100</v>
      </c>
      <c r="H812" s="9">
        <v>10000000</v>
      </c>
      <c r="I812" s="9">
        <f>[1]!Tabel1[[#This Row],[Honorar]]*[1]!Tabel1[[#This Row],[Sandsynlighed]]</f>
        <v>200000</v>
      </c>
      <c r="J812" s="10" t="s">
        <v>329</v>
      </c>
      <c r="K812" s="10" t="s">
        <v>342</v>
      </c>
      <c r="L812" s="18" t="s">
        <v>2930</v>
      </c>
      <c r="M812" s="11">
        <v>0.01</v>
      </c>
      <c r="N812" s="1">
        <v>10000</v>
      </c>
      <c r="O812" s="10">
        <v>46279.611921296295</v>
      </c>
      <c r="P812" s="10"/>
      <c r="Q812" s="1" t="s">
        <v>72</v>
      </c>
      <c r="R812" s="8" t="s">
        <v>343</v>
      </c>
      <c r="S81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1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1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1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1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1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1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1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1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1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1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1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1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12" s="12">
        <f ca="1">[1]!Tabel1[[#This Row],[Vægtet Honorar]]*([1]!Tabel1[[#This Row],[Sidst redigeret]]&gt;TODAY()-40)*([1]!Tabel1[[#This Row],[Er i resplan?]]&lt;&gt;"Ja")*([1]!Tabel1[[#This Row],[Status]]="Pågår")</f>
        <v>0</v>
      </c>
      <c r="AG812" s="12">
        <f ca="1">[1]!Tabel1[[#This Row],[Vægtet Honorar]]*([1]!Tabel1[[#This Row],[Sidst redigeret]]&gt;TODAY()-40)*([1]!Tabel1[[#This Row],[Status]]="Pågår")</f>
        <v>0</v>
      </c>
      <c r="AH812" s="13"/>
      <c r="AI812" s="12" t="s">
        <v>1100</v>
      </c>
      <c r="AJ812" s="12" t="s">
        <v>2393</v>
      </c>
      <c r="AK812" s="12" t="s">
        <v>2931</v>
      </c>
      <c r="AL812" s="12" t="s">
        <v>2932</v>
      </c>
      <c r="AM812" s="12"/>
      <c r="AN812" s="12" t="s">
        <v>2930</v>
      </c>
      <c r="AO812" s="12"/>
      <c r="AP812" s="12"/>
    </row>
    <row r="813" spans="1:42">
      <c r="A813" t="s">
        <v>2933</v>
      </c>
      <c r="B813" s="8"/>
      <c r="C813" s="8" t="s">
        <v>2934</v>
      </c>
      <c r="D813" s="8" t="s">
        <v>859</v>
      </c>
      <c r="E813" s="8" t="s">
        <v>71</v>
      </c>
      <c r="F813" s="8" t="s">
        <v>902</v>
      </c>
      <c r="G813" s="8" t="s">
        <v>902</v>
      </c>
      <c r="H813" s="9">
        <v>180000</v>
      </c>
      <c r="I813" s="9">
        <f>[1]!Tabel1[[#This Row],[Honorar]]*[1]!Tabel1[[#This Row],[Sandsynlighed]]</f>
        <v>200000</v>
      </c>
      <c r="J813" s="10" t="s">
        <v>452</v>
      </c>
      <c r="K813" s="10" t="s">
        <v>612</v>
      </c>
      <c r="L813" s="17"/>
      <c r="M813" s="11">
        <v>1</v>
      </c>
      <c r="N813" s="1"/>
      <c r="O813" s="10">
        <v>46279.611921296295</v>
      </c>
      <c r="P813" s="10"/>
      <c r="Q813" s="1" t="s">
        <v>46</v>
      </c>
      <c r="R813" s="8" t="s">
        <v>47</v>
      </c>
      <c r="S81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1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1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1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1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1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1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1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1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1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1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1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1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13" s="12">
        <f ca="1">[1]!Tabel1[[#This Row],[Vægtet Honorar]]*([1]!Tabel1[[#This Row],[Sidst redigeret]]&gt;TODAY()-40)*([1]!Tabel1[[#This Row],[Er i resplan?]]&lt;&gt;"Ja")*([1]!Tabel1[[#This Row],[Status]]="Pågår")</f>
        <v>0</v>
      </c>
      <c r="AG813" s="12">
        <f ca="1">[1]!Tabel1[[#This Row],[Vægtet Honorar]]*([1]!Tabel1[[#This Row],[Sidst redigeret]]&gt;TODAY()-40)*([1]!Tabel1[[#This Row],[Status]]="Pågår")</f>
        <v>0</v>
      </c>
      <c r="AH813" s="13"/>
      <c r="AI813" s="12"/>
      <c r="AJ813" s="12"/>
      <c r="AK813" s="12"/>
      <c r="AL813" s="12"/>
      <c r="AM813" s="12"/>
      <c r="AN813" s="12"/>
      <c r="AO813" s="12"/>
      <c r="AP813" s="12"/>
    </row>
    <row r="814" spans="1:42" ht="60">
      <c r="A814" t="s">
        <v>2935</v>
      </c>
      <c r="B814" s="8"/>
      <c r="C814" s="8" t="s">
        <v>2936</v>
      </c>
      <c r="D814" s="8" t="s">
        <v>2722</v>
      </c>
      <c r="E814" s="8" t="s">
        <v>71</v>
      </c>
      <c r="F814" s="8" t="s">
        <v>2937</v>
      </c>
      <c r="G814" s="8" t="s">
        <v>2937</v>
      </c>
      <c r="H814" s="9">
        <v>50000</v>
      </c>
      <c r="I814" s="9">
        <f>[1]!Tabel1[[#This Row],[Honorar]]*[1]!Tabel1[[#This Row],[Sandsynlighed]]</f>
        <v>60000</v>
      </c>
      <c r="J814" s="10" t="s">
        <v>328</v>
      </c>
      <c r="K814" s="10" t="s">
        <v>452</v>
      </c>
      <c r="L814" s="17" t="s">
        <v>2921</v>
      </c>
      <c r="M814" s="11">
        <v>1</v>
      </c>
      <c r="N814" s="1"/>
      <c r="O814" s="10">
        <v>46279.611921296295</v>
      </c>
      <c r="P814" s="10"/>
      <c r="Q814" s="1" t="s">
        <v>46</v>
      </c>
      <c r="R814" s="8" t="s">
        <v>47</v>
      </c>
      <c r="S81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1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1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1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1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1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1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1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1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1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1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1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1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14" s="12">
        <f ca="1">[1]!Tabel1[[#This Row],[Vægtet Honorar]]*([1]!Tabel1[[#This Row],[Sidst redigeret]]&gt;TODAY()-40)*([1]!Tabel1[[#This Row],[Er i resplan?]]&lt;&gt;"Ja")*([1]!Tabel1[[#This Row],[Status]]="Pågår")</f>
        <v>0</v>
      </c>
      <c r="AG814" s="12">
        <f ca="1">[1]!Tabel1[[#This Row],[Vægtet Honorar]]*([1]!Tabel1[[#This Row],[Sidst redigeret]]&gt;TODAY()-40)*([1]!Tabel1[[#This Row],[Status]]="Pågår")</f>
        <v>0</v>
      </c>
      <c r="AH814" s="13"/>
      <c r="AI814" s="12"/>
      <c r="AJ814" s="12"/>
      <c r="AK814" s="12"/>
      <c r="AL814" s="12"/>
      <c r="AM814" s="12"/>
      <c r="AN814" s="12"/>
      <c r="AO814" s="12"/>
      <c r="AP814" s="12"/>
    </row>
    <row r="815" spans="1:42">
      <c r="A815" t="s">
        <v>2938</v>
      </c>
      <c r="B815" s="8"/>
      <c r="C815" s="8" t="s">
        <v>2939</v>
      </c>
      <c r="D815" s="8" t="s">
        <v>435</v>
      </c>
      <c r="E815" s="8" t="s">
        <v>167</v>
      </c>
      <c r="F815" s="8" t="s">
        <v>2940</v>
      </c>
      <c r="G815" s="8" t="s">
        <v>2940</v>
      </c>
      <c r="H815" s="9">
        <v>15000</v>
      </c>
      <c r="I815" s="9">
        <f>[1]!Tabel1[[#This Row],[Honorar]]*[1]!Tabel1[[#This Row],[Sandsynlighed]]</f>
        <v>200000</v>
      </c>
      <c r="J815" s="10" t="s">
        <v>452</v>
      </c>
      <c r="K815" s="10" t="s">
        <v>452</v>
      </c>
      <c r="L815" s="17"/>
      <c r="M815" s="11">
        <v>0.5</v>
      </c>
      <c r="N815" s="1">
        <v>21</v>
      </c>
      <c r="O815" s="10">
        <v>46279.611921296295</v>
      </c>
      <c r="P815" s="10"/>
      <c r="Q815" s="1" t="s">
        <v>46</v>
      </c>
      <c r="R815" s="8" t="s">
        <v>343</v>
      </c>
      <c r="S81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1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1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1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1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1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1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1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1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1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1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1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1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15" s="12">
        <f ca="1">[1]!Tabel1[[#This Row],[Vægtet Honorar]]*([1]!Tabel1[[#This Row],[Sidst redigeret]]&gt;TODAY()-40)*([1]!Tabel1[[#This Row],[Er i resplan?]]&lt;&gt;"Ja")*([1]!Tabel1[[#This Row],[Status]]="Pågår")</f>
        <v>200000</v>
      </c>
      <c r="AG815" s="12">
        <f ca="1">[1]!Tabel1[[#This Row],[Vægtet Honorar]]*([1]!Tabel1[[#This Row],[Sidst redigeret]]&gt;TODAY()-40)*([1]!Tabel1[[#This Row],[Status]]="Pågår")</f>
        <v>200000</v>
      </c>
      <c r="AH815" s="13"/>
      <c r="AI815" s="12"/>
      <c r="AJ815" s="12"/>
      <c r="AK815" s="12"/>
      <c r="AL815" s="12"/>
      <c r="AM815" s="12"/>
      <c r="AN815" s="12"/>
      <c r="AO815" s="12"/>
      <c r="AP815" s="12"/>
    </row>
    <row r="816" spans="1:42" ht="75">
      <c r="A816" t="s">
        <v>2941</v>
      </c>
      <c r="B816" s="8"/>
      <c r="C816" s="8" t="s">
        <v>2942</v>
      </c>
      <c r="D816" s="8" t="s">
        <v>2886</v>
      </c>
      <c r="E816" s="8" t="s">
        <v>120</v>
      </c>
      <c r="F816" s="8" t="s">
        <v>2943</v>
      </c>
      <c r="G816" s="8" t="s">
        <v>2917</v>
      </c>
      <c r="H816" s="9">
        <v>1000000</v>
      </c>
      <c r="I816" s="9">
        <f>[1]!Tabel1[[#This Row],[Honorar]]*[1]!Tabel1[[#This Row],[Sandsynlighed]]</f>
        <v>49500</v>
      </c>
      <c r="J816" s="10" t="s">
        <v>612</v>
      </c>
      <c r="K816" s="10" t="s">
        <v>1287</v>
      </c>
      <c r="L816" s="17"/>
      <c r="M816" s="11">
        <v>0.05</v>
      </c>
      <c r="N816" s="1">
        <v>1000</v>
      </c>
      <c r="O816" s="10">
        <v>46279.611921296295</v>
      </c>
      <c r="P816" s="10"/>
      <c r="Q816" s="1" t="s">
        <v>72</v>
      </c>
      <c r="R816" s="8" t="s">
        <v>75</v>
      </c>
      <c r="S81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1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1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1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1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1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1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1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1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1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1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1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1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16" s="12">
        <f ca="1">[1]!Tabel1[[#This Row],[Vægtet Honorar]]*([1]!Tabel1[[#This Row],[Sidst redigeret]]&gt;TODAY()-40)*([1]!Tabel1[[#This Row],[Er i resplan?]]&lt;&gt;"Ja")*([1]!Tabel1[[#This Row],[Status]]="Pågår")</f>
        <v>0</v>
      </c>
      <c r="AG816" s="12">
        <f ca="1">[1]!Tabel1[[#This Row],[Vægtet Honorar]]*([1]!Tabel1[[#This Row],[Sidst redigeret]]&gt;TODAY()-40)*([1]!Tabel1[[#This Row],[Status]]="Pågår")</f>
        <v>0</v>
      </c>
      <c r="AH816" s="13"/>
      <c r="AI816" s="12"/>
      <c r="AJ816" s="12" t="s">
        <v>2944</v>
      </c>
      <c r="AK816" s="12"/>
      <c r="AL816" s="12"/>
      <c r="AM816" s="12"/>
      <c r="AN816" s="19" t="s">
        <v>2945</v>
      </c>
      <c r="AO816" s="12">
        <v>45525</v>
      </c>
      <c r="AP816" s="12"/>
    </row>
    <row r="817" spans="1:42" ht="120">
      <c r="A817" t="s">
        <v>2946</v>
      </c>
      <c r="B817" s="8"/>
      <c r="C817" s="8" t="s">
        <v>2947</v>
      </c>
      <c r="D817" s="8" t="s">
        <v>707</v>
      </c>
      <c r="E817" s="8" t="s">
        <v>94</v>
      </c>
      <c r="F817" s="8" t="s">
        <v>2948</v>
      </c>
      <c r="G817" s="8" t="s">
        <v>2949</v>
      </c>
      <c r="H817" s="9">
        <v>750000</v>
      </c>
      <c r="I817" s="9">
        <f>[1]!Tabel1[[#This Row],[Honorar]]*[1]!Tabel1[[#This Row],[Sandsynlighed]]</f>
        <v>100000</v>
      </c>
      <c r="J817" s="10" t="s">
        <v>341</v>
      </c>
      <c r="K817" s="10" t="s">
        <v>585</v>
      </c>
      <c r="L817" s="17" t="s">
        <v>2950</v>
      </c>
      <c r="M817" s="11">
        <v>0.15</v>
      </c>
      <c r="N817" s="1">
        <v>12000</v>
      </c>
      <c r="O817" s="10">
        <v>46279.611921296295</v>
      </c>
      <c r="P817" s="1" t="s">
        <v>72</v>
      </c>
      <c r="Q817" s="1" t="s">
        <v>72</v>
      </c>
      <c r="R817" s="8" t="s">
        <v>49</v>
      </c>
      <c r="S81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1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1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1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1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1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1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1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1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1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1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1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1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17" s="12">
        <f ca="1">[1]!Tabel1[[#This Row],[Vægtet Honorar]]*([1]!Tabel1[[#This Row],[Sidst redigeret]]&gt;TODAY()-40)*([1]!Tabel1[[#This Row],[Er i resplan?]]&lt;&gt;"Ja")*([1]!Tabel1[[#This Row],[Status]]="Pågår")</f>
        <v>100000</v>
      </c>
      <c r="AG817" s="12">
        <f ca="1">[1]!Tabel1[[#This Row],[Vægtet Honorar]]*([1]!Tabel1[[#This Row],[Sidst redigeret]]&gt;TODAY()-40)*([1]!Tabel1[[#This Row],[Status]]="Pågår")</f>
        <v>100000</v>
      </c>
      <c r="AH817" s="13"/>
      <c r="AI817" s="12"/>
      <c r="AJ817" s="12"/>
      <c r="AK817" s="12"/>
      <c r="AL817" s="12"/>
      <c r="AM817" s="12"/>
      <c r="AN817" s="12"/>
      <c r="AO817" s="12"/>
      <c r="AP817" s="12"/>
    </row>
    <row r="818" spans="1:42">
      <c r="A818" t="s">
        <v>2951</v>
      </c>
      <c r="B818" s="8"/>
      <c r="C818" s="8" t="s">
        <v>2952</v>
      </c>
      <c r="D818" s="8" t="s">
        <v>435</v>
      </c>
      <c r="E818" s="8" t="s">
        <v>167</v>
      </c>
      <c r="F818" s="8" t="s">
        <v>2952</v>
      </c>
      <c r="G818" s="8" t="s">
        <v>2953</v>
      </c>
      <c r="H818" s="9">
        <v>1</v>
      </c>
      <c r="I818" s="9">
        <f>[1]!Tabel1[[#This Row],[Honorar]]*[1]!Tabel1[[#This Row],[Sandsynlighed]]</f>
        <v>180000</v>
      </c>
      <c r="J818" s="10" t="s">
        <v>452</v>
      </c>
      <c r="K818" s="10" t="s">
        <v>612</v>
      </c>
      <c r="L818" s="17"/>
      <c r="M818" s="11">
        <v>0.8</v>
      </c>
      <c r="N818" s="1">
        <v>1</v>
      </c>
      <c r="O818" s="10">
        <v>46279.611921296295</v>
      </c>
      <c r="P818" s="10"/>
      <c r="Q818" s="1" t="s">
        <v>72</v>
      </c>
      <c r="R818" s="8" t="s">
        <v>343</v>
      </c>
      <c r="S81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1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1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1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1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1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1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1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1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1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1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1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1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18" s="12">
        <f ca="1">[1]!Tabel1[[#This Row],[Vægtet Honorar]]*([1]!Tabel1[[#This Row],[Sidst redigeret]]&gt;TODAY()-40)*([1]!Tabel1[[#This Row],[Er i resplan?]]&lt;&gt;"Ja")*([1]!Tabel1[[#This Row],[Status]]="Pågår")</f>
        <v>0</v>
      </c>
      <c r="AG818" s="12">
        <f ca="1">[1]!Tabel1[[#This Row],[Vægtet Honorar]]*([1]!Tabel1[[#This Row],[Sidst redigeret]]&gt;TODAY()-40)*([1]!Tabel1[[#This Row],[Status]]="Pågår")</f>
        <v>0</v>
      </c>
      <c r="AH818" s="13"/>
      <c r="AI818" s="12"/>
      <c r="AJ818" s="12"/>
      <c r="AK818" s="12"/>
      <c r="AL818" s="12"/>
      <c r="AM818" s="12"/>
      <c r="AN818" s="12"/>
      <c r="AO818" s="12"/>
      <c r="AP818" s="12"/>
    </row>
    <row r="819" spans="1:42">
      <c r="A819" t="s">
        <v>2954</v>
      </c>
      <c r="B819" s="8"/>
      <c r="C819" s="8" t="s">
        <v>2955</v>
      </c>
      <c r="D819" s="8" t="s">
        <v>720</v>
      </c>
      <c r="E819" s="8" t="s">
        <v>71</v>
      </c>
      <c r="F819" s="8" t="s">
        <v>671</v>
      </c>
      <c r="G819" s="8" t="s">
        <v>1166</v>
      </c>
      <c r="H819" s="9">
        <v>750000</v>
      </c>
      <c r="I819" s="9">
        <f>[1]!Tabel1[[#This Row],[Honorar]]*[1]!Tabel1[[#This Row],[Sandsynlighed]]</f>
        <v>50000</v>
      </c>
      <c r="J819" s="10" t="s">
        <v>452</v>
      </c>
      <c r="K819" s="10" t="s">
        <v>1287</v>
      </c>
      <c r="L819" s="17"/>
      <c r="M819" s="11">
        <v>0.05</v>
      </c>
      <c r="N819" s="1">
        <v>500</v>
      </c>
      <c r="O819" s="10">
        <v>46279.611921296295</v>
      </c>
      <c r="P819" s="10"/>
      <c r="Q819" s="1" t="s">
        <v>72</v>
      </c>
      <c r="R819" s="8" t="s">
        <v>343</v>
      </c>
      <c r="S81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1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1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1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1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1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1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1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1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1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1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1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1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19" s="12">
        <f ca="1">[1]!Tabel1[[#This Row],[Vægtet Honorar]]*([1]!Tabel1[[#This Row],[Sidst redigeret]]&gt;TODAY()-40)*([1]!Tabel1[[#This Row],[Er i resplan?]]&lt;&gt;"Ja")*([1]!Tabel1[[#This Row],[Status]]="Pågår")</f>
        <v>0</v>
      </c>
      <c r="AG819" s="12">
        <f ca="1">[1]!Tabel1[[#This Row],[Vægtet Honorar]]*([1]!Tabel1[[#This Row],[Sidst redigeret]]&gt;TODAY()-40)*([1]!Tabel1[[#This Row],[Status]]="Pågår")</f>
        <v>0</v>
      </c>
      <c r="AH819" s="13"/>
      <c r="AI819" s="12"/>
      <c r="AJ819" s="12"/>
      <c r="AK819" s="12"/>
      <c r="AL819" s="12"/>
      <c r="AM819" s="12"/>
      <c r="AN819" s="12"/>
      <c r="AO819" s="12"/>
      <c r="AP819" s="12"/>
    </row>
    <row r="820" spans="1:42">
      <c r="A820" t="s">
        <v>2956</v>
      </c>
      <c r="B820" s="8"/>
      <c r="C820" s="8" t="s">
        <v>2957</v>
      </c>
      <c r="D820" s="8" t="s">
        <v>2886</v>
      </c>
      <c r="E820" s="8" t="s">
        <v>120</v>
      </c>
      <c r="F820" s="8" t="s">
        <v>2958</v>
      </c>
      <c r="G820" s="8" t="s">
        <v>2959</v>
      </c>
      <c r="H820" s="9">
        <v>3000000</v>
      </c>
      <c r="I820" s="9">
        <f>[1]!Tabel1[[#This Row],[Honorar]]*[1]!Tabel1[[#This Row],[Sandsynlighed]]</f>
        <v>7500</v>
      </c>
      <c r="J820" s="10" t="s">
        <v>612</v>
      </c>
      <c r="K820" s="10" t="s">
        <v>585</v>
      </c>
      <c r="L820" s="17"/>
      <c r="M820" s="11">
        <v>0.05</v>
      </c>
      <c r="N820" s="1">
        <v>8554</v>
      </c>
      <c r="O820" s="10">
        <v>46279.611921296295</v>
      </c>
      <c r="P820" s="10"/>
      <c r="Q820" s="1" t="s">
        <v>72</v>
      </c>
      <c r="R820" s="8" t="s">
        <v>49</v>
      </c>
      <c r="S82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2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2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2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2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2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2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2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2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2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2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2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2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20" s="12">
        <f ca="1">[1]!Tabel1[[#This Row],[Vægtet Honorar]]*([1]!Tabel1[[#This Row],[Sidst redigeret]]&gt;TODAY()-40)*([1]!Tabel1[[#This Row],[Er i resplan?]]&lt;&gt;"Ja")*([1]!Tabel1[[#This Row],[Status]]="Pågår")</f>
        <v>0</v>
      </c>
      <c r="AG820" s="12">
        <f ca="1">[1]!Tabel1[[#This Row],[Vægtet Honorar]]*([1]!Tabel1[[#This Row],[Sidst redigeret]]&gt;TODAY()-40)*([1]!Tabel1[[#This Row],[Status]]="Pågår")</f>
        <v>7500</v>
      </c>
      <c r="AH820" s="13"/>
      <c r="AI820" s="12" t="s">
        <v>2959</v>
      </c>
      <c r="AJ820" s="12" t="s">
        <v>2917</v>
      </c>
      <c r="AK820" s="12"/>
      <c r="AL820" s="12"/>
      <c r="AM820" s="12"/>
      <c r="AN820" s="12"/>
      <c r="AO820" s="12">
        <v>45512</v>
      </c>
      <c r="AP820" s="12"/>
    </row>
    <row r="821" spans="1:42">
      <c r="A821" t="s">
        <v>2960</v>
      </c>
      <c r="B821" s="8"/>
      <c r="C821" s="8" t="s">
        <v>2961</v>
      </c>
      <c r="D821" s="8" t="s">
        <v>2886</v>
      </c>
      <c r="E821" s="8" t="s">
        <v>120</v>
      </c>
      <c r="F821" s="8" t="s">
        <v>2962</v>
      </c>
      <c r="G821" s="8" t="s">
        <v>2963</v>
      </c>
      <c r="H821" s="9">
        <v>2500000</v>
      </c>
      <c r="I821" s="9">
        <f>[1]!Tabel1[[#This Row],[Honorar]]*[1]!Tabel1[[#This Row],[Sandsynlighed]]</f>
        <v>50000</v>
      </c>
      <c r="J821" s="10" t="s">
        <v>452</v>
      </c>
      <c r="K821" s="10" t="s">
        <v>585</v>
      </c>
      <c r="L821" s="17"/>
      <c r="M821" s="11">
        <v>0.1</v>
      </c>
      <c r="N821" s="1">
        <v>5800</v>
      </c>
      <c r="O821" s="10">
        <v>46279.611921296295</v>
      </c>
      <c r="P821" s="10"/>
      <c r="Q821" s="1" t="s">
        <v>46</v>
      </c>
      <c r="R821" s="8" t="s">
        <v>75</v>
      </c>
      <c r="S82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2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2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2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2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2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2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2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2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2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2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2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2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21" s="12">
        <f ca="1">[1]!Tabel1[[#This Row],[Vægtet Honorar]]*([1]!Tabel1[[#This Row],[Sidst redigeret]]&gt;TODAY()-40)*([1]!Tabel1[[#This Row],[Er i resplan?]]&lt;&gt;"Ja")*([1]!Tabel1[[#This Row],[Status]]="Pågår")</f>
        <v>0</v>
      </c>
      <c r="AG821" s="12">
        <f ca="1">[1]!Tabel1[[#This Row],[Vægtet Honorar]]*([1]!Tabel1[[#This Row],[Sidst redigeret]]&gt;TODAY()-40)*([1]!Tabel1[[#This Row],[Status]]="Pågår")</f>
        <v>0</v>
      </c>
      <c r="AH821" s="13"/>
      <c r="AI821" s="12"/>
      <c r="AJ821" s="12" t="s">
        <v>2944</v>
      </c>
      <c r="AK821" s="12" t="s">
        <v>2963</v>
      </c>
      <c r="AL821" s="12"/>
      <c r="AM821" s="12"/>
      <c r="AN821" s="12"/>
      <c r="AO821" s="12"/>
      <c r="AP821" s="12"/>
    </row>
    <row r="822" spans="1:42" ht="30">
      <c r="A822" t="s">
        <v>2964</v>
      </c>
      <c r="B822" s="8"/>
      <c r="C822" s="8" t="s">
        <v>2965</v>
      </c>
      <c r="D822" s="8" t="s">
        <v>57</v>
      </c>
      <c r="E822" s="8" t="s">
        <v>94</v>
      </c>
      <c r="F822" s="8" t="s">
        <v>589</v>
      </c>
      <c r="G822" s="8" t="s">
        <v>589</v>
      </c>
      <c r="H822" s="9">
        <v>10000000</v>
      </c>
      <c r="I822" s="9">
        <f>[1]!Tabel1[[#This Row],[Honorar]]*[1]!Tabel1[[#This Row],[Sandsynlighed]]</f>
        <v>112500</v>
      </c>
      <c r="J822" s="10" t="s">
        <v>1061</v>
      </c>
      <c r="K822" s="10" t="s">
        <v>2105</v>
      </c>
      <c r="L822" s="17" t="s">
        <v>2966</v>
      </c>
      <c r="M822" s="11">
        <v>0.01</v>
      </c>
      <c r="N822" s="1" t="s">
        <v>1015</v>
      </c>
      <c r="O822" s="10">
        <v>46279.611921296295</v>
      </c>
      <c r="P822" s="1" t="s">
        <v>72</v>
      </c>
      <c r="Q822" s="1" t="s">
        <v>72</v>
      </c>
      <c r="R822" s="8" t="s">
        <v>49</v>
      </c>
      <c r="S82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2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2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2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2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2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2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2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2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2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2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2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2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22" s="12">
        <f ca="1">[1]!Tabel1[[#This Row],[Vægtet Honorar]]*([1]!Tabel1[[#This Row],[Sidst redigeret]]&gt;TODAY()-40)*([1]!Tabel1[[#This Row],[Er i resplan?]]&lt;&gt;"Ja")*([1]!Tabel1[[#This Row],[Status]]="Pågår")</f>
        <v>0</v>
      </c>
      <c r="AG822" s="12">
        <f ca="1">[1]!Tabel1[[#This Row],[Vægtet Honorar]]*([1]!Tabel1[[#This Row],[Sidst redigeret]]&gt;TODAY()-40)*([1]!Tabel1[[#This Row],[Status]]="Pågår")</f>
        <v>0</v>
      </c>
      <c r="AH822" s="13"/>
      <c r="AI822" s="12"/>
      <c r="AJ822" s="12" t="s">
        <v>2967</v>
      </c>
      <c r="AK822" s="12" t="s">
        <v>1213</v>
      </c>
      <c r="AL822" s="12"/>
      <c r="AM822" s="12"/>
      <c r="AN822" s="12"/>
      <c r="AO822" s="12"/>
      <c r="AP822" s="12"/>
    </row>
    <row r="823" spans="1:42">
      <c r="A823" t="s">
        <v>2968</v>
      </c>
      <c r="B823" s="8"/>
      <c r="C823" s="8" t="s">
        <v>2969</v>
      </c>
      <c r="D823" s="8" t="s">
        <v>725</v>
      </c>
      <c r="E823" s="8" t="s">
        <v>120</v>
      </c>
      <c r="F823" s="8"/>
      <c r="G823" s="8" t="s">
        <v>2970</v>
      </c>
      <c r="H823" s="9">
        <v>500000</v>
      </c>
      <c r="I823" s="9">
        <f>[1]!Tabel1[[#This Row],[Honorar]]*[1]!Tabel1[[#This Row],[Sandsynlighed]]</f>
        <v>0.8</v>
      </c>
      <c r="J823" s="10" t="s">
        <v>1061</v>
      </c>
      <c r="K823" s="10" t="s">
        <v>2105</v>
      </c>
      <c r="L823" s="17"/>
      <c r="M823" s="11">
        <v>0.75</v>
      </c>
      <c r="N823" s="1">
        <v>11000</v>
      </c>
      <c r="O823" s="10">
        <v>46279.611921296295</v>
      </c>
      <c r="P823" s="10"/>
      <c r="Q823" s="1" t="s">
        <v>46</v>
      </c>
      <c r="R823" s="8" t="s">
        <v>47</v>
      </c>
      <c r="S82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2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2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2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2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2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2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2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2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2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2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2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2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23" s="12">
        <f ca="1">[1]!Tabel1[[#This Row],[Vægtet Honorar]]*([1]!Tabel1[[#This Row],[Sidst redigeret]]&gt;TODAY()-40)*([1]!Tabel1[[#This Row],[Er i resplan?]]&lt;&gt;"Ja")*([1]!Tabel1[[#This Row],[Status]]="Pågår")</f>
        <v>0.8</v>
      </c>
      <c r="AG823" s="12">
        <f ca="1">[1]!Tabel1[[#This Row],[Vægtet Honorar]]*([1]!Tabel1[[#This Row],[Sidst redigeret]]&gt;TODAY()-40)*([1]!Tabel1[[#This Row],[Status]]="Pågår")</f>
        <v>0.8</v>
      </c>
      <c r="AH823" s="13">
        <v>46262.597280092596</v>
      </c>
      <c r="AI823" s="12"/>
      <c r="AJ823" s="12"/>
      <c r="AK823" s="12"/>
      <c r="AL823" s="12"/>
      <c r="AM823" s="12"/>
      <c r="AN823" s="12"/>
      <c r="AO823" s="12"/>
      <c r="AP823" s="12"/>
    </row>
    <row r="824" spans="1:42" ht="45">
      <c r="A824" t="s">
        <v>2971</v>
      </c>
      <c r="B824" s="8"/>
      <c r="C824" s="8" t="s">
        <v>2972</v>
      </c>
      <c r="D824" s="8" t="s">
        <v>1886</v>
      </c>
      <c r="E824" s="8" t="s">
        <v>94</v>
      </c>
      <c r="F824" s="8" t="s">
        <v>2973</v>
      </c>
      <c r="G824" s="8" t="s">
        <v>2973</v>
      </c>
      <c r="H824" s="9">
        <v>20000</v>
      </c>
      <c r="I824" s="9">
        <f>[1]!Tabel1[[#This Row],[Honorar]]*[1]!Tabel1[[#This Row],[Sandsynlighed]]</f>
        <v>37500</v>
      </c>
      <c r="J824" s="10" t="s">
        <v>1088</v>
      </c>
      <c r="K824" s="10" t="s">
        <v>2974</v>
      </c>
      <c r="L824" s="17" t="s">
        <v>2975</v>
      </c>
      <c r="M824" s="11">
        <v>0.8</v>
      </c>
      <c r="N824" s="1">
        <v>20</v>
      </c>
      <c r="O824" s="10">
        <v>46279.611921296295</v>
      </c>
      <c r="P824" s="1" t="s">
        <v>46</v>
      </c>
      <c r="Q824" s="1" t="s">
        <v>72</v>
      </c>
      <c r="R824" s="8" t="s">
        <v>47</v>
      </c>
      <c r="S82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2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2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2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2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2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2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2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2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2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2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2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2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24" s="12">
        <f ca="1">[1]!Tabel1[[#This Row],[Vægtet Honorar]]*([1]!Tabel1[[#This Row],[Sidst redigeret]]&gt;TODAY()-40)*([1]!Tabel1[[#This Row],[Er i resplan?]]&lt;&gt;"Ja")*([1]!Tabel1[[#This Row],[Status]]="Pågår")</f>
        <v>37500</v>
      </c>
      <c r="AG824" s="12">
        <f ca="1">[1]!Tabel1[[#This Row],[Vægtet Honorar]]*([1]!Tabel1[[#This Row],[Sidst redigeret]]&gt;TODAY()-40)*([1]!Tabel1[[#This Row],[Status]]="Pågår")</f>
        <v>37500</v>
      </c>
      <c r="AH824" s="13">
        <v>45678</v>
      </c>
      <c r="AI824" s="12"/>
      <c r="AJ824" s="12"/>
      <c r="AK824" s="12"/>
      <c r="AL824" s="12"/>
      <c r="AM824" s="12"/>
      <c r="AN824" s="12"/>
      <c r="AO824" s="12"/>
      <c r="AP824" s="12"/>
    </row>
    <row r="825" spans="1:42" ht="30">
      <c r="A825" t="s">
        <v>2976</v>
      </c>
      <c r="B825" s="8"/>
      <c r="C825" s="8" t="s">
        <v>2977</v>
      </c>
      <c r="D825" s="8" t="s">
        <v>70</v>
      </c>
      <c r="E825" s="8" t="s">
        <v>102</v>
      </c>
      <c r="F825" s="8" t="s">
        <v>2978</v>
      </c>
      <c r="G825" s="8" t="s">
        <v>1100</v>
      </c>
      <c r="H825" s="9">
        <v>15000000</v>
      </c>
      <c r="I825" s="9">
        <f>[1]!Tabel1[[#This Row],[Honorar]]*[1]!Tabel1[[#This Row],[Sandsynlighed]]</f>
        <v>150000</v>
      </c>
      <c r="J825" s="10" t="s">
        <v>612</v>
      </c>
      <c r="K825" s="10" t="s">
        <v>341</v>
      </c>
      <c r="L825" s="17" t="s">
        <v>2979</v>
      </c>
      <c r="M825" s="11">
        <v>0.25</v>
      </c>
      <c r="N825" s="1">
        <v>54000</v>
      </c>
      <c r="O825" s="10">
        <v>46279.611921296295</v>
      </c>
      <c r="P825" s="10"/>
      <c r="Q825" s="1" t="s">
        <v>46</v>
      </c>
      <c r="R825" s="8" t="s">
        <v>49</v>
      </c>
      <c r="S82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2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2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2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2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2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2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2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2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2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2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2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2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25" s="12">
        <f ca="1">[1]!Tabel1[[#This Row],[Vægtet Honorar]]*([1]!Tabel1[[#This Row],[Sidst redigeret]]&gt;TODAY()-40)*([1]!Tabel1[[#This Row],[Er i resplan?]]&lt;&gt;"Ja")*([1]!Tabel1[[#This Row],[Status]]="Pågår")</f>
        <v>0</v>
      </c>
      <c r="AG825" s="12">
        <f ca="1">[1]!Tabel1[[#This Row],[Vægtet Honorar]]*([1]!Tabel1[[#This Row],[Sidst redigeret]]&gt;TODAY()-40)*([1]!Tabel1[[#This Row],[Status]]="Pågår")</f>
        <v>0</v>
      </c>
      <c r="AH825" s="13"/>
      <c r="AI825" s="12" t="s">
        <v>1100</v>
      </c>
      <c r="AJ825" s="12" t="s">
        <v>2980</v>
      </c>
      <c r="AK825" s="12" t="s">
        <v>2981</v>
      </c>
      <c r="AL825" s="12"/>
      <c r="AM825" s="12"/>
      <c r="AN825" s="12"/>
      <c r="AO825" s="12"/>
      <c r="AP825" s="12"/>
    </row>
    <row r="826" spans="1:42">
      <c r="A826" t="s">
        <v>2982</v>
      </c>
      <c r="B826" s="8"/>
      <c r="C826" s="8" t="s">
        <v>2983</v>
      </c>
      <c r="D826" s="8" t="s">
        <v>720</v>
      </c>
      <c r="E826" s="8" t="s">
        <v>71</v>
      </c>
      <c r="F826" s="8" t="s">
        <v>1333</v>
      </c>
      <c r="G826" s="8" t="s">
        <v>2570</v>
      </c>
      <c r="H826" s="9">
        <v>3400000</v>
      </c>
      <c r="I826" s="9">
        <f>[1]!Tabel1[[#This Row],[Honorar]]*[1]!Tabel1[[#This Row],[Sandsynlighed]]</f>
        <v>250000</v>
      </c>
      <c r="J826" s="10" t="s">
        <v>612</v>
      </c>
      <c r="K826" s="10" t="s">
        <v>341</v>
      </c>
      <c r="L826" s="17"/>
      <c r="M826" s="11">
        <v>0.05</v>
      </c>
      <c r="N826" s="1">
        <v>1500</v>
      </c>
      <c r="O826" s="10">
        <v>46279.611921296295</v>
      </c>
      <c r="P826" s="10"/>
      <c r="Q826" s="1" t="s">
        <v>72</v>
      </c>
      <c r="R826" s="8" t="s">
        <v>49</v>
      </c>
      <c r="S82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2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2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2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2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2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2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2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2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2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2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2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2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26" s="12">
        <f ca="1">[1]!Tabel1[[#This Row],[Vægtet Honorar]]*([1]!Tabel1[[#This Row],[Sidst redigeret]]&gt;TODAY()-40)*([1]!Tabel1[[#This Row],[Er i resplan?]]&lt;&gt;"Ja")*([1]!Tabel1[[#This Row],[Status]]="Pågår")</f>
        <v>0</v>
      </c>
      <c r="AG826" s="12">
        <f ca="1">[1]!Tabel1[[#This Row],[Vægtet Honorar]]*([1]!Tabel1[[#This Row],[Sidst redigeret]]&gt;TODAY()-40)*([1]!Tabel1[[#This Row],[Status]]="Pågår")</f>
        <v>0</v>
      </c>
      <c r="AH826" s="13"/>
      <c r="AI826" s="12"/>
      <c r="AJ826" s="12" t="s">
        <v>2980</v>
      </c>
      <c r="AK826" s="12" t="s">
        <v>2984</v>
      </c>
      <c r="AL826" s="12"/>
      <c r="AM826" s="12"/>
      <c r="AN826" s="12"/>
      <c r="AO826" s="12"/>
      <c r="AP826" s="12"/>
    </row>
    <row r="827" spans="1:42" ht="45">
      <c r="A827" t="s">
        <v>2985</v>
      </c>
      <c r="B827" s="8"/>
      <c r="C827" s="8" t="s">
        <v>2986</v>
      </c>
      <c r="D827" s="8" t="s">
        <v>720</v>
      </c>
      <c r="E827" s="8" t="s">
        <v>71</v>
      </c>
      <c r="F827" s="8" t="s">
        <v>788</v>
      </c>
      <c r="G827" s="8" t="s">
        <v>788</v>
      </c>
      <c r="H827" s="9">
        <v>2000000</v>
      </c>
      <c r="I827" s="9">
        <f>[1]!Tabel1[[#This Row],[Honorar]]*[1]!Tabel1[[#This Row],[Sandsynlighed]]</f>
        <v>100000</v>
      </c>
      <c r="J827" s="10" t="s">
        <v>329</v>
      </c>
      <c r="K827" s="10" t="s">
        <v>1310</v>
      </c>
      <c r="L827" s="17" t="s">
        <v>2987</v>
      </c>
      <c r="M827" s="11">
        <v>0.05</v>
      </c>
      <c r="N827" s="1">
        <v>1860</v>
      </c>
      <c r="O827" s="10">
        <v>46279.611921296295</v>
      </c>
      <c r="P827" s="10"/>
      <c r="Q827" s="1" t="s">
        <v>72</v>
      </c>
      <c r="R827" s="8" t="s">
        <v>343</v>
      </c>
      <c r="S82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2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2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2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2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2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2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2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2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2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2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2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2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27" s="12">
        <f ca="1">[1]!Tabel1[[#This Row],[Vægtet Honorar]]*([1]!Tabel1[[#This Row],[Sidst redigeret]]&gt;TODAY()-40)*([1]!Tabel1[[#This Row],[Er i resplan?]]&lt;&gt;"Ja")*([1]!Tabel1[[#This Row],[Status]]="Pågår")</f>
        <v>0</v>
      </c>
      <c r="AG827" s="12">
        <f ca="1">[1]!Tabel1[[#This Row],[Vægtet Honorar]]*([1]!Tabel1[[#This Row],[Sidst redigeret]]&gt;TODAY()-40)*([1]!Tabel1[[#This Row],[Status]]="Pågår")</f>
        <v>0</v>
      </c>
      <c r="AH827" s="13"/>
      <c r="AI827" s="12"/>
      <c r="AJ827" s="12" t="s">
        <v>2988</v>
      </c>
      <c r="AK827" s="12"/>
      <c r="AL827" s="12"/>
      <c r="AM827" s="12"/>
      <c r="AN827" s="12"/>
      <c r="AO827" s="12"/>
      <c r="AP827" s="12"/>
    </row>
    <row r="828" spans="1:42">
      <c r="A828" t="s">
        <v>2989</v>
      </c>
      <c r="B828" s="8"/>
      <c r="C828" s="8" t="s">
        <v>2990</v>
      </c>
      <c r="D828" s="8"/>
      <c r="E828" s="8" t="s">
        <v>120</v>
      </c>
      <c r="F828" s="8" t="s">
        <v>902</v>
      </c>
      <c r="G828" s="8" t="s">
        <v>2924</v>
      </c>
      <c r="H828" s="9">
        <v>2000000</v>
      </c>
      <c r="I828" s="9">
        <f>[1]!Tabel1[[#This Row],[Honorar]]*[1]!Tabel1[[#This Row],[Sandsynlighed]]</f>
        <v>375000</v>
      </c>
      <c r="J828" s="10" t="s">
        <v>329</v>
      </c>
      <c r="K828" s="10" t="s">
        <v>1068</v>
      </c>
      <c r="L828" s="17"/>
      <c r="M828" s="11">
        <v>0.05</v>
      </c>
      <c r="N828" s="1">
        <v>2200</v>
      </c>
      <c r="O828" s="10">
        <v>46279.611921296295</v>
      </c>
      <c r="P828" s="10"/>
      <c r="Q828" s="1" t="s">
        <v>72</v>
      </c>
      <c r="R828" s="8" t="s">
        <v>75</v>
      </c>
      <c r="S82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2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2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2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2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2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2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2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2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2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2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2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2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28" s="12">
        <f ca="1">[1]!Tabel1[[#This Row],[Vægtet Honorar]]*([1]!Tabel1[[#This Row],[Sidst redigeret]]&gt;TODAY()-40)*([1]!Tabel1[[#This Row],[Er i resplan?]]&lt;&gt;"Ja")*([1]!Tabel1[[#This Row],[Status]]="Pågår")</f>
        <v>0</v>
      </c>
      <c r="AG828" s="12">
        <f ca="1">[1]!Tabel1[[#This Row],[Vægtet Honorar]]*([1]!Tabel1[[#This Row],[Sidst redigeret]]&gt;TODAY()-40)*([1]!Tabel1[[#This Row],[Status]]="Pågår")</f>
        <v>0</v>
      </c>
      <c r="AH828" s="13"/>
      <c r="AI828" s="12"/>
      <c r="AJ828" s="12" t="s">
        <v>2274</v>
      </c>
      <c r="AK828" s="12" t="s">
        <v>2924</v>
      </c>
      <c r="AL828" s="12"/>
      <c r="AM828" s="12"/>
      <c r="AN828" s="12"/>
      <c r="AO828" s="12"/>
      <c r="AP828" s="12"/>
    </row>
    <row r="829" spans="1:42">
      <c r="A829" t="s">
        <v>2991</v>
      </c>
      <c r="B829" s="8"/>
      <c r="C829" s="8" t="s">
        <v>2992</v>
      </c>
      <c r="D829" s="8" t="s">
        <v>57</v>
      </c>
      <c r="E829" s="8" t="s">
        <v>167</v>
      </c>
      <c r="F829" s="8" t="s">
        <v>2993</v>
      </c>
      <c r="G829" s="8" t="s">
        <v>2994</v>
      </c>
      <c r="H829" s="9">
        <v>3500000</v>
      </c>
      <c r="I829" s="9">
        <f>[1]!Tabel1[[#This Row],[Honorar]]*[1]!Tabel1[[#This Row],[Sandsynlighed]]</f>
        <v>16000</v>
      </c>
      <c r="J829" s="10" t="s">
        <v>329</v>
      </c>
      <c r="K829" s="10" t="s">
        <v>1310</v>
      </c>
      <c r="L829" s="17"/>
      <c r="M829" s="11">
        <v>0.05</v>
      </c>
      <c r="N829" s="1">
        <v>2500</v>
      </c>
      <c r="O829" s="10">
        <v>46279.611921296295</v>
      </c>
      <c r="P829" s="10"/>
      <c r="Q829" s="1" t="s">
        <v>72</v>
      </c>
      <c r="R829" s="8" t="s">
        <v>49</v>
      </c>
      <c r="S82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2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2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2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2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2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2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2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2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2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2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2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2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29" s="12">
        <f ca="1">[1]!Tabel1[[#This Row],[Vægtet Honorar]]*([1]!Tabel1[[#This Row],[Sidst redigeret]]&gt;TODAY()-40)*([1]!Tabel1[[#This Row],[Er i resplan?]]&lt;&gt;"Ja")*([1]!Tabel1[[#This Row],[Status]]="Pågår")</f>
        <v>0</v>
      </c>
      <c r="AG829" s="12">
        <f ca="1">[1]!Tabel1[[#This Row],[Vægtet Honorar]]*([1]!Tabel1[[#This Row],[Sidst redigeret]]&gt;TODAY()-40)*([1]!Tabel1[[#This Row],[Status]]="Pågår")</f>
        <v>0</v>
      </c>
      <c r="AH829" s="13"/>
      <c r="AI829" s="12"/>
      <c r="AJ829" s="12" t="s">
        <v>2107</v>
      </c>
      <c r="AK829" s="12"/>
      <c r="AL829" s="12"/>
      <c r="AM829" s="12"/>
      <c r="AN829" s="12"/>
      <c r="AO829" s="12"/>
      <c r="AP829" s="12"/>
    </row>
    <row r="830" spans="1:42" ht="45">
      <c r="A830" t="s">
        <v>2995</v>
      </c>
      <c r="B830" s="8"/>
      <c r="C830" s="8" t="s">
        <v>2996</v>
      </c>
      <c r="D830" s="8" t="s">
        <v>57</v>
      </c>
      <c r="E830" s="8" t="s">
        <v>167</v>
      </c>
      <c r="F830" s="8" t="s">
        <v>2996</v>
      </c>
      <c r="G830" s="8" t="s">
        <v>2996</v>
      </c>
      <c r="H830" s="9">
        <v>250000</v>
      </c>
      <c r="I830" s="9">
        <f>[1]!Tabel1[[#This Row],[Honorar]]*[1]!Tabel1[[#This Row],[Sandsynlighed]]</f>
        <v>3750000</v>
      </c>
      <c r="J830" s="10" t="s">
        <v>329</v>
      </c>
      <c r="K830" s="10" t="s">
        <v>1310</v>
      </c>
      <c r="L830" s="17" t="s">
        <v>2997</v>
      </c>
      <c r="M830" s="11">
        <v>0.1</v>
      </c>
      <c r="N830" s="1">
        <v>500</v>
      </c>
      <c r="O830" s="10">
        <v>46279.611921296295</v>
      </c>
      <c r="P830" s="10"/>
      <c r="Q830" s="1" t="s">
        <v>72</v>
      </c>
      <c r="R830" s="8" t="s">
        <v>49</v>
      </c>
      <c r="S83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3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3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3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3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3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3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3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3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3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3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3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3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30" s="12">
        <f ca="1">[1]!Tabel1[[#This Row],[Vægtet Honorar]]*([1]!Tabel1[[#This Row],[Sidst redigeret]]&gt;TODAY()-40)*([1]!Tabel1[[#This Row],[Er i resplan?]]&lt;&gt;"Ja")*([1]!Tabel1[[#This Row],[Status]]="Pågår")</f>
        <v>0</v>
      </c>
      <c r="AG830" s="12">
        <f ca="1">[1]!Tabel1[[#This Row],[Vægtet Honorar]]*([1]!Tabel1[[#This Row],[Sidst redigeret]]&gt;TODAY()-40)*([1]!Tabel1[[#This Row],[Status]]="Pågår")</f>
        <v>0</v>
      </c>
      <c r="AH830" s="13"/>
      <c r="AI830" s="12"/>
      <c r="AJ830" s="12"/>
      <c r="AK830" s="12"/>
      <c r="AL830" s="12"/>
      <c r="AM830" s="12"/>
      <c r="AN830" s="12"/>
      <c r="AO830" s="12"/>
      <c r="AP830" s="12"/>
    </row>
    <row r="831" spans="1:42" ht="60">
      <c r="A831" t="s">
        <v>2998</v>
      </c>
      <c r="B831" s="8"/>
      <c r="C831" s="8" t="s">
        <v>2999</v>
      </c>
      <c r="D831" s="8" t="s">
        <v>1468</v>
      </c>
      <c r="E831" s="8" t="s">
        <v>167</v>
      </c>
      <c r="F831" s="8" t="s">
        <v>3000</v>
      </c>
      <c r="G831" s="8" t="s">
        <v>3000</v>
      </c>
      <c r="H831" s="9">
        <v>50000</v>
      </c>
      <c r="I831" s="9">
        <f>[1]!Tabel1[[#This Row],[Honorar]]*[1]!Tabel1[[#This Row],[Sandsynlighed]]</f>
        <v>170000</v>
      </c>
      <c r="J831" s="10" t="s">
        <v>452</v>
      </c>
      <c r="K831" s="10" t="s">
        <v>1061</v>
      </c>
      <c r="L831" s="17" t="s">
        <v>3001</v>
      </c>
      <c r="M831" s="11">
        <v>1</v>
      </c>
      <c r="N831" s="1"/>
      <c r="O831" s="10">
        <v>46279.611921296295</v>
      </c>
      <c r="P831" s="10" t="s">
        <v>46</v>
      </c>
      <c r="Q831" s="1" t="s">
        <v>46</v>
      </c>
      <c r="R831" s="8" t="s">
        <v>47</v>
      </c>
      <c r="S83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3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3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3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3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3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3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3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3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3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3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3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3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31" s="12">
        <f ca="1">[1]!Tabel1[[#This Row],[Vægtet Honorar]]*([1]!Tabel1[[#This Row],[Sidst redigeret]]&gt;TODAY()-40)*([1]!Tabel1[[#This Row],[Er i resplan?]]&lt;&gt;"Ja")*([1]!Tabel1[[#This Row],[Status]]="Pågår")</f>
        <v>0</v>
      </c>
      <c r="AG831" s="12">
        <f ca="1">[1]!Tabel1[[#This Row],[Vægtet Honorar]]*([1]!Tabel1[[#This Row],[Sidst redigeret]]&gt;TODAY()-40)*([1]!Tabel1[[#This Row],[Status]]="Pågår")</f>
        <v>0</v>
      </c>
      <c r="AH831" s="13"/>
      <c r="AI831" s="12"/>
      <c r="AJ831" s="12"/>
      <c r="AK831" s="12"/>
      <c r="AL831" s="12"/>
      <c r="AM831" s="12"/>
      <c r="AN831" s="12"/>
      <c r="AO831" s="12"/>
      <c r="AP831" s="12"/>
    </row>
    <row r="832" spans="1:42">
      <c r="A832" t="s">
        <v>3002</v>
      </c>
      <c r="B832" s="8"/>
      <c r="C832" s="8" t="s">
        <v>3003</v>
      </c>
      <c r="D832" s="8" t="s">
        <v>158</v>
      </c>
      <c r="E832" s="8" t="s">
        <v>167</v>
      </c>
      <c r="F832" s="8" t="s">
        <v>671</v>
      </c>
      <c r="G832" s="8" t="s">
        <v>671</v>
      </c>
      <c r="H832" s="9">
        <v>125000</v>
      </c>
      <c r="I832" s="9">
        <f>[1]!Tabel1[[#This Row],[Honorar]]*[1]!Tabel1[[#This Row],[Sandsynlighed]]</f>
        <v>100000</v>
      </c>
      <c r="J832" s="10" t="s">
        <v>452</v>
      </c>
      <c r="K832" s="10" t="s">
        <v>1061</v>
      </c>
      <c r="L832" s="17"/>
      <c r="M832" s="11">
        <v>0.33</v>
      </c>
      <c r="N832" s="1"/>
      <c r="O832" s="10">
        <v>46279.611921296295</v>
      </c>
      <c r="P832" s="10"/>
      <c r="Q832" s="1" t="s">
        <v>46</v>
      </c>
      <c r="R832" s="8" t="s">
        <v>47</v>
      </c>
      <c r="S83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3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3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3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3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3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3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3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3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3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3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3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3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32" s="12">
        <f ca="1">[1]!Tabel1[[#This Row],[Vægtet Honorar]]*([1]!Tabel1[[#This Row],[Sidst redigeret]]&gt;TODAY()-40)*([1]!Tabel1[[#This Row],[Er i resplan?]]&lt;&gt;"Ja")*([1]!Tabel1[[#This Row],[Status]]="Pågår")</f>
        <v>100000</v>
      </c>
      <c r="AG832" s="12">
        <f ca="1">[1]!Tabel1[[#This Row],[Vægtet Honorar]]*([1]!Tabel1[[#This Row],[Sidst redigeret]]&gt;TODAY()-40)*([1]!Tabel1[[#This Row],[Status]]="Pågår")</f>
        <v>100000</v>
      </c>
      <c r="AH832" s="13"/>
      <c r="AI832" s="12"/>
      <c r="AJ832" s="12"/>
      <c r="AK832" s="12"/>
      <c r="AL832" s="12"/>
      <c r="AM832" s="12"/>
      <c r="AN832" s="12"/>
      <c r="AO832" s="12"/>
      <c r="AP832" s="12"/>
    </row>
    <row r="833" spans="1:42">
      <c r="A833" t="s">
        <v>3004</v>
      </c>
      <c r="B833" s="8"/>
      <c r="C833" s="8" t="s">
        <v>3005</v>
      </c>
      <c r="D833" s="8" t="s">
        <v>1886</v>
      </c>
      <c r="E833" s="8" t="s">
        <v>94</v>
      </c>
      <c r="F833" s="8" t="s">
        <v>1778</v>
      </c>
      <c r="G833" s="8" t="s">
        <v>1778</v>
      </c>
      <c r="H833" s="9">
        <v>20000</v>
      </c>
      <c r="I833" s="9">
        <f>[1]!Tabel1[[#This Row],[Honorar]]*[1]!Tabel1[[#This Row],[Sandsynlighed]]</f>
        <v>100000</v>
      </c>
      <c r="J833" s="10" t="s">
        <v>452</v>
      </c>
      <c r="K833" s="10" t="s">
        <v>1287</v>
      </c>
      <c r="L833" s="17"/>
      <c r="M833" s="11">
        <v>0.9</v>
      </c>
      <c r="N833" s="1"/>
      <c r="O833" s="10">
        <v>46279.611921296295</v>
      </c>
      <c r="P833" s="1" t="s">
        <v>72</v>
      </c>
      <c r="Q833" s="1" t="s">
        <v>46</v>
      </c>
      <c r="R833" s="8" t="s">
        <v>47</v>
      </c>
      <c r="S83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3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3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3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3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3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3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3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3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3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3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3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3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33" s="12">
        <f ca="1">[1]!Tabel1[[#This Row],[Vægtet Honorar]]*([1]!Tabel1[[#This Row],[Sidst redigeret]]&gt;TODAY()-40)*([1]!Tabel1[[#This Row],[Er i resplan?]]&lt;&gt;"Ja")*([1]!Tabel1[[#This Row],[Status]]="Pågår")</f>
        <v>0</v>
      </c>
      <c r="AG833" s="12">
        <f ca="1">[1]!Tabel1[[#This Row],[Vægtet Honorar]]*([1]!Tabel1[[#This Row],[Sidst redigeret]]&gt;TODAY()-40)*([1]!Tabel1[[#This Row],[Status]]="Pågår")</f>
        <v>0</v>
      </c>
      <c r="AH833" s="13"/>
      <c r="AI833" s="12"/>
      <c r="AJ833" s="12"/>
      <c r="AK833" s="12"/>
      <c r="AL833" s="12"/>
      <c r="AM833" s="12"/>
      <c r="AN833" s="12"/>
      <c r="AO833" s="12"/>
      <c r="AP833" s="12"/>
    </row>
    <row r="834" spans="1:42">
      <c r="A834" t="s">
        <v>3006</v>
      </c>
      <c r="B834" s="8"/>
      <c r="C834" s="8" t="s">
        <v>3007</v>
      </c>
      <c r="D834" s="8" t="s">
        <v>2886</v>
      </c>
      <c r="E834" s="8" t="s">
        <v>120</v>
      </c>
      <c r="F834" s="8" t="s">
        <v>3008</v>
      </c>
      <c r="G834" s="8" t="s">
        <v>3008</v>
      </c>
      <c r="H834" s="9">
        <v>1500000</v>
      </c>
      <c r="I834" s="9">
        <f>[1]!Tabel1[[#This Row],[Honorar]]*[1]!Tabel1[[#This Row],[Sandsynlighed]]</f>
        <v>175000</v>
      </c>
      <c r="J834" s="10" t="s">
        <v>1323</v>
      </c>
      <c r="K834" s="10" t="s">
        <v>898</v>
      </c>
      <c r="L834" s="17"/>
      <c r="M834" s="11">
        <v>0.05</v>
      </c>
      <c r="N834" s="1">
        <v>1500</v>
      </c>
      <c r="O834" s="10">
        <v>46279.611921296295</v>
      </c>
      <c r="P834" s="10"/>
      <c r="Q834" s="1" t="s">
        <v>72</v>
      </c>
      <c r="R834" s="8" t="s">
        <v>75</v>
      </c>
      <c r="S83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3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3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3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3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3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3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3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3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3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3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3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3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34" s="12">
        <f ca="1">[1]!Tabel1[[#This Row],[Vægtet Honorar]]*([1]!Tabel1[[#This Row],[Sidst redigeret]]&gt;TODAY()-40)*([1]!Tabel1[[#This Row],[Er i resplan?]]&lt;&gt;"Ja")*([1]!Tabel1[[#This Row],[Status]]="Pågår")</f>
        <v>0</v>
      </c>
      <c r="AG834" s="12">
        <f ca="1">[1]!Tabel1[[#This Row],[Vægtet Honorar]]*([1]!Tabel1[[#This Row],[Sidst redigeret]]&gt;TODAY()-40)*([1]!Tabel1[[#This Row],[Status]]="Pågår")</f>
        <v>0</v>
      </c>
      <c r="AH834" s="13"/>
      <c r="AI834" s="12"/>
      <c r="AJ834" s="12" t="s">
        <v>2944</v>
      </c>
      <c r="AK834" s="12"/>
      <c r="AL834" s="12"/>
      <c r="AM834" s="12"/>
      <c r="AN834" s="12"/>
      <c r="AO834" s="12"/>
      <c r="AP834" s="12"/>
    </row>
    <row r="835" spans="1:42" ht="45">
      <c r="A835" t="s">
        <v>3009</v>
      </c>
      <c r="B835" s="8"/>
      <c r="C835" s="8" t="s">
        <v>3010</v>
      </c>
      <c r="D835" s="8" t="s">
        <v>896</v>
      </c>
      <c r="E835" s="8" t="s">
        <v>94</v>
      </c>
      <c r="F835" s="8" t="s">
        <v>3011</v>
      </c>
      <c r="G835" s="8" t="s">
        <v>3012</v>
      </c>
      <c r="H835" s="9">
        <v>10000000</v>
      </c>
      <c r="I835" s="9">
        <f>[1]!Tabel1[[#This Row],[Honorar]]*[1]!Tabel1[[#This Row],[Sandsynlighed]]</f>
        <v>25000</v>
      </c>
      <c r="J835" s="10" t="s">
        <v>1061</v>
      </c>
      <c r="K835" s="10" t="s">
        <v>898</v>
      </c>
      <c r="L835" s="17" t="s">
        <v>3013</v>
      </c>
      <c r="M835" s="11">
        <v>0.01</v>
      </c>
      <c r="N835" s="1"/>
      <c r="O835" s="10">
        <v>46279.611921296295</v>
      </c>
      <c r="P835" s="1" t="s">
        <v>72</v>
      </c>
      <c r="Q835" s="1" t="s">
        <v>72</v>
      </c>
      <c r="R835" s="8" t="s">
        <v>75</v>
      </c>
      <c r="S83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3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3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3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3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3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3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3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3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3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3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3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3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35" s="12">
        <f ca="1">[1]!Tabel1[[#This Row],[Vægtet Honorar]]*([1]!Tabel1[[#This Row],[Sidst redigeret]]&gt;TODAY()-40)*([1]!Tabel1[[#This Row],[Er i resplan?]]&lt;&gt;"Ja")*([1]!Tabel1[[#This Row],[Status]]="Pågår")</f>
        <v>0</v>
      </c>
      <c r="AG835" s="12">
        <f ca="1">[1]!Tabel1[[#This Row],[Vægtet Honorar]]*([1]!Tabel1[[#This Row],[Sidst redigeret]]&gt;TODAY()-40)*([1]!Tabel1[[#This Row],[Status]]="Pågår")</f>
        <v>0</v>
      </c>
      <c r="AH835" s="13"/>
      <c r="AI835" s="12"/>
      <c r="AJ835" s="12" t="s">
        <v>2005</v>
      </c>
      <c r="AK835" s="12" t="s">
        <v>2967</v>
      </c>
      <c r="AL835" s="12"/>
      <c r="AM835" s="12"/>
      <c r="AN835" s="12"/>
      <c r="AO835" s="12"/>
      <c r="AP835" s="12"/>
    </row>
    <row r="836" spans="1:42" ht="60">
      <c r="A836" t="s">
        <v>3014</v>
      </c>
      <c r="B836" s="8"/>
      <c r="C836" s="8" t="s">
        <v>3015</v>
      </c>
      <c r="D836" s="8" t="s">
        <v>1883</v>
      </c>
      <c r="E836" s="8" t="s">
        <v>71</v>
      </c>
      <c r="F836" s="8" t="s">
        <v>721</v>
      </c>
      <c r="G836" s="8" t="s">
        <v>721</v>
      </c>
      <c r="H836" s="9">
        <v>400000</v>
      </c>
      <c r="I836" s="9">
        <f>[1]!Tabel1[[#This Row],[Honorar]]*[1]!Tabel1[[#This Row],[Sandsynlighed]]</f>
        <v>50000</v>
      </c>
      <c r="J836" s="10" t="s">
        <v>612</v>
      </c>
      <c r="K836" s="10" t="s">
        <v>1191</v>
      </c>
      <c r="L836" s="17" t="s">
        <v>3016</v>
      </c>
      <c r="M836" s="11">
        <v>0.2</v>
      </c>
      <c r="N836" s="1"/>
      <c r="O836" s="10">
        <v>46279.611921296295</v>
      </c>
      <c r="P836" s="10"/>
      <c r="Q836" s="1" t="s">
        <v>46</v>
      </c>
      <c r="R836" s="8" t="s">
        <v>343</v>
      </c>
      <c r="S83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3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3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3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3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3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3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3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3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3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3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3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3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36" s="12">
        <f ca="1">[1]!Tabel1[[#This Row],[Vægtet Honorar]]*([1]!Tabel1[[#This Row],[Sidst redigeret]]&gt;TODAY()-40)*([1]!Tabel1[[#This Row],[Er i resplan?]]&lt;&gt;"Ja")*([1]!Tabel1[[#This Row],[Status]]="Pågår")</f>
        <v>0</v>
      </c>
      <c r="AG836" s="12">
        <f ca="1">[1]!Tabel1[[#This Row],[Vægtet Honorar]]*([1]!Tabel1[[#This Row],[Sidst redigeret]]&gt;TODAY()-40)*([1]!Tabel1[[#This Row],[Status]]="Pågår")</f>
        <v>0</v>
      </c>
      <c r="AH836" s="13"/>
      <c r="AI836" s="12"/>
      <c r="AJ836" s="12"/>
      <c r="AK836" s="12"/>
      <c r="AL836" s="12"/>
      <c r="AM836" s="12"/>
      <c r="AN836" s="12"/>
      <c r="AO836" s="12"/>
      <c r="AP836" s="12"/>
    </row>
    <row r="837" spans="1:42" ht="60">
      <c r="A837" t="s">
        <v>3017</v>
      </c>
      <c r="B837" s="8"/>
      <c r="C837" s="8" t="s">
        <v>3018</v>
      </c>
      <c r="D837" s="8" t="s">
        <v>1883</v>
      </c>
      <c r="E837" s="8" t="s">
        <v>71</v>
      </c>
      <c r="F837" s="8" t="s">
        <v>721</v>
      </c>
      <c r="G837" s="8" t="s">
        <v>721</v>
      </c>
      <c r="H837" s="9">
        <v>400000</v>
      </c>
      <c r="I837" s="9">
        <f>[1]!Tabel1[[#This Row],[Honorar]]*[1]!Tabel1[[#This Row],[Sandsynlighed]]</f>
        <v>41250</v>
      </c>
      <c r="J837" s="10" t="s">
        <v>612</v>
      </c>
      <c r="K837" s="10" t="s">
        <v>1191</v>
      </c>
      <c r="L837" s="17" t="s">
        <v>3016</v>
      </c>
      <c r="M837" s="11">
        <v>0.2</v>
      </c>
      <c r="N837" s="1"/>
      <c r="O837" s="10">
        <v>46279.611921296295</v>
      </c>
      <c r="P837" s="10"/>
      <c r="Q837" s="1" t="s">
        <v>46</v>
      </c>
      <c r="R837" s="8" t="s">
        <v>343</v>
      </c>
      <c r="S83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3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3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3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3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3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3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3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3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3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3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3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3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37" s="12">
        <f ca="1">[1]!Tabel1[[#This Row],[Vægtet Honorar]]*([1]!Tabel1[[#This Row],[Sidst redigeret]]&gt;TODAY()-40)*([1]!Tabel1[[#This Row],[Er i resplan?]]&lt;&gt;"Ja")*([1]!Tabel1[[#This Row],[Status]]="Pågår")</f>
        <v>0</v>
      </c>
      <c r="AG837" s="12">
        <f ca="1">[1]!Tabel1[[#This Row],[Vægtet Honorar]]*([1]!Tabel1[[#This Row],[Sidst redigeret]]&gt;TODAY()-40)*([1]!Tabel1[[#This Row],[Status]]="Pågår")</f>
        <v>0</v>
      </c>
      <c r="AH837" s="13"/>
      <c r="AI837" s="12"/>
      <c r="AJ837" s="12"/>
      <c r="AK837" s="12"/>
      <c r="AL837" s="12"/>
      <c r="AM837" s="12"/>
      <c r="AN837" s="12"/>
      <c r="AO837" s="12"/>
      <c r="AP837" s="12"/>
    </row>
    <row r="838" spans="1:42" ht="60">
      <c r="A838" t="s">
        <v>3019</v>
      </c>
      <c r="B838" s="8"/>
      <c r="C838" s="8" t="s">
        <v>3020</v>
      </c>
      <c r="D838" s="8" t="s">
        <v>1883</v>
      </c>
      <c r="E838" s="8" t="s">
        <v>71</v>
      </c>
      <c r="F838" s="8" t="s">
        <v>721</v>
      </c>
      <c r="G838" s="8" t="s">
        <v>721</v>
      </c>
      <c r="H838" s="9">
        <v>400000</v>
      </c>
      <c r="I838" s="9">
        <f>[1]!Tabel1[[#This Row],[Honorar]]*[1]!Tabel1[[#This Row],[Sandsynlighed]]</f>
        <v>18000</v>
      </c>
      <c r="J838" s="10" t="s">
        <v>612</v>
      </c>
      <c r="K838" s="10" t="s">
        <v>1191</v>
      </c>
      <c r="L838" s="17" t="s">
        <v>3016</v>
      </c>
      <c r="M838" s="11">
        <v>0.2</v>
      </c>
      <c r="N838" s="1"/>
      <c r="O838" s="10">
        <v>46279.611921296295</v>
      </c>
      <c r="P838" s="10"/>
      <c r="Q838" s="1" t="s">
        <v>46</v>
      </c>
      <c r="R838" s="8" t="s">
        <v>343</v>
      </c>
      <c r="S83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3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3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3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3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3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3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3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3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3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3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3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3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38" s="12">
        <f ca="1">[1]!Tabel1[[#This Row],[Vægtet Honorar]]*([1]!Tabel1[[#This Row],[Sidst redigeret]]&gt;TODAY()-40)*([1]!Tabel1[[#This Row],[Er i resplan?]]&lt;&gt;"Ja")*([1]!Tabel1[[#This Row],[Status]]="Pågår")</f>
        <v>0</v>
      </c>
      <c r="AG838" s="12">
        <f ca="1">[1]!Tabel1[[#This Row],[Vægtet Honorar]]*([1]!Tabel1[[#This Row],[Sidst redigeret]]&gt;TODAY()-40)*([1]!Tabel1[[#This Row],[Status]]="Pågår")</f>
        <v>0</v>
      </c>
      <c r="AH838" s="13"/>
      <c r="AI838" s="12"/>
      <c r="AJ838" s="12"/>
      <c r="AK838" s="12"/>
      <c r="AL838" s="12"/>
      <c r="AM838" s="12"/>
      <c r="AN838" s="12"/>
      <c r="AO838" s="12"/>
      <c r="AP838" s="12"/>
    </row>
    <row r="839" spans="1:42" ht="75">
      <c r="A839" t="s">
        <v>3021</v>
      </c>
      <c r="B839" s="8"/>
      <c r="C839" s="8" t="s">
        <v>3022</v>
      </c>
      <c r="D839" s="8" t="s">
        <v>70</v>
      </c>
      <c r="E839" s="8" t="s">
        <v>102</v>
      </c>
      <c r="F839" s="8" t="s">
        <v>339</v>
      </c>
      <c r="G839" s="8" t="s">
        <v>3023</v>
      </c>
      <c r="H839" s="9">
        <v>4000000</v>
      </c>
      <c r="I839" s="9">
        <f>[1]!Tabel1[[#This Row],[Honorar]]*[1]!Tabel1[[#This Row],[Sandsynlighed]]</f>
        <v>75000</v>
      </c>
      <c r="J839" s="10" t="s">
        <v>329</v>
      </c>
      <c r="K839" s="10" t="s">
        <v>342</v>
      </c>
      <c r="L839" s="17" t="s">
        <v>3024</v>
      </c>
      <c r="M839" s="11">
        <v>0.15</v>
      </c>
      <c r="N839" s="1"/>
      <c r="O839" s="10">
        <v>46279.611921296295</v>
      </c>
      <c r="P839" s="10"/>
      <c r="Q839" s="1" t="s">
        <v>72</v>
      </c>
      <c r="R839" s="8" t="s">
        <v>343</v>
      </c>
      <c r="S83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3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3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3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3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3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3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3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3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3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3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3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3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39" s="12">
        <f ca="1">[1]!Tabel1[[#This Row],[Vægtet Honorar]]*([1]!Tabel1[[#This Row],[Sidst redigeret]]&gt;TODAY()-40)*([1]!Tabel1[[#This Row],[Er i resplan?]]&lt;&gt;"Ja")*([1]!Tabel1[[#This Row],[Status]]="Pågår")</f>
        <v>0</v>
      </c>
      <c r="AG839" s="12">
        <f ca="1">[1]!Tabel1[[#This Row],[Vægtet Honorar]]*([1]!Tabel1[[#This Row],[Sidst redigeret]]&gt;TODAY()-40)*([1]!Tabel1[[#This Row],[Status]]="Pågår")</f>
        <v>0</v>
      </c>
      <c r="AH839" s="13"/>
      <c r="AI839" s="12" t="s">
        <v>3025</v>
      </c>
      <c r="AJ839" s="12" t="s">
        <v>1203</v>
      </c>
      <c r="AK839" s="12"/>
      <c r="AL839" s="12"/>
      <c r="AM839" s="12"/>
      <c r="AN839" s="12"/>
      <c r="AO839" s="12"/>
      <c r="AP839" s="12"/>
    </row>
    <row r="840" spans="1:42">
      <c r="A840" t="s">
        <v>3026</v>
      </c>
      <c r="B840" s="8"/>
      <c r="C840" s="8" t="s">
        <v>3027</v>
      </c>
      <c r="D840" s="8" t="s">
        <v>581</v>
      </c>
      <c r="E840" s="8" t="s">
        <v>94</v>
      </c>
      <c r="F840" s="8" t="s">
        <v>844</v>
      </c>
      <c r="G840" s="8" t="s">
        <v>844</v>
      </c>
      <c r="H840" s="9">
        <v>850000</v>
      </c>
      <c r="I840" s="9">
        <f>[1]!Tabel1[[#This Row],[Honorar]]*[1]!Tabel1[[#This Row],[Sandsynlighed]]</f>
        <v>100000</v>
      </c>
      <c r="J840" s="10" t="s">
        <v>452</v>
      </c>
      <c r="K840" s="10" t="s">
        <v>329</v>
      </c>
      <c r="L840" s="17"/>
      <c r="M840" s="11">
        <v>0.75</v>
      </c>
      <c r="N840" s="1" t="s">
        <v>3028</v>
      </c>
      <c r="O840" s="10">
        <v>46279.611921296295</v>
      </c>
      <c r="P840" s="1" t="s">
        <v>72</v>
      </c>
      <c r="Q840" s="1" t="s">
        <v>72</v>
      </c>
      <c r="R840" s="8" t="s">
        <v>47</v>
      </c>
      <c r="S84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4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4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4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4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4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4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4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4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4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4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4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4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40" s="12">
        <f ca="1">[1]!Tabel1[[#This Row],[Vægtet Honorar]]*([1]!Tabel1[[#This Row],[Sidst redigeret]]&gt;TODAY()-40)*([1]!Tabel1[[#This Row],[Er i resplan?]]&lt;&gt;"Ja")*([1]!Tabel1[[#This Row],[Status]]="Pågår")</f>
        <v>0</v>
      </c>
      <c r="AG840" s="12">
        <f ca="1">[1]!Tabel1[[#This Row],[Vægtet Honorar]]*([1]!Tabel1[[#This Row],[Sidst redigeret]]&gt;TODAY()-40)*([1]!Tabel1[[#This Row],[Status]]="Pågår")</f>
        <v>0</v>
      </c>
      <c r="AH840" s="13"/>
      <c r="AI840" s="12"/>
      <c r="AJ840" s="12"/>
      <c r="AK840" s="12"/>
      <c r="AL840" s="12"/>
      <c r="AM840" s="12"/>
      <c r="AN840" s="12"/>
      <c r="AO840" s="12"/>
      <c r="AP840" s="12"/>
    </row>
    <row r="841" spans="1:42">
      <c r="A841" t="s">
        <v>3029</v>
      </c>
      <c r="B841" s="8"/>
      <c r="C841" s="8" t="s">
        <v>3030</v>
      </c>
      <c r="D841" s="8" t="s">
        <v>720</v>
      </c>
      <c r="E841" s="8" t="s">
        <v>71</v>
      </c>
      <c r="F841" s="8" t="s">
        <v>1012</v>
      </c>
      <c r="G841" s="8" t="s">
        <v>1012</v>
      </c>
      <c r="H841" s="9">
        <v>300000</v>
      </c>
      <c r="I841" s="9">
        <f>[1]!Tabel1[[#This Row],[Honorar]]*[1]!Tabel1[[#This Row],[Sandsynlighed]]</f>
        <v>80000</v>
      </c>
      <c r="J841" s="10" t="s">
        <v>452</v>
      </c>
      <c r="K841" s="10" t="s">
        <v>329</v>
      </c>
      <c r="L841" s="17"/>
      <c r="M841" s="11">
        <v>0.1</v>
      </c>
      <c r="N841" s="1"/>
      <c r="O841" s="10">
        <v>46279.611921296295</v>
      </c>
      <c r="P841" s="10"/>
      <c r="Q841" s="1" t="s">
        <v>72</v>
      </c>
      <c r="R841" s="8" t="s">
        <v>343</v>
      </c>
      <c r="S84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4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4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4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4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4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4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4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4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4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4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4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4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41" s="12">
        <f ca="1">[1]!Tabel1[[#This Row],[Vægtet Honorar]]*([1]!Tabel1[[#This Row],[Sidst redigeret]]&gt;TODAY()-40)*([1]!Tabel1[[#This Row],[Er i resplan?]]&lt;&gt;"Ja")*([1]!Tabel1[[#This Row],[Status]]="Pågår")</f>
        <v>0</v>
      </c>
      <c r="AG841" s="12">
        <f ca="1">[1]!Tabel1[[#This Row],[Vægtet Honorar]]*([1]!Tabel1[[#This Row],[Sidst redigeret]]&gt;TODAY()-40)*([1]!Tabel1[[#This Row],[Status]]="Pågår")</f>
        <v>80000</v>
      </c>
      <c r="AH841" s="13"/>
      <c r="AI841" s="12"/>
      <c r="AJ841" s="12"/>
      <c r="AK841" s="12"/>
      <c r="AL841" s="12"/>
      <c r="AM841" s="12"/>
      <c r="AN841" s="12"/>
      <c r="AO841" s="12"/>
      <c r="AP841" s="12"/>
    </row>
    <row r="842" spans="1:42" ht="345">
      <c r="A842" t="s">
        <v>3031</v>
      </c>
      <c r="B842" s="8"/>
      <c r="C842" s="8" t="s">
        <v>3032</v>
      </c>
      <c r="D842" s="8" t="s">
        <v>3033</v>
      </c>
      <c r="E842" s="8" t="s">
        <v>120</v>
      </c>
      <c r="F842" s="8" t="s">
        <v>1012</v>
      </c>
      <c r="G842" s="8" t="s">
        <v>1012</v>
      </c>
      <c r="H842" s="9">
        <v>3000000</v>
      </c>
      <c r="I842" s="9">
        <f>[1]!Tabel1[[#This Row],[Honorar]]*[1]!Tabel1[[#This Row],[Sandsynlighed]]</f>
        <v>80000</v>
      </c>
      <c r="J842" s="10" t="s">
        <v>1061</v>
      </c>
      <c r="K842" s="10" t="s">
        <v>342</v>
      </c>
      <c r="L842" s="17" t="s">
        <v>3034</v>
      </c>
      <c r="M842" s="11">
        <v>0.05</v>
      </c>
      <c r="N842" s="1"/>
      <c r="O842" s="10">
        <v>46279.611921296295</v>
      </c>
      <c r="P842" s="10"/>
      <c r="Q842" s="1" t="s">
        <v>72</v>
      </c>
      <c r="R842" s="8" t="s">
        <v>343</v>
      </c>
      <c r="S84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4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4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4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4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4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4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4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4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4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4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4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4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42" s="12">
        <f ca="1">[1]!Tabel1[[#This Row],[Vægtet Honorar]]*([1]!Tabel1[[#This Row],[Sidst redigeret]]&gt;TODAY()-40)*([1]!Tabel1[[#This Row],[Er i resplan?]]&lt;&gt;"Ja")*([1]!Tabel1[[#This Row],[Status]]="Pågår")</f>
        <v>0</v>
      </c>
      <c r="AG842" s="12">
        <f ca="1">[1]!Tabel1[[#This Row],[Vægtet Honorar]]*([1]!Tabel1[[#This Row],[Sidst redigeret]]&gt;TODAY()-40)*([1]!Tabel1[[#This Row],[Status]]="Pågår")</f>
        <v>80000</v>
      </c>
      <c r="AH842" s="13"/>
      <c r="AI842" s="12"/>
      <c r="AJ842" s="19" t="s">
        <v>3035</v>
      </c>
      <c r="AK842" s="12" t="s">
        <v>1170</v>
      </c>
      <c r="AL842" s="12"/>
      <c r="AM842" s="12"/>
      <c r="AN842" s="19" t="s">
        <v>3036</v>
      </c>
      <c r="AO842" s="12"/>
      <c r="AP842" s="12"/>
    </row>
    <row r="843" spans="1:42">
      <c r="A843" t="s">
        <v>3037</v>
      </c>
      <c r="B843" s="8"/>
      <c r="C843" s="8" t="s">
        <v>3038</v>
      </c>
      <c r="D843" s="8" t="s">
        <v>720</v>
      </c>
      <c r="E843" s="8" t="s">
        <v>71</v>
      </c>
      <c r="F843" s="8" t="s">
        <v>3039</v>
      </c>
      <c r="G843" s="8" t="s">
        <v>721</v>
      </c>
      <c r="H843" s="9">
        <v>1500000</v>
      </c>
      <c r="I843" s="9">
        <f>[1]!Tabel1[[#This Row],[Honorar]]*[1]!Tabel1[[#This Row],[Sandsynlighed]]</f>
        <v>80000</v>
      </c>
      <c r="J843" s="10" t="s">
        <v>1061</v>
      </c>
      <c r="K843" s="10" t="s">
        <v>342</v>
      </c>
      <c r="L843" s="17"/>
      <c r="M843" s="11">
        <v>0.05</v>
      </c>
      <c r="N843" s="1">
        <v>1000</v>
      </c>
      <c r="O843" s="10">
        <v>46279.611921296295</v>
      </c>
      <c r="P843" s="10"/>
      <c r="Q843" s="1" t="s">
        <v>72</v>
      </c>
      <c r="R843" s="8" t="s">
        <v>343</v>
      </c>
      <c r="S84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4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4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4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4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4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4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4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4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4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4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4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4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43" s="12">
        <f ca="1">[1]!Tabel1[[#This Row],[Vægtet Honorar]]*([1]!Tabel1[[#This Row],[Sidst redigeret]]&gt;TODAY()-40)*([1]!Tabel1[[#This Row],[Er i resplan?]]&lt;&gt;"Ja")*([1]!Tabel1[[#This Row],[Status]]="Pågår")</f>
        <v>0</v>
      </c>
      <c r="AG843" s="12">
        <f ca="1">[1]!Tabel1[[#This Row],[Vægtet Honorar]]*([1]!Tabel1[[#This Row],[Sidst redigeret]]&gt;TODAY()-40)*([1]!Tabel1[[#This Row],[Status]]="Pågår")</f>
        <v>80000</v>
      </c>
      <c r="AH843" s="13"/>
      <c r="AI843" s="12"/>
      <c r="AJ843" s="12" t="s">
        <v>3040</v>
      </c>
      <c r="AK843" s="12"/>
      <c r="AL843" s="12"/>
      <c r="AM843" s="12"/>
      <c r="AN843" s="12"/>
      <c r="AO843" s="12"/>
      <c r="AP843" s="12"/>
    </row>
    <row r="844" spans="1:42">
      <c r="A844" t="s">
        <v>3041</v>
      </c>
      <c r="B844" s="8"/>
      <c r="C844" s="8" t="s">
        <v>3042</v>
      </c>
      <c r="D844" s="8" t="s">
        <v>720</v>
      </c>
      <c r="E844" s="8" t="s">
        <v>71</v>
      </c>
      <c r="F844" s="8" t="s">
        <v>3043</v>
      </c>
      <c r="G844" s="8" t="s">
        <v>1993</v>
      </c>
      <c r="H844" s="9">
        <v>400000</v>
      </c>
      <c r="I844" s="9">
        <f>[1]!Tabel1[[#This Row],[Honorar]]*[1]!Tabel1[[#This Row],[Sandsynlighed]]</f>
        <v>600000</v>
      </c>
      <c r="J844" s="10" t="s">
        <v>452</v>
      </c>
      <c r="K844" s="10" t="s">
        <v>1287</v>
      </c>
      <c r="L844" s="17"/>
      <c r="M844" s="11">
        <v>0.9</v>
      </c>
      <c r="N844" s="1">
        <v>300</v>
      </c>
      <c r="O844" s="10">
        <v>46279.611921296295</v>
      </c>
      <c r="P844" s="10"/>
      <c r="Q844" s="1" t="s">
        <v>46</v>
      </c>
      <c r="R844" s="8" t="s">
        <v>47</v>
      </c>
      <c r="S84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4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4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4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4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4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4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4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4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4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4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4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4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44" s="12">
        <f ca="1">[1]!Tabel1[[#This Row],[Vægtet Honorar]]*([1]!Tabel1[[#This Row],[Sidst redigeret]]&gt;TODAY()-40)*([1]!Tabel1[[#This Row],[Er i resplan?]]&lt;&gt;"Ja")*([1]!Tabel1[[#This Row],[Status]]="Pågår")</f>
        <v>600000</v>
      </c>
      <c r="AG844" s="12">
        <f ca="1">[1]!Tabel1[[#This Row],[Vægtet Honorar]]*([1]!Tabel1[[#This Row],[Sidst redigeret]]&gt;TODAY()-40)*([1]!Tabel1[[#This Row],[Status]]="Pågår")</f>
        <v>600000</v>
      </c>
      <c r="AH844" s="13"/>
      <c r="AI844" s="12"/>
      <c r="AJ844" s="12"/>
      <c r="AK844" s="12"/>
      <c r="AL844" s="12"/>
      <c r="AM844" s="12"/>
      <c r="AN844" s="12"/>
      <c r="AO844" s="12"/>
      <c r="AP844" s="12"/>
    </row>
    <row r="845" spans="1:42" ht="30">
      <c r="A845" t="s">
        <v>3044</v>
      </c>
      <c r="B845" s="8"/>
      <c r="C845" s="8" t="s">
        <v>3045</v>
      </c>
      <c r="D845" s="8" t="s">
        <v>2886</v>
      </c>
      <c r="E845" s="8" t="s">
        <v>3046</v>
      </c>
      <c r="F845" s="8" t="s">
        <v>3047</v>
      </c>
      <c r="G845" s="8" t="s">
        <v>3048</v>
      </c>
      <c r="H845" s="9">
        <v>5000000</v>
      </c>
      <c r="I845" s="9">
        <f>[1]!Tabel1[[#This Row],[Honorar]]*[1]!Tabel1[[#This Row],[Sandsynlighed]]</f>
        <v>637500</v>
      </c>
      <c r="J845" s="10" t="s">
        <v>329</v>
      </c>
      <c r="K845" s="10" t="s">
        <v>1709</v>
      </c>
      <c r="L845" s="17" t="s">
        <v>3049</v>
      </c>
      <c r="M845" s="11">
        <v>0.05</v>
      </c>
      <c r="N845" s="1"/>
      <c r="O845" s="10">
        <v>46279.611921296295</v>
      </c>
      <c r="P845" s="10"/>
      <c r="Q845" s="1" t="s">
        <v>72</v>
      </c>
      <c r="R845" s="8" t="s">
        <v>49</v>
      </c>
      <c r="S84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4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4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4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4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4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4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4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4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4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4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4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4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45" s="12">
        <f ca="1">[1]!Tabel1[[#This Row],[Vægtet Honorar]]*([1]!Tabel1[[#This Row],[Sidst redigeret]]&gt;TODAY()-40)*([1]!Tabel1[[#This Row],[Er i resplan?]]&lt;&gt;"Ja")*([1]!Tabel1[[#This Row],[Status]]="Pågår")</f>
        <v>0</v>
      </c>
      <c r="AG845" s="12">
        <f ca="1">[1]!Tabel1[[#This Row],[Vægtet Honorar]]*([1]!Tabel1[[#This Row],[Sidst redigeret]]&gt;TODAY()-40)*([1]!Tabel1[[#This Row],[Status]]="Pågår")</f>
        <v>0</v>
      </c>
      <c r="AH845" s="13"/>
      <c r="AI845" s="12"/>
      <c r="AJ845" s="12" t="s">
        <v>3050</v>
      </c>
      <c r="AK845" s="12" t="s">
        <v>3050</v>
      </c>
      <c r="AL845" s="12"/>
      <c r="AM845" s="12"/>
      <c r="AN845" s="12"/>
      <c r="AO845" s="12"/>
      <c r="AP845" s="12"/>
    </row>
    <row r="846" spans="1:42">
      <c r="A846" t="s">
        <v>3051</v>
      </c>
      <c r="B846" s="8"/>
      <c r="C846" s="8" t="s">
        <v>3052</v>
      </c>
      <c r="D846" s="8" t="s">
        <v>158</v>
      </c>
      <c r="E846" s="8" t="s">
        <v>167</v>
      </c>
      <c r="F846" s="8" t="s">
        <v>3053</v>
      </c>
      <c r="G846" s="8" t="s">
        <v>3054</v>
      </c>
      <c r="H846" s="9">
        <v>750000</v>
      </c>
      <c r="I846" s="9">
        <f>[1]!Tabel1[[#This Row],[Honorar]]*[1]!Tabel1[[#This Row],[Sandsynlighed]]</f>
        <v>30000</v>
      </c>
      <c r="J846" s="10" t="s">
        <v>1191</v>
      </c>
      <c r="K846" s="10" t="s">
        <v>2405</v>
      </c>
      <c r="L846" s="17"/>
      <c r="M846" s="11">
        <v>0</v>
      </c>
      <c r="N846" s="1"/>
      <c r="O846" s="10">
        <v>46279.611921296295</v>
      </c>
      <c r="P846" s="10"/>
      <c r="Q846" s="1" t="s">
        <v>72</v>
      </c>
      <c r="R846" s="8" t="s">
        <v>343</v>
      </c>
      <c r="S84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4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4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4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4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4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4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4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4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4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4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4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4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46" s="12">
        <f ca="1">[1]!Tabel1[[#This Row],[Vægtet Honorar]]*([1]!Tabel1[[#This Row],[Sidst redigeret]]&gt;TODAY()-40)*([1]!Tabel1[[#This Row],[Er i resplan?]]&lt;&gt;"Ja")*([1]!Tabel1[[#This Row],[Status]]="Pågår")</f>
        <v>30000</v>
      </c>
      <c r="AG846" s="12">
        <f ca="1">[1]!Tabel1[[#This Row],[Vægtet Honorar]]*([1]!Tabel1[[#This Row],[Sidst redigeret]]&gt;TODAY()-40)*([1]!Tabel1[[#This Row],[Status]]="Pågår")</f>
        <v>30000</v>
      </c>
      <c r="AH846" s="13"/>
      <c r="AI846" s="12"/>
      <c r="AJ846" s="12" t="s">
        <v>3054</v>
      </c>
      <c r="AK846" s="12"/>
      <c r="AL846" s="12" t="s">
        <v>215</v>
      </c>
      <c r="AM846" s="12"/>
      <c r="AN846" s="12" t="s">
        <v>3055</v>
      </c>
      <c r="AO846" s="12"/>
      <c r="AP846" s="12"/>
    </row>
    <row r="847" spans="1:42" ht="60">
      <c r="A847" t="s">
        <v>3056</v>
      </c>
      <c r="B847" s="8"/>
      <c r="C847" s="8" t="s">
        <v>3057</v>
      </c>
      <c r="D847" s="8" t="s">
        <v>3058</v>
      </c>
      <c r="E847" s="8" t="s">
        <v>102</v>
      </c>
      <c r="F847" s="8" t="s">
        <v>3059</v>
      </c>
      <c r="G847" s="8" t="s">
        <v>3059</v>
      </c>
      <c r="H847" s="9">
        <v>750000</v>
      </c>
      <c r="I847" s="9">
        <f>[1]!Tabel1[[#This Row],[Honorar]]*[1]!Tabel1[[#This Row],[Sandsynlighed]]</f>
        <v>150000</v>
      </c>
      <c r="J847" s="10" t="s">
        <v>1061</v>
      </c>
      <c r="K847" s="10" t="s">
        <v>1191</v>
      </c>
      <c r="L847" s="17" t="s">
        <v>3060</v>
      </c>
      <c r="M847" s="11">
        <v>0</v>
      </c>
      <c r="N847" s="1"/>
      <c r="O847" s="10">
        <v>46279.611921296295</v>
      </c>
      <c r="P847" s="10"/>
      <c r="Q847" s="1" t="s">
        <v>46</v>
      </c>
      <c r="R847" s="8" t="s">
        <v>49</v>
      </c>
      <c r="S84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4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4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4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4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4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4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4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4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4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4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4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4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47" s="12">
        <f ca="1">[1]!Tabel1[[#This Row],[Vægtet Honorar]]*([1]!Tabel1[[#This Row],[Sidst redigeret]]&gt;TODAY()-40)*([1]!Tabel1[[#This Row],[Er i resplan?]]&lt;&gt;"Ja")*([1]!Tabel1[[#This Row],[Status]]="Pågår")</f>
        <v>150000</v>
      </c>
      <c r="AG847" s="12">
        <f ca="1">[1]!Tabel1[[#This Row],[Vægtet Honorar]]*([1]!Tabel1[[#This Row],[Sidst redigeret]]&gt;TODAY()-40)*([1]!Tabel1[[#This Row],[Status]]="Pågår")</f>
        <v>150000</v>
      </c>
      <c r="AH847" s="13"/>
      <c r="AI847" s="12"/>
      <c r="AJ847" s="12"/>
      <c r="AK847" s="12"/>
      <c r="AL847" s="12"/>
      <c r="AM847" s="12"/>
      <c r="AN847" s="12"/>
      <c r="AO847" s="12"/>
      <c r="AP847" s="12"/>
    </row>
    <row r="848" spans="1:42">
      <c r="A848" t="s">
        <v>3061</v>
      </c>
      <c r="B848" s="8"/>
      <c r="C848" s="8" t="s">
        <v>3062</v>
      </c>
      <c r="D848" s="8" t="s">
        <v>70</v>
      </c>
      <c r="E848" s="8" t="s">
        <v>102</v>
      </c>
      <c r="F848" s="8" t="s">
        <v>3063</v>
      </c>
      <c r="G848" s="8" t="s">
        <v>3063</v>
      </c>
      <c r="H848" s="9">
        <v>100000</v>
      </c>
      <c r="I848" s="9">
        <f>[1]!Tabel1[[#This Row],[Honorar]]*[1]!Tabel1[[#This Row],[Sandsynlighed]]</f>
        <v>75000</v>
      </c>
      <c r="J848" s="10" t="s">
        <v>452</v>
      </c>
      <c r="K848" s="10" t="s">
        <v>612</v>
      </c>
      <c r="L848" s="17"/>
      <c r="M848" s="11">
        <v>0.5</v>
      </c>
      <c r="N848" s="1"/>
      <c r="O848" s="10">
        <v>46279.611921296295</v>
      </c>
      <c r="P848" s="10"/>
      <c r="Q848" s="1" t="s">
        <v>46</v>
      </c>
      <c r="R848" s="8" t="s">
        <v>47</v>
      </c>
      <c r="S84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4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4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4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4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4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4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4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4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4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4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4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4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48" s="12">
        <f ca="1">[1]!Tabel1[[#This Row],[Vægtet Honorar]]*([1]!Tabel1[[#This Row],[Sidst redigeret]]&gt;TODAY()-40)*([1]!Tabel1[[#This Row],[Er i resplan?]]&lt;&gt;"Ja")*([1]!Tabel1[[#This Row],[Status]]="Pågår")</f>
        <v>75000</v>
      </c>
      <c r="AG848" s="12">
        <f ca="1">[1]!Tabel1[[#This Row],[Vægtet Honorar]]*([1]!Tabel1[[#This Row],[Sidst redigeret]]&gt;TODAY()-40)*([1]!Tabel1[[#This Row],[Status]]="Pågår")</f>
        <v>75000</v>
      </c>
      <c r="AH848" s="13"/>
      <c r="AI848" s="12"/>
      <c r="AJ848" s="12"/>
      <c r="AK848" s="12"/>
      <c r="AL848" s="12"/>
      <c r="AM848" s="12"/>
      <c r="AN848" s="12"/>
      <c r="AO848" s="12"/>
      <c r="AP848" s="12"/>
    </row>
    <row r="849" spans="1:42" ht="45">
      <c r="A849" t="s">
        <v>3064</v>
      </c>
      <c r="B849" s="8"/>
      <c r="C849" s="8" t="s">
        <v>3065</v>
      </c>
      <c r="D849" s="8" t="s">
        <v>93</v>
      </c>
      <c r="E849" s="8" t="s">
        <v>94</v>
      </c>
      <c r="F849" s="8" t="s">
        <v>3066</v>
      </c>
      <c r="G849" s="8" t="s">
        <v>3066</v>
      </c>
      <c r="H849" s="9">
        <v>2000000</v>
      </c>
      <c r="I849" s="9">
        <f>[1]!Tabel1[[#This Row],[Honorar]]*[1]!Tabel1[[#This Row],[Sandsynlighed]]</f>
        <v>360000</v>
      </c>
      <c r="J849" s="10" t="s">
        <v>1061</v>
      </c>
      <c r="K849" s="10" t="s">
        <v>341</v>
      </c>
      <c r="L849" s="17" t="s">
        <v>3067</v>
      </c>
      <c r="M849" s="11">
        <v>0.05</v>
      </c>
      <c r="N849" s="1">
        <v>2000</v>
      </c>
      <c r="O849" s="10">
        <v>46279.611921296295</v>
      </c>
      <c r="P849" s="1" t="s">
        <v>72</v>
      </c>
      <c r="Q849" s="1" t="s">
        <v>72</v>
      </c>
      <c r="R849" s="8" t="s">
        <v>49</v>
      </c>
      <c r="S84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4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4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4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4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4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4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4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4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4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4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4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4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49" s="12">
        <f ca="1">[1]!Tabel1[[#This Row],[Vægtet Honorar]]*([1]!Tabel1[[#This Row],[Sidst redigeret]]&gt;TODAY()-40)*([1]!Tabel1[[#This Row],[Er i resplan?]]&lt;&gt;"Ja")*([1]!Tabel1[[#This Row],[Status]]="Pågår")</f>
        <v>0</v>
      </c>
      <c r="AG849" s="12">
        <f ca="1">[1]!Tabel1[[#This Row],[Vægtet Honorar]]*([1]!Tabel1[[#This Row],[Sidst redigeret]]&gt;TODAY()-40)*([1]!Tabel1[[#This Row],[Status]]="Pågår")</f>
        <v>0</v>
      </c>
      <c r="AH849" s="13"/>
      <c r="AI849" s="12"/>
      <c r="AJ849" s="12" t="s">
        <v>2005</v>
      </c>
      <c r="AK849" s="12" t="s">
        <v>1854</v>
      </c>
      <c r="AL849" s="12"/>
      <c r="AM849" s="12"/>
      <c r="AN849" s="12" t="s">
        <v>3068</v>
      </c>
      <c r="AO849" s="12"/>
      <c r="AP849" s="12"/>
    </row>
    <row r="850" spans="1:42" ht="45">
      <c r="A850" t="s">
        <v>3069</v>
      </c>
      <c r="B850" s="8"/>
      <c r="C850" s="8" t="s">
        <v>3070</v>
      </c>
      <c r="D850" s="8" t="s">
        <v>93</v>
      </c>
      <c r="E850" s="8" t="s">
        <v>94</v>
      </c>
      <c r="F850" s="8" t="s">
        <v>3071</v>
      </c>
      <c r="G850" s="8" t="s">
        <v>3071</v>
      </c>
      <c r="H850" s="9">
        <v>500000</v>
      </c>
      <c r="I850" s="9">
        <f>[1]!Tabel1[[#This Row],[Honorar]]*[1]!Tabel1[[#This Row],[Sandsynlighed]]</f>
        <v>250000</v>
      </c>
      <c r="J850" s="10" t="s">
        <v>612</v>
      </c>
      <c r="K850" s="10" t="s">
        <v>1191</v>
      </c>
      <c r="L850" s="17" t="s">
        <v>3072</v>
      </c>
      <c r="M850" s="11">
        <v>0.05</v>
      </c>
      <c r="N850" s="1">
        <v>3500</v>
      </c>
      <c r="O850" s="10">
        <v>46279.611921296295</v>
      </c>
      <c r="P850" s="1" t="s">
        <v>72</v>
      </c>
      <c r="Q850" s="1" t="s">
        <v>72</v>
      </c>
      <c r="R850" s="8" t="s">
        <v>75</v>
      </c>
      <c r="S85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5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5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5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5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5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5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5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5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5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5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5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5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50" s="12">
        <f ca="1">[1]!Tabel1[[#This Row],[Vægtet Honorar]]*([1]!Tabel1[[#This Row],[Sidst redigeret]]&gt;TODAY()-40)*([1]!Tabel1[[#This Row],[Er i resplan?]]&lt;&gt;"Ja")*([1]!Tabel1[[#This Row],[Status]]="Pågår")</f>
        <v>0</v>
      </c>
      <c r="AG850" s="12">
        <f ca="1">[1]!Tabel1[[#This Row],[Vægtet Honorar]]*([1]!Tabel1[[#This Row],[Sidst redigeret]]&gt;TODAY()-40)*([1]!Tabel1[[#This Row],[Status]]="Pågår")</f>
        <v>0</v>
      </c>
      <c r="AH850" s="13"/>
      <c r="AI850" s="12"/>
      <c r="AJ850" s="12" t="s">
        <v>2005</v>
      </c>
      <c r="AK850" s="12"/>
      <c r="AL850" s="12"/>
      <c r="AM850" s="12"/>
      <c r="AN850" s="12"/>
      <c r="AO850" s="12"/>
      <c r="AP850" s="12"/>
    </row>
    <row r="851" spans="1:42" ht="165">
      <c r="A851" t="s">
        <v>3073</v>
      </c>
      <c r="B851" s="8"/>
      <c r="C851" s="8" t="s">
        <v>3074</v>
      </c>
      <c r="D851" s="8" t="s">
        <v>93</v>
      </c>
      <c r="E851" s="8" t="s">
        <v>94</v>
      </c>
      <c r="F851" s="8" t="s">
        <v>3075</v>
      </c>
      <c r="G851" s="8" t="s">
        <v>3075</v>
      </c>
      <c r="H851" s="9"/>
      <c r="I851" s="9">
        <f>[1]!Tabel1[[#This Row],[Honorar]]*[1]!Tabel1[[#This Row],[Sandsynlighed]]</f>
        <v>0</v>
      </c>
      <c r="J851" s="10" t="s">
        <v>2039</v>
      </c>
      <c r="K851" s="10" t="s">
        <v>3076</v>
      </c>
      <c r="L851" s="17" t="s">
        <v>3077</v>
      </c>
      <c r="M851" s="11">
        <v>0.01</v>
      </c>
      <c r="N851" s="1">
        <v>8000</v>
      </c>
      <c r="O851" s="10">
        <v>46279.611921296295</v>
      </c>
      <c r="P851" s="1" t="s">
        <v>72</v>
      </c>
      <c r="Q851" s="1" t="s">
        <v>72</v>
      </c>
      <c r="R851" s="8" t="s">
        <v>343</v>
      </c>
      <c r="S85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5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5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5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5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5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5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5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5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5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5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5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5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51" s="12">
        <f ca="1">[1]!Tabel1[[#This Row],[Vægtet Honorar]]*([1]!Tabel1[[#This Row],[Sidst redigeret]]&gt;TODAY()-40)*([1]!Tabel1[[#This Row],[Er i resplan?]]&lt;&gt;"Ja")*([1]!Tabel1[[#This Row],[Status]]="Pågår")</f>
        <v>0</v>
      </c>
      <c r="AG851" s="12">
        <f ca="1">[1]!Tabel1[[#This Row],[Vægtet Honorar]]*([1]!Tabel1[[#This Row],[Sidst redigeret]]&gt;TODAY()-40)*([1]!Tabel1[[#This Row],[Status]]="Pågår")</f>
        <v>0</v>
      </c>
      <c r="AH851" s="13"/>
      <c r="AI851" s="12"/>
      <c r="AJ851" s="12"/>
      <c r="AK851" s="12"/>
      <c r="AL851" s="12"/>
      <c r="AM851" s="12"/>
      <c r="AN851" s="12"/>
      <c r="AO851" s="12"/>
      <c r="AP851" s="12"/>
    </row>
    <row r="852" spans="1:42" ht="90">
      <c r="A852" t="s">
        <v>3078</v>
      </c>
      <c r="B852" s="8"/>
      <c r="C852" s="8" t="s">
        <v>3079</v>
      </c>
      <c r="D852" s="8" t="s">
        <v>720</v>
      </c>
      <c r="E852" s="8" t="s">
        <v>71</v>
      </c>
      <c r="F852" s="8" t="s">
        <v>1012</v>
      </c>
      <c r="G852" s="8" t="s">
        <v>3080</v>
      </c>
      <c r="H852" s="9">
        <v>2500000</v>
      </c>
      <c r="I852" s="9">
        <f>[1]!Tabel1[[#This Row],[Honorar]]*[1]!Tabel1[[#This Row],[Sandsynlighed]]</f>
        <v>0</v>
      </c>
      <c r="J852" s="10" t="s">
        <v>1061</v>
      </c>
      <c r="K852" s="10" t="s">
        <v>1323</v>
      </c>
      <c r="L852" s="17" t="s">
        <v>3081</v>
      </c>
      <c r="M852" s="11">
        <v>0.01</v>
      </c>
      <c r="N852" s="1">
        <v>8000</v>
      </c>
      <c r="O852" s="10">
        <v>46279.611921296295</v>
      </c>
      <c r="P852" s="10"/>
      <c r="Q852" s="1" t="s">
        <v>72</v>
      </c>
      <c r="R852" s="8" t="s">
        <v>343</v>
      </c>
      <c r="S85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5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5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5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5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5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5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5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5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5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5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5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5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52" s="12">
        <f ca="1">[1]!Tabel1[[#This Row],[Vægtet Honorar]]*([1]!Tabel1[[#This Row],[Sidst redigeret]]&gt;TODAY()-40)*([1]!Tabel1[[#This Row],[Er i resplan?]]&lt;&gt;"Ja")*([1]!Tabel1[[#This Row],[Status]]="Pågår")</f>
        <v>0</v>
      </c>
      <c r="AG852" s="12">
        <f ca="1">[1]!Tabel1[[#This Row],[Vægtet Honorar]]*([1]!Tabel1[[#This Row],[Sidst redigeret]]&gt;TODAY()-40)*([1]!Tabel1[[#This Row],[Status]]="Pågår")</f>
        <v>0</v>
      </c>
      <c r="AH852" s="13"/>
      <c r="AI852" s="12"/>
      <c r="AJ852" s="12" t="s">
        <v>3082</v>
      </c>
      <c r="AK852" s="12" t="s">
        <v>3081</v>
      </c>
      <c r="AL852" s="12"/>
      <c r="AM852" s="12"/>
      <c r="AN852" s="12"/>
      <c r="AO852" s="12"/>
      <c r="AP852" s="12"/>
    </row>
    <row r="853" spans="1:42" ht="375">
      <c r="A853" t="s">
        <v>3083</v>
      </c>
      <c r="B853" s="8"/>
      <c r="C853" s="8" t="s">
        <v>3084</v>
      </c>
      <c r="D853" s="8" t="s">
        <v>134</v>
      </c>
      <c r="E853" s="8" t="s">
        <v>94</v>
      </c>
      <c r="F853" s="8" t="s">
        <v>1486</v>
      </c>
      <c r="G853" s="8" t="s">
        <v>1486</v>
      </c>
      <c r="H853" s="9">
        <v>500000</v>
      </c>
      <c r="I853" s="9">
        <f>[1]!Tabel1[[#This Row],[Honorar]]*[1]!Tabel1[[#This Row],[Sandsynlighed]]</f>
        <v>50000</v>
      </c>
      <c r="J853" s="10" t="s">
        <v>341</v>
      </c>
      <c r="K853" s="10" t="s">
        <v>342</v>
      </c>
      <c r="L853" s="17" t="s">
        <v>3085</v>
      </c>
      <c r="M853" s="11">
        <v>0.05</v>
      </c>
      <c r="N853" s="1">
        <v>2000</v>
      </c>
      <c r="O853" s="10">
        <v>46279.611921296295</v>
      </c>
      <c r="P853" s="1" t="s">
        <v>72</v>
      </c>
      <c r="Q853" s="1" t="s">
        <v>72</v>
      </c>
      <c r="R853" s="8" t="s">
        <v>49</v>
      </c>
      <c r="S85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5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5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5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5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5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5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5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5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5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5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5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5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53" s="12">
        <f ca="1">[1]!Tabel1[[#This Row],[Vægtet Honorar]]*([1]!Tabel1[[#This Row],[Sidst redigeret]]&gt;TODAY()-40)*([1]!Tabel1[[#This Row],[Er i resplan?]]&lt;&gt;"Ja")*([1]!Tabel1[[#This Row],[Status]]="Pågår")</f>
        <v>0</v>
      </c>
      <c r="AG853" s="12">
        <f ca="1">[1]!Tabel1[[#This Row],[Vægtet Honorar]]*([1]!Tabel1[[#This Row],[Sidst redigeret]]&gt;TODAY()-40)*([1]!Tabel1[[#This Row],[Status]]="Pågår")</f>
        <v>0</v>
      </c>
      <c r="AH853" s="13"/>
      <c r="AI853" s="12"/>
      <c r="AJ853" s="12"/>
      <c r="AK853" s="12"/>
      <c r="AL853" s="12"/>
      <c r="AM853" s="12"/>
      <c r="AN853" s="12"/>
      <c r="AO853" s="12"/>
      <c r="AP853" s="12"/>
    </row>
    <row r="854" spans="1:42" ht="30">
      <c r="A854" t="s">
        <v>3086</v>
      </c>
      <c r="B854" s="8"/>
      <c r="C854" s="8" t="s">
        <v>3087</v>
      </c>
      <c r="D854" s="8" t="s">
        <v>134</v>
      </c>
      <c r="E854" s="8" t="s">
        <v>94</v>
      </c>
      <c r="F854" s="8" t="s">
        <v>3087</v>
      </c>
      <c r="G854" s="8" t="s">
        <v>3087</v>
      </c>
      <c r="H854" s="9">
        <v>250000</v>
      </c>
      <c r="I854" s="9">
        <f>[1]!Tabel1[[#This Row],[Honorar]]*[1]!Tabel1[[#This Row],[Sandsynlighed]]</f>
        <v>100000</v>
      </c>
      <c r="J854" s="10" t="s">
        <v>1061</v>
      </c>
      <c r="K854" s="10" t="s">
        <v>1191</v>
      </c>
      <c r="L854" s="17" t="s">
        <v>3088</v>
      </c>
      <c r="M854" s="11">
        <v>0.1</v>
      </c>
      <c r="N854" s="1">
        <v>100</v>
      </c>
      <c r="O854" s="10">
        <v>46279.611921296295</v>
      </c>
      <c r="P854" s="1" t="s">
        <v>72</v>
      </c>
      <c r="Q854" s="1" t="s">
        <v>72</v>
      </c>
      <c r="R854" s="8" t="s">
        <v>49</v>
      </c>
      <c r="S85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5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5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5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5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5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5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5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5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5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5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5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5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54" s="12">
        <f ca="1">[1]!Tabel1[[#This Row],[Vægtet Honorar]]*([1]!Tabel1[[#This Row],[Sidst redigeret]]&gt;TODAY()-40)*([1]!Tabel1[[#This Row],[Er i resplan?]]&lt;&gt;"Ja")*([1]!Tabel1[[#This Row],[Status]]="Pågår")</f>
        <v>0</v>
      </c>
      <c r="AG854" s="12">
        <f ca="1">[1]!Tabel1[[#This Row],[Vægtet Honorar]]*([1]!Tabel1[[#This Row],[Sidst redigeret]]&gt;TODAY()-40)*([1]!Tabel1[[#This Row],[Status]]="Pågår")</f>
        <v>0</v>
      </c>
      <c r="AH854" s="13"/>
      <c r="AI854" s="12"/>
      <c r="AJ854" s="12"/>
      <c r="AK854" s="12"/>
      <c r="AL854" s="12"/>
      <c r="AM854" s="12"/>
      <c r="AN854" s="12"/>
      <c r="AO854" s="12"/>
      <c r="AP854" s="12"/>
    </row>
    <row r="855" spans="1:42" ht="90">
      <c r="A855" t="s">
        <v>3089</v>
      </c>
      <c r="B855" s="8"/>
      <c r="C855" s="8" t="s">
        <v>3090</v>
      </c>
      <c r="D855" s="8" t="s">
        <v>358</v>
      </c>
      <c r="E855" s="8" t="s">
        <v>102</v>
      </c>
      <c r="F855" s="8" t="s">
        <v>3091</v>
      </c>
      <c r="G855" s="8" t="s">
        <v>3091</v>
      </c>
      <c r="H855" s="9">
        <v>50000</v>
      </c>
      <c r="I855" s="9">
        <f>[1]!Tabel1[[#This Row],[Honorar]]*[1]!Tabel1[[#This Row],[Sandsynlighed]]</f>
        <v>25000</v>
      </c>
      <c r="J855" s="10" t="s">
        <v>452</v>
      </c>
      <c r="K855" s="10" t="s">
        <v>1191</v>
      </c>
      <c r="L855" s="17" t="s">
        <v>3092</v>
      </c>
      <c r="M855" s="11">
        <v>0.5</v>
      </c>
      <c r="N855" s="1">
        <v>900</v>
      </c>
      <c r="O855" s="10">
        <v>46279.611921296295</v>
      </c>
      <c r="P855" s="10"/>
      <c r="Q855" s="1" t="s">
        <v>72</v>
      </c>
      <c r="R855" s="8" t="s">
        <v>49</v>
      </c>
      <c r="S85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5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5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5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5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5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5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5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5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5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5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5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5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55" s="12">
        <f ca="1">[1]!Tabel1[[#This Row],[Vægtet Honorar]]*([1]!Tabel1[[#This Row],[Sidst redigeret]]&gt;TODAY()-40)*([1]!Tabel1[[#This Row],[Er i resplan?]]&lt;&gt;"Ja")*([1]!Tabel1[[#This Row],[Status]]="Pågår")</f>
        <v>0</v>
      </c>
      <c r="AG855" s="12">
        <f ca="1">[1]!Tabel1[[#This Row],[Vægtet Honorar]]*([1]!Tabel1[[#This Row],[Sidst redigeret]]&gt;TODAY()-40)*([1]!Tabel1[[#This Row],[Status]]="Pågår")</f>
        <v>0</v>
      </c>
      <c r="AH855" s="13"/>
      <c r="AI855" s="12"/>
      <c r="AJ855" s="12"/>
      <c r="AK855" s="12"/>
      <c r="AL855" s="12"/>
      <c r="AM855" s="12"/>
      <c r="AN855" s="12"/>
      <c r="AO855" s="12"/>
      <c r="AP855" s="12"/>
    </row>
    <row r="856" spans="1:42">
      <c r="A856" t="s">
        <v>3093</v>
      </c>
      <c r="B856" s="8"/>
      <c r="C856" s="8" t="s">
        <v>3094</v>
      </c>
      <c r="D856" s="8" t="s">
        <v>2886</v>
      </c>
      <c r="E856" s="8" t="s">
        <v>120</v>
      </c>
      <c r="F856" s="8" t="s">
        <v>3095</v>
      </c>
      <c r="G856" s="8" t="s">
        <v>1592</v>
      </c>
      <c r="H856" s="9">
        <v>2500000</v>
      </c>
      <c r="I856" s="9">
        <f>[1]!Tabel1[[#This Row],[Honorar]]*[1]!Tabel1[[#This Row],[Sandsynlighed]]</f>
        <v>0</v>
      </c>
      <c r="J856" s="10" t="s">
        <v>329</v>
      </c>
      <c r="K856" s="10" t="s">
        <v>2405</v>
      </c>
      <c r="L856" s="17"/>
      <c r="M856" s="11">
        <v>0.05</v>
      </c>
      <c r="N856" s="1">
        <v>3000</v>
      </c>
      <c r="O856" s="10">
        <v>46279.611921296295</v>
      </c>
      <c r="P856" s="10"/>
      <c r="Q856" s="1" t="s">
        <v>72</v>
      </c>
      <c r="R856" s="8" t="s">
        <v>75</v>
      </c>
      <c r="S85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5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5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5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5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5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5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5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5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5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5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5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5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56" s="12">
        <f ca="1">[1]!Tabel1[[#This Row],[Vægtet Honorar]]*([1]!Tabel1[[#This Row],[Sidst redigeret]]&gt;TODAY()-40)*([1]!Tabel1[[#This Row],[Er i resplan?]]&lt;&gt;"Ja")*([1]!Tabel1[[#This Row],[Status]]="Pågår")</f>
        <v>0</v>
      </c>
      <c r="AG856" s="12">
        <f ca="1">[1]!Tabel1[[#This Row],[Vægtet Honorar]]*([1]!Tabel1[[#This Row],[Sidst redigeret]]&gt;TODAY()-40)*([1]!Tabel1[[#This Row],[Status]]="Pågår")</f>
        <v>0</v>
      </c>
      <c r="AH856" s="13"/>
      <c r="AI856" s="12"/>
      <c r="AJ856" s="12" t="s">
        <v>3050</v>
      </c>
      <c r="AK856" s="12" t="s">
        <v>3050</v>
      </c>
      <c r="AL856" s="12"/>
      <c r="AM856" s="12"/>
      <c r="AN856" s="12"/>
      <c r="AO856" s="12"/>
      <c r="AP856" s="12"/>
    </row>
    <row r="857" spans="1:42" ht="45">
      <c r="A857" t="s">
        <v>3096</v>
      </c>
      <c r="B857" s="8"/>
      <c r="C857" s="8" t="s">
        <v>3097</v>
      </c>
      <c r="D857" s="8" t="s">
        <v>125</v>
      </c>
      <c r="E857" s="8" t="s">
        <v>71</v>
      </c>
      <c r="F857" s="8" t="s">
        <v>3095</v>
      </c>
      <c r="G857" s="8" t="s">
        <v>478</v>
      </c>
      <c r="H857" s="9">
        <v>200000</v>
      </c>
      <c r="I857" s="9">
        <f>[1]!Tabel1[[#This Row],[Honorar]]*[1]!Tabel1[[#This Row],[Sandsynlighed]]</f>
        <v>25000</v>
      </c>
      <c r="J857" s="10" t="s">
        <v>452</v>
      </c>
      <c r="K857" s="10" t="s">
        <v>612</v>
      </c>
      <c r="L857" s="17" t="s">
        <v>3098</v>
      </c>
      <c r="M857" s="11">
        <v>1</v>
      </c>
      <c r="N857" s="1">
        <v>1900</v>
      </c>
      <c r="O857" s="10">
        <v>46279.611921296295</v>
      </c>
      <c r="P857" s="10"/>
      <c r="Q857" s="1" t="s">
        <v>46</v>
      </c>
      <c r="R857" s="8" t="s">
        <v>47</v>
      </c>
      <c r="S85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5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5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5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5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5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5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5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5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5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5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5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5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57" s="12">
        <f ca="1">[1]!Tabel1[[#This Row],[Vægtet Honorar]]*([1]!Tabel1[[#This Row],[Sidst redigeret]]&gt;TODAY()-40)*([1]!Tabel1[[#This Row],[Er i resplan?]]&lt;&gt;"Ja")*([1]!Tabel1[[#This Row],[Status]]="Pågår")</f>
        <v>25000</v>
      </c>
      <c r="AG857" s="12">
        <f ca="1">[1]!Tabel1[[#This Row],[Vægtet Honorar]]*([1]!Tabel1[[#This Row],[Sidst redigeret]]&gt;TODAY()-40)*([1]!Tabel1[[#This Row],[Status]]="Pågår")</f>
        <v>25000</v>
      </c>
      <c r="AH857" s="13"/>
      <c r="AI857" s="12"/>
      <c r="AJ857" s="12"/>
      <c r="AK857" s="12"/>
      <c r="AL857" s="12"/>
      <c r="AM857" s="12"/>
      <c r="AN857" s="12"/>
      <c r="AO857" s="12"/>
      <c r="AP857" s="12"/>
    </row>
    <row r="858" spans="1:42">
      <c r="A858" t="s">
        <v>3099</v>
      </c>
      <c r="B858" s="8"/>
      <c r="C858" s="8" t="s">
        <v>3100</v>
      </c>
      <c r="D858" s="8" t="s">
        <v>3101</v>
      </c>
      <c r="E858" s="8" t="s">
        <v>71</v>
      </c>
      <c r="F858" s="8" t="s">
        <v>516</v>
      </c>
      <c r="G858" s="8" t="s">
        <v>3102</v>
      </c>
      <c r="H858" s="9">
        <v>450000</v>
      </c>
      <c r="I858" s="9">
        <f>[1]!Tabel1[[#This Row],[Honorar]]*[1]!Tabel1[[#This Row],[Sandsynlighed]]</f>
        <v>25000</v>
      </c>
      <c r="J858" s="10" t="s">
        <v>452</v>
      </c>
      <c r="K858" s="10" t="s">
        <v>1310</v>
      </c>
      <c r="L858" s="17"/>
      <c r="M858" s="11">
        <v>1</v>
      </c>
      <c r="N858" s="1" t="s">
        <v>516</v>
      </c>
      <c r="O858" s="10">
        <v>46279.611921296295</v>
      </c>
      <c r="P858" s="10"/>
      <c r="Q858" s="1" t="s">
        <v>46</v>
      </c>
      <c r="R858" s="8" t="s">
        <v>47</v>
      </c>
      <c r="S85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5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5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5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5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5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5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5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5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5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5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5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5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58" s="12">
        <f ca="1">[1]!Tabel1[[#This Row],[Vægtet Honorar]]*([1]!Tabel1[[#This Row],[Sidst redigeret]]&gt;TODAY()-40)*([1]!Tabel1[[#This Row],[Er i resplan?]]&lt;&gt;"Ja")*([1]!Tabel1[[#This Row],[Status]]="Pågår")</f>
        <v>0</v>
      </c>
      <c r="AG858" s="12">
        <f ca="1">[1]!Tabel1[[#This Row],[Vægtet Honorar]]*([1]!Tabel1[[#This Row],[Sidst redigeret]]&gt;TODAY()-40)*([1]!Tabel1[[#This Row],[Status]]="Pågår")</f>
        <v>0</v>
      </c>
      <c r="AH858" s="13"/>
      <c r="AI858" s="12"/>
      <c r="AJ858" s="12"/>
      <c r="AK858" s="12"/>
      <c r="AL858" s="12"/>
      <c r="AM858" s="12"/>
      <c r="AN858" s="12"/>
      <c r="AO858" s="12"/>
      <c r="AP858" s="12"/>
    </row>
    <row r="859" spans="1:42">
      <c r="A859" t="s">
        <v>3103</v>
      </c>
      <c r="B859" s="8"/>
      <c r="C859" s="8" t="s">
        <v>3104</v>
      </c>
      <c r="D859" s="8" t="s">
        <v>2886</v>
      </c>
      <c r="E859" s="8" t="s">
        <v>120</v>
      </c>
      <c r="F859" s="8" t="s">
        <v>1671</v>
      </c>
      <c r="G859" s="8" t="s">
        <v>2917</v>
      </c>
      <c r="H859" s="9">
        <v>4000000</v>
      </c>
      <c r="I859" s="9">
        <f>[1]!Tabel1[[#This Row],[Honorar]]*[1]!Tabel1[[#This Row],[Sandsynlighed]]</f>
        <v>25000</v>
      </c>
      <c r="J859" s="10" t="s">
        <v>452</v>
      </c>
      <c r="K859" s="10" t="s">
        <v>1310</v>
      </c>
      <c r="L859" s="17"/>
      <c r="M859" s="11">
        <v>0.05</v>
      </c>
      <c r="N859" s="1" t="s">
        <v>516</v>
      </c>
      <c r="O859" s="10">
        <v>46279.611921296295</v>
      </c>
      <c r="P859" s="10"/>
      <c r="Q859" s="1" t="s">
        <v>72</v>
      </c>
      <c r="R859" s="8" t="s">
        <v>49</v>
      </c>
      <c r="S85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5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5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5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5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5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5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5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5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5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5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5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5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59" s="12">
        <f ca="1">[1]!Tabel1[[#This Row],[Vægtet Honorar]]*([1]!Tabel1[[#This Row],[Sidst redigeret]]&gt;TODAY()-40)*([1]!Tabel1[[#This Row],[Er i resplan?]]&lt;&gt;"Ja")*([1]!Tabel1[[#This Row],[Status]]="Pågår")</f>
        <v>0</v>
      </c>
      <c r="AG859" s="12">
        <f ca="1">[1]!Tabel1[[#This Row],[Vægtet Honorar]]*([1]!Tabel1[[#This Row],[Sidst redigeret]]&gt;TODAY()-40)*([1]!Tabel1[[#This Row],[Status]]="Pågår")</f>
        <v>0</v>
      </c>
      <c r="AH859" s="13"/>
      <c r="AI859" s="12"/>
      <c r="AJ859" s="12" t="s">
        <v>2917</v>
      </c>
      <c r="AK859" s="12"/>
      <c r="AL859" s="12" t="s">
        <v>3105</v>
      </c>
      <c r="AM859" s="12" t="s">
        <v>3106</v>
      </c>
      <c r="AN859" s="12"/>
      <c r="AO859" s="12">
        <v>45541</v>
      </c>
      <c r="AP859" s="12"/>
    </row>
    <row r="860" spans="1:42">
      <c r="A860" t="s">
        <v>3107</v>
      </c>
      <c r="B860" s="8"/>
      <c r="C860" s="8" t="s">
        <v>3108</v>
      </c>
      <c r="D860" s="8" t="s">
        <v>57</v>
      </c>
      <c r="E860" s="8" t="s">
        <v>94</v>
      </c>
      <c r="F860" s="8" t="s">
        <v>3109</v>
      </c>
      <c r="G860" s="8" t="s">
        <v>3110</v>
      </c>
      <c r="H860" s="9">
        <v>3500000</v>
      </c>
      <c r="I860" s="9">
        <f>[1]!Tabel1[[#This Row],[Honorar]]*[1]!Tabel1[[#This Row],[Sandsynlighed]]</f>
        <v>25000</v>
      </c>
      <c r="J860" s="10" t="s">
        <v>1061</v>
      </c>
      <c r="K860" s="10" t="s">
        <v>898</v>
      </c>
      <c r="L860" s="17" t="s">
        <v>3111</v>
      </c>
      <c r="M860" s="11">
        <v>0.01</v>
      </c>
      <c r="N860" s="1">
        <v>4000</v>
      </c>
      <c r="O860" s="10">
        <v>46279.611921296295</v>
      </c>
      <c r="P860" s="1" t="s">
        <v>72</v>
      </c>
      <c r="Q860" s="1" t="s">
        <v>72</v>
      </c>
      <c r="R860" s="8" t="s">
        <v>75</v>
      </c>
      <c r="S86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6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6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6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6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6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6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6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6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6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6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6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6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60" s="12">
        <f ca="1">[1]!Tabel1[[#This Row],[Vægtet Honorar]]*([1]!Tabel1[[#This Row],[Sidst redigeret]]&gt;TODAY()-40)*([1]!Tabel1[[#This Row],[Er i resplan?]]&lt;&gt;"Ja")*([1]!Tabel1[[#This Row],[Status]]="Pågår")</f>
        <v>0</v>
      </c>
      <c r="AG860" s="12">
        <f ca="1">[1]!Tabel1[[#This Row],[Vægtet Honorar]]*([1]!Tabel1[[#This Row],[Sidst redigeret]]&gt;TODAY()-40)*([1]!Tabel1[[#This Row],[Status]]="Pågår")</f>
        <v>0</v>
      </c>
      <c r="AH860" s="13"/>
      <c r="AI860" s="12"/>
      <c r="AJ860" s="12" t="s">
        <v>3112</v>
      </c>
      <c r="AK860" s="12" t="s">
        <v>3113</v>
      </c>
      <c r="AL860" s="12"/>
      <c r="AM860" s="12"/>
      <c r="AN860" s="12"/>
      <c r="AO860" s="12"/>
      <c r="AP860" s="12"/>
    </row>
    <row r="861" spans="1:42" ht="60">
      <c r="A861" t="s">
        <v>3114</v>
      </c>
      <c r="B861" s="8"/>
      <c r="C861" s="8" t="s">
        <v>1015</v>
      </c>
      <c r="D861" s="8" t="s">
        <v>57</v>
      </c>
      <c r="E861" s="8" t="s">
        <v>94</v>
      </c>
      <c r="F861" s="8"/>
      <c r="G861" s="8" t="s">
        <v>3110</v>
      </c>
      <c r="H861" s="9">
        <v>2000000</v>
      </c>
      <c r="I861" s="9">
        <f>[1]!Tabel1[[#This Row],[Honorar]]*[1]!Tabel1[[#This Row],[Sandsynlighed]]</f>
        <v>125000</v>
      </c>
      <c r="J861" s="10" t="s">
        <v>1061</v>
      </c>
      <c r="K861" s="10" t="s">
        <v>898</v>
      </c>
      <c r="L861" s="17" t="s">
        <v>3115</v>
      </c>
      <c r="M861" s="11">
        <v>0.01</v>
      </c>
      <c r="N861" s="1"/>
      <c r="O861" s="10">
        <v>46279.611921296295</v>
      </c>
      <c r="P861" s="1" t="s">
        <v>72</v>
      </c>
      <c r="Q861" s="1" t="s">
        <v>72</v>
      </c>
      <c r="R861" s="8" t="s">
        <v>49</v>
      </c>
      <c r="S86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6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6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6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6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6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6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6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6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6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6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6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6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61" s="12">
        <f ca="1">[1]!Tabel1[[#This Row],[Vægtet Honorar]]*([1]!Tabel1[[#This Row],[Sidst redigeret]]&gt;TODAY()-40)*([1]!Tabel1[[#This Row],[Er i resplan?]]&lt;&gt;"Ja")*([1]!Tabel1[[#This Row],[Status]]="Pågår")</f>
        <v>0</v>
      </c>
      <c r="AG861" s="12">
        <f ca="1">[1]!Tabel1[[#This Row],[Vægtet Honorar]]*([1]!Tabel1[[#This Row],[Sidst redigeret]]&gt;TODAY()-40)*([1]!Tabel1[[#This Row],[Status]]="Pågår")</f>
        <v>0</v>
      </c>
      <c r="AH861" s="13"/>
      <c r="AI861" s="12"/>
      <c r="AJ861" s="12" t="s">
        <v>2115</v>
      </c>
      <c r="AK861" s="12" t="s">
        <v>3113</v>
      </c>
      <c r="AL861" s="12"/>
      <c r="AM861" s="12"/>
      <c r="AN861" s="12"/>
      <c r="AO861" s="12"/>
      <c r="AP861" s="12"/>
    </row>
    <row r="862" spans="1:42" ht="30">
      <c r="A862" t="s">
        <v>3116</v>
      </c>
      <c r="B862" s="8"/>
      <c r="C862" s="8" t="s">
        <v>3117</v>
      </c>
      <c r="D862" s="8" t="s">
        <v>200</v>
      </c>
      <c r="E862" s="8" t="s">
        <v>120</v>
      </c>
      <c r="F862" s="8"/>
      <c r="G862" s="8" t="s">
        <v>691</v>
      </c>
      <c r="H862" s="9">
        <v>2000000</v>
      </c>
      <c r="I862" s="9">
        <f>[1]!Tabel1[[#This Row],[Honorar]]*[1]!Tabel1[[#This Row],[Sandsynlighed]]</f>
        <v>200000</v>
      </c>
      <c r="J862" s="10" t="s">
        <v>1061</v>
      </c>
      <c r="K862" s="10" t="s">
        <v>898</v>
      </c>
      <c r="L862" s="17" t="s">
        <v>3118</v>
      </c>
      <c r="M862" s="11">
        <v>0.01</v>
      </c>
      <c r="N862" s="1"/>
      <c r="O862" s="10">
        <v>46279.611921296295</v>
      </c>
      <c r="P862" s="10"/>
      <c r="Q862" s="1" t="s">
        <v>72</v>
      </c>
      <c r="R862" s="8" t="s">
        <v>49</v>
      </c>
      <c r="S86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6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6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6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6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6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6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6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6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6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6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6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6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62" s="12">
        <f ca="1">[1]!Tabel1[[#This Row],[Vægtet Honorar]]*([1]!Tabel1[[#This Row],[Sidst redigeret]]&gt;TODAY()-40)*([1]!Tabel1[[#This Row],[Er i resplan?]]&lt;&gt;"Ja")*([1]!Tabel1[[#This Row],[Status]]="Pågår")</f>
        <v>0</v>
      </c>
      <c r="AG862" s="12">
        <f ca="1">[1]!Tabel1[[#This Row],[Vægtet Honorar]]*([1]!Tabel1[[#This Row],[Sidst redigeret]]&gt;TODAY()-40)*([1]!Tabel1[[#This Row],[Status]]="Pågår")</f>
        <v>0</v>
      </c>
      <c r="AH862" s="13"/>
      <c r="AI862" s="12"/>
      <c r="AJ862" s="12" t="s">
        <v>2868</v>
      </c>
      <c r="AK862" s="12"/>
      <c r="AL862" s="12" t="s">
        <v>1009</v>
      </c>
      <c r="AM862" s="12"/>
      <c r="AN862" s="12"/>
      <c r="AO862" s="12">
        <v>45553</v>
      </c>
      <c r="AP862" s="12"/>
    </row>
    <row r="863" spans="1:42" ht="75">
      <c r="A863" t="s">
        <v>3119</v>
      </c>
      <c r="B863" s="8"/>
      <c r="C863" s="8" t="s">
        <v>3120</v>
      </c>
      <c r="D863" s="8" t="s">
        <v>2368</v>
      </c>
      <c r="E863" s="8" t="s">
        <v>94</v>
      </c>
      <c r="F863" s="8" t="s">
        <v>3121</v>
      </c>
      <c r="G863" s="8" t="s">
        <v>3122</v>
      </c>
      <c r="H863" s="9">
        <v>1300000</v>
      </c>
      <c r="I863" s="9">
        <f>[1]!Tabel1[[#This Row],[Honorar]]*[1]!Tabel1[[#This Row],[Sandsynlighed]]</f>
        <v>450000</v>
      </c>
      <c r="J863" s="10" t="s">
        <v>1287</v>
      </c>
      <c r="K863" s="10" t="s">
        <v>342</v>
      </c>
      <c r="L863" s="17" t="s">
        <v>3123</v>
      </c>
      <c r="M863" s="11">
        <v>1</v>
      </c>
      <c r="N863" s="1">
        <v>1500</v>
      </c>
      <c r="O863" s="10">
        <v>46279.611921296295</v>
      </c>
      <c r="P863" s="1" t="s">
        <v>72</v>
      </c>
      <c r="Q863" s="1" t="s">
        <v>46</v>
      </c>
      <c r="R863" s="8" t="s">
        <v>47</v>
      </c>
      <c r="S86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6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6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6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6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6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6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6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6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6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6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6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6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63" s="12">
        <f ca="1">[1]!Tabel1[[#This Row],[Vægtet Honorar]]*([1]!Tabel1[[#This Row],[Sidst redigeret]]&gt;TODAY()-40)*([1]!Tabel1[[#This Row],[Er i resplan?]]&lt;&gt;"Ja")*([1]!Tabel1[[#This Row],[Status]]="Pågår")</f>
        <v>0</v>
      </c>
      <c r="AG863" s="12">
        <f ca="1">[1]!Tabel1[[#This Row],[Vægtet Honorar]]*([1]!Tabel1[[#This Row],[Sidst redigeret]]&gt;TODAY()-40)*([1]!Tabel1[[#This Row],[Status]]="Pågår")</f>
        <v>0</v>
      </c>
      <c r="AH863" s="13"/>
      <c r="AI863" s="12"/>
      <c r="AJ863" s="12" t="s">
        <v>3124</v>
      </c>
      <c r="AK863" s="12" t="s">
        <v>3125</v>
      </c>
      <c r="AL863" s="12"/>
      <c r="AM863" s="12"/>
      <c r="AN863" s="12"/>
      <c r="AO863" s="12"/>
      <c r="AP863" s="12"/>
    </row>
    <row r="864" spans="1:42" ht="30">
      <c r="A864" t="s">
        <v>3126</v>
      </c>
      <c r="B864" s="8"/>
      <c r="C864" s="8" t="s">
        <v>3127</v>
      </c>
      <c r="D864" s="8" t="s">
        <v>720</v>
      </c>
      <c r="E864" s="8" t="s">
        <v>71</v>
      </c>
      <c r="F864" s="8" t="s">
        <v>3128</v>
      </c>
      <c r="G864" s="8" t="s">
        <v>2959</v>
      </c>
      <c r="H864" s="9">
        <v>1500000</v>
      </c>
      <c r="I864" s="9">
        <f>[1]!Tabel1[[#This Row],[Honorar]]*[1]!Tabel1[[#This Row],[Sandsynlighed]]</f>
        <v>200000</v>
      </c>
      <c r="J864" s="10" t="s">
        <v>1061</v>
      </c>
      <c r="K864" s="10" t="s">
        <v>342</v>
      </c>
      <c r="L864" s="17" t="s">
        <v>3129</v>
      </c>
      <c r="M864" s="11">
        <v>0.05</v>
      </c>
      <c r="N864" s="1">
        <v>3940</v>
      </c>
      <c r="O864" s="10">
        <v>46279.611921296295</v>
      </c>
      <c r="P864" s="10"/>
      <c r="Q864" s="1" t="s">
        <v>72</v>
      </c>
      <c r="R864" s="8" t="s">
        <v>343</v>
      </c>
      <c r="S86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6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6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6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6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6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6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6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6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6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6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6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6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64" s="12">
        <f ca="1">[1]!Tabel1[[#This Row],[Vægtet Honorar]]*([1]!Tabel1[[#This Row],[Sidst redigeret]]&gt;TODAY()-40)*([1]!Tabel1[[#This Row],[Er i resplan?]]&lt;&gt;"Ja")*([1]!Tabel1[[#This Row],[Status]]="Pågår")</f>
        <v>0</v>
      </c>
      <c r="AG864" s="12">
        <f ca="1">[1]!Tabel1[[#This Row],[Vægtet Honorar]]*([1]!Tabel1[[#This Row],[Sidst redigeret]]&gt;TODAY()-40)*([1]!Tabel1[[#This Row],[Status]]="Pågår")</f>
        <v>0</v>
      </c>
      <c r="AH864" s="13"/>
      <c r="AI864" s="12"/>
      <c r="AJ864" s="12" t="s">
        <v>2944</v>
      </c>
      <c r="AK864" s="12" t="s">
        <v>2959</v>
      </c>
      <c r="AL864" s="12"/>
      <c r="AM864" s="12"/>
      <c r="AN864" s="12" t="s">
        <v>3130</v>
      </c>
      <c r="AO864" s="12"/>
      <c r="AP864" s="12"/>
    </row>
    <row r="865" spans="1:42" ht="60">
      <c r="A865" t="s">
        <v>3131</v>
      </c>
      <c r="B865" s="8"/>
      <c r="C865" s="8" t="s">
        <v>3132</v>
      </c>
      <c r="D865" s="8" t="s">
        <v>65</v>
      </c>
      <c r="E865" s="8" t="s">
        <v>167</v>
      </c>
      <c r="F865" s="8"/>
      <c r="G865" s="8" t="s">
        <v>888</v>
      </c>
      <c r="H865" s="9">
        <v>500000</v>
      </c>
      <c r="I865" s="9">
        <f>[1]!Tabel1[[#This Row],[Honorar]]*[1]!Tabel1[[#This Row],[Sandsynlighed]]</f>
        <v>35000</v>
      </c>
      <c r="J865" s="10" t="s">
        <v>612</v>
      </c>
      <c r="K865" s="10" t="s">
        <v>1191</v>
      </c>
      <c r="L865" s="17" t="s">
        <v>3133</v>
      </c>
      <c r="M865" s="11">
        <v>1</v>
      </c>
      <c r="N865" s="1"/>
      <c r="O865" s="10">
        <v>46279.611921296295</v>
      </c>
      <c r="P865" s="10"/>
      <c r="Q865" s="1" t="s">
        <v>72</v>
      </c>
      <c r="R865" s="8" t="s">
        <v>343</v>
      </c>
      <c r="S86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6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6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6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6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6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6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6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6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6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6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6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6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65" s="12">
        <f ca="1">[1]!Tabel1[[#This Row],[Vægtet Honorar]]*([1]!Tabel1[[#This Row],[Sidst redigeret]]&gt;TODAY()-40)*([1]!Tabel1[[#This Row],[Er i resplan?]]&lt;&gt;"Ja")*([1]!Tabel1[[#This Row],[Status]]="Pågår")</f>
        <v>0</v>
      </c>
      <c r="AG865" s="12">
        <f ca="1">[1]!Tabel1[[#This Row],[Vægtet Honorar]]*([1]!Tabel1[[#This Row],[Sidst redigeret]]&gt;TODAY()-40)*([1]!Tabel1[[#This Row],[Status]]="Pågår")</f>
        <v>0</v>
      </c>
      <c r="AH865" s="13"/>
      <c r="AI865" s="12"/>
      <c r="AJ865" s="12"/>
      <c r="AK865" s="12"/>
      <c r="AL865" s="12"/>
      <c r="AM865" s="12"/>
      <c r="AN865" s="12"/>
      <c r="AO865" s="12"/>
      <c r="AP865" s="12"/>
    </row>
    <row r="866" spans="1:42" ht="60">
      <c r="A866" t="s">
        <v>3134</v>
      </c>
      <c r="B866" s="8"/>
      <c r="C866" s="8" t="s">
        <v>3135</v>
      </c>
      <c r="D866" s="8" t="s">
        <v>1468</v>
      </c>
      <c r="E866" s="8" t="s">
        <v>167</v>
      </c>
      <c r="F866" s="8"/>
      <c r="G866" s="8" t="s">
        <v>3000</v>
      </c>
      <c r="H866" s="9">
        <v>991000</v>
      </c>
      <c r="I866" s="9">
        <f>[1]!Tabel1[[#This Row],[Honorar]]*[1]!Tabel1[[#This Row],[Sandsynlighed]]</f>
        <v>20000</v>
      </c>
      <c r="J866" s="10" t="s">
        <v>329</v>
      </c>
      <c r="K866" s="10" t="s">
        <v>1191</v>
      </c>
      <c r="L866" s="17" t="s">
        <v>3136</v>
      </c>
      <c r="M866" s="11">
        <v>0.8</v>
      </c>
      <c r="N866" s="1"/>
      <c r="O866" s="10">
        <v>46279.611921296295</v>
      </c>
      <c r="P866" s="10" t="s">
        <v>46</v>
      </c>
      <c r="Q866" s="1" t="s">
        <v>46</v>
      </c>
      <c r="R866" s="8" t="s">
        <v>47</v>
      </c>
      <c r="S86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6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6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6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6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6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6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6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6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6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6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6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6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66" s="12">
        <f ca="1">[1]!Tabel1[[#This Row],[Vægtet Honorar]]*([1]!Tabel1[[#This Row],[Sidst redigeret]]&gt;TODAY()-40)*([1]!Tabel1[[#This Row],[Er i resplan?]]&lt;&gt;"Ja")*([1]!Tabel1[[#This Row],[Status]]="Pågår")</f>
        <v>0</v>
      </c>
      <c r="AG866" s="12">
        <f ca="1">[1]!Tabel1[[#This Row],[Vægtet Honorar]]*([1]!Tabel1[[#This Row],[Sidst redigeret]]&gt;TODAY()-40)*([1]!Tabel1[[#This Row],[Status]]="Pågår")</f>
        <v>0</v>
      </c>
      <c r="AH866" s="13"/>
      <c r="AI866" s="12"/>
      <c r="AJ866" s="12"/>
      <c r="AK866" s="12"/>
      <c r="AL866" s="12"/>
      <c r="AM866" s="12"/>
      <c r="AN866" s="12"/>
      <c r="AO866" s="12"/>
      <c r="AP866" s="12"/>
    </row>
    <row r="867" spans="1:42">
      <c r="A867" t="s">
        <v>3137</v>
      </c>
      <c r="B867" s="8"/>
      <c r="C867" s="8" t="s">
        <v>3138</v>
      </c>
      <c r="D867" s="8" t="s">
        <v>57</v>
      </c>
      <c r="E867" s="8" t="s">
        <v>167</v>
      </c>
      <c r="F867" s="8" t="s">
        <v>2229</v>
      </c>
      <c r="G867" s="8" t="s">
        <v>2229</v>
      </c>
      <c r="H867" s="9">
        <v>850000</v>
      </c>
      <c r="I867" s="9">
        <f>[1]!Tabel1[[#This Row],[Honorar]]*[1]!Tabel1[[#This Row],[Sandsynlighed]]</f>
        <v>20000</v>
      </c>
      <c r="J867" s="10" t="s">
        <v>612</v>
      </c>
      <c r="K867" s="10" t="s">
        <v>1191</v>
      </c>
      <c r="L867" s="17"/>
      <c r="M867" s="11">
        <v>0.05</v>
      </c>
      <c r="N867" s="1"/>
      <c r="O867" s="10">
        <v>46279.611921296295</v>
      </c>
      <c r="P867" s="10"/>
      <c r="Q867" s="1" t="s">
        <v>72</v>
      </c>
      <c r="R867" s="8" t="s">
        <v>49</v>
      </c>
      <c r="S86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6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6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6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6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6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6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6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6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6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6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6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6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67" s="12">
        <f ca="1">[1]!Tabel1[[#This Row],[Vægtet Honorar]]*([1]!Tabel1[[#This Row],[Sidst redigeret]]&gt;TODAY()-40)*([1]!Tabel1[[#This Row],[Er i resplan?]]&lt;&gt;"Ja")*([1]!Tabel1[[#This Row],[Status]]="Pågår")</f>
        <v>0</v>
      </c>
      <c r="AG867" s="12">
        <f ca="1">[1]!Tabel1[[#This Row],[Vægtet Honorar]]*([1]!Tabel1[[#This Row],[Sidst redigeret]]&gt;TODAY()-40)*([1]!Tabel1[[#This Row],[Status]]="Pågår")</f>
        <v>0</v>
      </c>
      <c r="AH867" s="13"/>
      <c r="AI867" s="12"/>
      <c r="AJ867" s="12"/>
      <c r="AK867" s="12"/>
      <c r="AL867" s="12"/>
      <c r="AM867" s="12"/>
      <c r="AN867" s="12"/>
      <c r="AO867" s="12"/>
      <c r="AP867" s="12"/>
    </row>
    <row r="868" spans="1:42" ht="75">
      <c r="A868" t="s">
        <v>3139</v>
      </c>
      <c r="B868" s="8"/>
      <c r="C868" s="8" t="s">
        <v>3140</v>
      </c>
      <c r="D868" s="8" t="s">
        <v>3141</v>
      </c>
      <c r="E868" s="8" t="s">
        <v>94</v>
      </c>
      <c r="F868" s="8" t="s">
        <v>3142</v>
      </c>
      <c r="G868" s="8" t="s">
        <v>3142</v>
      </c>
      <c r="H868" s="9">
        <v>3150000</v>
      </c>
      <c r="I868" s="9">
        <f>[1]!Tabel1[[#This Row],[Honorar]]*[1]!Tabel1[[#This Row],[Sandsynlighed]]</f>
        <v>1300000</v>
      </c>
      <c r="J868" s="10" t="s">
        <v>1191</v>
      </c>
      <c r="K868" s="10" t="s">
        <v>1861</v>
      </c>
      <c r="L868" s="17" t="s">
        <v>3143</v>
      </c>
      <c r="M868" s="11">
        <v>0.02</v>
      </c>
      <c r="N868" s="1">
        <v>25000</v>
      </c>
      <c r="O868" s="10">
        <v>46279.611921296295</v>
      </c>
      <c r="P868" s="1" t="s">
        <v>72</v>
      </c>
      <c r="Q868" s="1" t="s">
        <v>72</v>
      </c>
      <c r="R868" s="8" t="s">
        <v>49</v>
      </c>
      <c r="S86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6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6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6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6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6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6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6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6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6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6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6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6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68" s="12">
        <f ca="1">[1]!Tabel1[[#This Row],[Vægtet Honorar]]*([1]!Tabel1[[#This Row],[Sidst redigeret]]&gt;TODAY()-40)*([1]!Tabel1[[#This Row],[Er i resplan?]]&lt;&gt;"Ja")*([1]!Tabel1[[#This Row],[Status]]="Pågår")</f>
        <v>0</v>
      </c>
      <c r="AG868" s="12">
        <f ca="1">[1]!Tabel1[[#This Row],[Vægtet Honorar]]*([1]!Tabel1[[#This Row],[Sidst redigeret]]&gt;TODAY()-40)*([1]!Tabel1[[#This Row],[Status]]="Pågår")</f>
        <v>0</v>
      </c>
      <c r="AH868" s="13"/>
      <c r="AI868" s="12"/>
      <c r="AJ868" s="12"/>
      <c r="AK868" s="12"/>
      <c r="AL868" s="12"/>
      <c r="AM868" s="12"/>
      <c r="AN868" s="12"/>
      <c r="AO868" s="12"/>
      <c r="AP868" s="12"/>
    </row>
    <row r="869" spans="1:42">
      <c r="A869" t="s">
        <v>3144</v>
      </c>
      <c r="B869" s="8"/>
      <c r="C869" s="8" t="s">
        <v>3145</v>
      </c>
      <c r="D869" s="8" t="s">
        <v>720</v>
      </c>
      <c r="E869" s="8" t="s">
        <v>71</v>
      </c>
      <c r="F869" s="8" t="s">
        <v>1055</v>
      </c>
      <c r="G869" s="8" t="s">
        <v>1055</v>
      </c>
      <c r="H869" s="9">
        <v>35000</v>
      </c>
      <c r="I869" s="9">
        <f>[1]!Tabel1[[#This Row],[Honorar]]*[1]!Tabel1[[#This Row],[Sandsynlighed]]</f>
        <v>75000</v>
      </c>
      <c r="J869" s="10" t="s">
        <v>452</v>
      </c>
      <c r="K869" s="10" t="s">
        <v>612</v>
      </c>
      <c r="L869" s="17"/>
      <c r="M869" s="11">
        <v>1</v>
      </c>
      <c r="N869" s="1"/>
      <c r="O869" s="10">
        <v>46279.611921296295</v>
      </c>
      <c r="P869" s="10"/>
      <c r="Q869" s="1" t="s">
        <v>46</v>
      </c>
      <c r="R869" s="8" t="s">
        <v>47</v>
      </c>
      <c r="S86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6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6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6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6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6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6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6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6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6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6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6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6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69" s="12">
        <f ca="1">[1]!Tabel1[[#This Row],[Vægtet Honorar]]*([1]!Tabel1[[#This Row],[Sidst redigeret]]&gt;TODAY()-40)*([1]!Tabel1[[#This Row],[Er i resplan?]]&lt;&gt;"Ja")*([1]!Tabel1[[#This Row],[Status]]="Pågår")</f>
        <v>75000</v>
      </c>
      <c r="AG869" s="12">
        <f ca="1">[1]!Tabel1[[#This Row],[Vægtet Honorar]]*([1]!Tabel1[[#This Row],[Sidst redigeret]]&gt;TODAY()-40)*([1]!Tabel1[[#This Row],[Status]]="Pågår")</f>
        <v>75000</v>
      </c>
      <c r="AH869" s="13"/>
      <c r="AI869" s="12"/>
      <c r="AJ869" s="12"/>
      <c r="AK869" s="12"/>
      <c r="AL869" s="12"/>
      <c r="AM869" s="12"/>
      <c r="AN869" s="12"/>
      <c r="AO869" s="12"/>
      <c r="AP869" s="12"/>
    </row>
    <row r="870" spans="1:42">
      <c r="A870" t="s">
        <v>3146</v>
      </c>
      <c r="B870" s="8"/>
      <c r="C870" s="8" t="s">
        <v>3147</v>
      </c>
      <c r="D870" s="8" t="s">
        <v>2886</v>
      </c>
      <c r="E870" s="8" t="s">
        <v>120</v>
      </c>
      <c r="F870" s="8" t="s">
        <v>749</v>
      </c>
      <c r="G870" s="8" t="s">
        <v>3148</v>
      </c>
      <c r="H870" s="9">
        <v>1000000</v>
      </c>
      <c r="I870" s="9">
        <f>[1]!Tabel1[[#This Row],[Honorar]]*[1]!Tabel1[[#This Row],[Sandsynlighed]]</f>
        <v>500000</v>
      </c>
      <c r="J870" s="10" t="s">
        <v>612</v>
      </c>
      <c r="K870" s="10" t="s">
        <v>585</v>
      </c>
      <c r="L870" s="17"/>
      <c r="M870" s="11">
        <v>0.2</v>
      </c>
      <c r="N870" s="1"/>
      <c r="O870" s="10">
        <v>46279.611921296295</v>
      </c>
      <c r="P870" s="10"/>
      <c r="Q870" s="1" t="s">
        <v>46</v>
      </c>
      <c r="R870" s="8" t="s">
        <v>75</v>
      </c>
      <c r="S87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7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7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7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7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7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7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7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7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7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7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7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7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70" s="12">
        <f ca="1">[1]!Tabel1[[#This Row],[Vægtet Honorar]]*([1]!Tabel1[[#This Row],[Sidst redigeret]]&gt;TODAY()-40)*([1]!Tabel1[[#This Row],[Er i resplan?]]&lt;&gt;"Ja")*([1]!Tabel1[[#This Row],[Status]]="Pågår")</f>
        <v>500000</v>
      </c>
      <c r="AG870" s="12">
        <f ca="1">[1]!Tabel1[[#This Row],[Vægtet Honorar]]*([1]!Tabel1[[#This Row],[Sidst redigeret]]&gt;TODAY()-40)*([1]!Tabel1[[#This Row],[Status]]="Pågår")</f>
        <v>500000</v>
      </c>
      <c r="AH870" s="13"/>
      <c r="AI870" s="12"/>
      <c r="AJ870" s="12"/>
      <c r="AK870" s="12"/>
      <c r="AL870" s="12"/>
      <c r="AM870" s="12"/>
      <c r="AN870" s="12"/>
      <c r="AO870" s="12"/>
      <c r="AP870" s="12"/>
    </row>
    <row r="871" spans="1:42" ht="75">
      <c r="A871" t="s">
        <v>3149</v>
      </c>
      <c r="B871" s="8"/>
      <c r="C871" s="8" t="s">
        <v>3150</v>
      </c>
      <c r="D871" s="8" t="s">
        <v>57</v>
      </c>
      <c r="E871" s="8" t="s">
        <v>167</v>
      </c>
      <c r="F871" s="8" t="s">
        <v>3151</v>
      </c>
      <c r="G871" s="8" t="s">
        <v>3152</v>
      </c>
      <c r="H871" s="9">
        <v>8000000</v>
      </c>
      <c r="I871" s="9">
        <f>[1]!Tabel1[[#This Row],[Honorar]]*[1]!Tabel1[[#This Row],[Sandsynlighed]]</f>
        <v>792800</v>
      </c>
      <c r="J871" s="10" t="s">
        <v>329</v>
      </c>
      <c r="K871" s="10" t="s">
        <v>1430</v>
      </c>
      <c r="L871" s="17" t="s">
        <v>3153</v>
      </c>
      <c r="M871" s="11">
        <v>0.01</v>
      </c>
      <c r="N871" s="1">
        <v>35000</v>
      </c>
      <c r="O871" s="10">
        <v>46279.611921296295</v>
      </c>
      <c r="P871" s="10"/>
      <c r="Q871" s="1" t="s">
        <v>72</v>
      </c>
      <c r="R871" s="8" t="s">
        <v>49</v>
      </c>
      <c r="S87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7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7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7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7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7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7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7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7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7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7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7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7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71" s="12">
        <f ca="1">[1]!Tabel1[[#This Row],[Vægtet Honorar]]*([1]!Tabel1[[#This Row],[Sidst redigeret]]&gt;TODAY()-40)*([1]!Tabel1[[#This Row],[Er i resplan?]]&lt;&gt;"Ja")*([1]!Tabel1[[#This Row],[Status]]="Pågår")</f>
        <v>0</v>
      </c>
      <c r="AG871" s="12">
        <f ca="1">[1]!Tabel1[[#This Row],[Vægtet Honorar]]*([1]!Tabel1[[#This Row],[Sidst redigeret]]&gt;TODAY()-40)*([1]!Tabel1[[#This Row],[Status]]="Pågår")</f>
        <v>0</v>
      </c>
      <c r="AH871" s="13"/>
      <c r="AI871" s="12"/>
      <c r="AJ871" s="12" t="s">
        <v>402</v>
      </c>
      <c r="AK871" s="12" t="s">
        <v>3154</v>
      </c>
      <c r="AL871" s="12"/>
      <c r="AM871" s="12"/>
      <c r="AN871" s="12"/>
      <c r="AO871" s="12"/>
      <c r="AP871" s="12"/>
    </row>
    <row r="872" spans="1:42" ht="75">
      <c r="A872" t="s">
        <v>3155</v>
      </c>
      <c r="B872" s="8"/>
      <c r="C872" s="8" t="s">
        <v>1708</v>
      </c>
      <c r="D872" s="8" t="s">
        <v>57</v>
      </c>
      <c r="E872" s="8" t="s">
        <v>167</v>
      </c>
      <c r="F872" s="8" t="s">
        <v>460</v>
      </c>
      <c r="G872" s="8" t="s">
        <v>460</v>
      </c>
      <c r="H872" s="9">
        <v>9000000</v>
      </c>
      <c r="I872" s="9">
        <f>[1]!Tabel1[[#This Row],[Honorar]]*[1]!Tabel1[[#This Row],[Sandsynlighed]]</f>
        <v>42500</v>
      </c>
      <c r="J872" s="10" t="s">
        <v>329</v>
      </c>
      <c r="K872" s="10" t="s">
        <v>1430</v>
      </c>
      <c r="L872" s="17" t="s">
        <v>3156</v>
      </c>
      <c r="M872" s="11">
        <v>0</v>
      </c>
      <c r="N872" s="1" t="s">
        <v>49</v>
      </c>
      <c r="O872" s="10">
        <v>46279.611921296295</v>
      </c>
      <c r="P872" s="10"/>
      <c r="Q872" s="1" t="s">
        <v>72</v>
      </c>
      <c r="R872" s="8" t="s">
        <v>49</v>
      </c>
      <c r="S87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7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7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7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7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7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7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7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7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7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7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7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7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72" s="12">
        <f ca="1">[1]!Tabel1[[#This Row],[Vægtet Honorar]]*([1]!Tabel1[[#This Row],[Sidst redigeret]]&gt;TODAY()-40)*([1]!Tabel1[[#This Row],[Er i resplan?]]&lt;&gt;"Ja")*([1]!Tabel1[[#This Row],[Status]]="Pågår")</f>
        <v>0</v>
      </c>
      <c r="AG872" s="12">
        <f ca="1">[1]!Tabel1[[#This Row],[Vægtet Honorar]]*([1]!Tabel1[[#This Row],[Sidst redigeret]]&gt;TODAY()-40)*([1]!Tabel1[[#This Row],[Status]]="Pågår")</f>
        <v>0</v>
      </c>
      <c r="AH872" s="13"/>
      <c r="AI872" s="12"/>
      <c r="AJ872" s="12" t="s">
        <v>402</v>
      </c>
      <c r="AK872" s="12" t="s">
        <v>3154</v>
      </c>
      <c r="AL872" s="12"/>
      <c r="AM872" s="12"/>
      <c r="AN872" s="12"/>
      <c r="AO872" s="12"/>
      <c r="AP872" s="12"/>
    </row>
    <row r="873" spans="1:42">
      <c r="A873" t="s">
        <v>3157</v>
      </c>
      <c r="B873" s="8"/>
      <c r="C873" s="8" t="s">
        <v>3158</v>
      </c>
      <c r="D873" s="8" t="s">
        <v>269</v>
      </c>
      <c r="E873" s="8" t="s">
        <v>167</v>
      </c>
      <c r="F873" s="8" t="s">
        <v>3159</v>
      </c>
      <c r="G873" s="8" t="s">
        <v>3160</v>
      </c>
      <c r="H873" s="9">
        <v>250000</v>
      </c>
      <c r="I873" s="9">
        <f>[1]!Tabel1[[#This Row],[Honorar]]*[1]!Tabel1[[#This Row],[Sandsynlighed]]</f>
        <v>63000</v>
      </c>
      <c r="J873" s="10" t="s">
        <v>1061</v>
      </c>
      <c r="K873" s="10" t="s">
        <v>1191</v>
      </c>
      <c r="L873" s="17"/>
      <c r="M873" s="11">
        <v>0.25</v>
      </c>
      <c r="N873" s="1">
        <v>600</v>
      </c>
      <c r="O873" s="10">
        <v>46279.611921296295</v>
      </c>
      <c r="P873" s="10"/>
      <c r="Q873" s="1" t="s">
        <v>72</v>
      </c>
      <c r="R873" s="8" t="s">
        <v>343</v>
      </c>
      <c r="S87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7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7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7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7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7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7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7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7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7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7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7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7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73" s="12">
        <f ca="1">[1]!Tabel1[[#This Row],[Vægtet Honorar]]*([1]!Tabel1[[#This Row],[Sidst redigeret]]&gt;TODAY()-40)*([1]!Tabel1[[#This Row],[Er i resplan?]]&lt;&gt;"Ja")*([1]!Tabel1[[#This Row],[Status]]="Pågår")</f>
        <v>0</v>
      </c>
      <c r="AG873" s="12">
        <f ca="1">[1]!Tabel1[[#This Row],[Vægtet Honorar]]*([1]!Tabel1[[#This Row],[Sidst redigeret]]&gt;TODAY()-40)*([1]!Tabel1[[#This Row],[Status]]="Pågår")</f>
        <v>0</v>
      </c>
      <c r="AH873" s="13"/>
      <c r="AI873" s="12"/>
      <c r="AJ873" s="12" t="s">
        <v>777</v>
      </c>
      <c r="AK873" s="12"/>
      <c r="AL873" s="12"/>
      <c r="AM873" s="12"/>
      <c r="AN873" s="12"/>
      <c r="AO873" s="12"/>
      <c r="AP873" s="12"/>
    </row>
    <row r="874" spans="1:42">
      <c r="A874" t="s">
        <v>3161</v>
      </c>
      <c r="B874" s="8"/>
      <c r="C874" s="8" t="s">
        <v>3162</v>
      </c>
      <c r="D874" s="8" t="s">
        <v>2719</v>
      </c>
      <c r="E874" s="8" t="s">
        <v>71</v>
      </c>
      <c r="F874" s="8" t="s">
        <v>940</v>
      </c>
      <c r="G874" s="8" t="s">
        <v>940</v>
      </c>
      <c r="H874" s="9">
        <v>20000</v>
      </c>
      <c r="I874" s="9">
        <f>[1]!Tabel1[[#This Row],[Honorar]]*[1]!Tabel1[[#This Row],[Sandsynlighed]]</f>
        <v>35000</v>
      </c>
      <c r="J874" s="10" t="s">
        <v>452</v>
      </c>
      <c r="K874" s="10" t="s">
        <v>612</v>
      </c>
      <c r="L874" s="17"/>
      <c r="M874" s="11">
        <v>1</v>
      </c>
      <c r="N874" s="1"/>
      <c r="O874" s="10">
        <v>46279.611921296295</v>
      </c>
      <c r="P874" s="10"/>
      <c r="Q874" s="1" t="s">
        <v>46</v>
      </c>
      <c r="R874" s="8" t="s">
        <v>47</v>
      </c>
      <c r="S87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7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7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7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7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7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7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7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7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7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7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7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7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74" s="12">
        <f ca="1">[1]!Tabel1[[#This Row],[Vægtet Honorar]]*([1]!Tabel1[[#This Row],[Sidst redigeret]]&gt;TODAY()-40)*([1]!Tabel1[[#This Row],[Er i resplan?]]&lt;&gt;"Ja")*([1]!Tabel1[[#This Row],[Status]]="Pågår")</f>
        <v>0</v>
      </c>
      <c r="AG874" s="12">
        <f ca="1">[1]!Tabel1[[#This Row],[Vægtet Honorar]]*([1]!Tabel1[[#This Row],[Sidst redigeret]]&gt;TODAY()-40)*([1]!Tabel1[[#This Row],[Status]]="Pågår")</f>
        <v>0</v>
      </c>
      <c r="AH874" s="13"/>
      <c r="AI874" s="12"/>
      <c r="AJ874" s="12"/>
      <c r="AK874" s="12"/>
      <c r="AL874" s="12"/>
      <c r="AM874" s="12"/>
      <c r="AN874" s="12"/>
      <c r="AO874" s="12"/>
      <c r="AP874" s="12"/>
    </row>
    <row r="875" spans="1:42" ht="30">
      <c r="A875" t="s">
        <v>3163</v>
      </c>
      <c r="B875" s="8"/>
      <c r="C875" s="8" t="s">
        <v>3164</v>
      </c>
      <c r="D875" s="8" t="s">
        <v>2719</v>
      </c>
      <c r="E875" s="8" t="s">
        <v>71</v>
      </c>
      <c r="F875" s="8" t="s">
        <v>940</v>
      </c>
      <c r="G875" s="8" t="s">
        <v>940</v>
      </c>
      <c r="H875" s="9">
        <v>0</v>
      </c>
      <c r="I875" s="9">
        <f>[1]!Tabel1[[#This Row],[Honorar]]*[1]!Tabel1[[#This Row],[Sandsynlighed]]</f>
        <v>200000</v>
      </c>
      <c r="J875" s="10" t="s">
        <v>452</v>
      </c>
      <c r="K875" s="10" t="s">
        <v>612</v>
      </c>
      <c r="L875" s="17" t="s">
        <v>983</v>
      </c>
      <c r="M875" s="11">
        <v>0</v>
      </c>
      <c r="N875" s="1"/>
      <c r="O875" s="10">
        <v>46279.611921296295</v>
      </c>
      <c r="P875" s="10"/>
      <c r="Q875" s="1" t="s">
        <v>72</v>
      </c>
      <c r="R875" s="8" t="s">
        <v>49</v>
      </c>
      <c r="S87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7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7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7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7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7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7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7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7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7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7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7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7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75" s="12">
        <f ca="1">[1]!Tabel1[[#This Row],[Vægtet Honorar]]*([1]!Tabel1[[#This Row],[Sidst redigeret]]&gt;TODAY()-40)*([1]!Tabel1[[#This Row],[Er i resplan?]]&lt;&gt;"Ja")*([1]!Tabel1[[#This Row],[Status]]="Pågår")</f>
        <v>0</v>
      </c>
      <c r="AG875" s="12">
        <f ca="1">[1]!Tabel1[[#This Row],[Vægtet Honorar]]*([1]!Tabel1[[#This Row],[Sidst redigeret]]&gt;TODAY()-40)*([1]!Tabel1[[#This Row],[Status]]="Pågår")</f>
        <v>0</v>
      </c>
      <c r="AH875" s="13"/>
      <c r="AI875" s="12"/>
      <c r="AJ875" s="12"/>
      <c r="AK875" s="12"/>
      <c r="AL875" s="12"/>
      <c r="AM875" s="12"/>
      <c r="AN875" s="12"/>
      <c r="AO875" s="12"/>
      <c r="AP875" s="12"/>
    </row>
    <row r="876" spans="1:42" ht="30">
      <c r="A876" t="s">
        <v>3165</v>
      </c>
      <c r="B876" s="8"/>
      <c r="C876" s="8" t="s">
        <v>3164</v>
      </c>
      <c r="D876" s="8" t="s">
        <v>2719</v>
      </c>
      <c r="E876" s="8" t="s">
        <v>71</v>
      </c>
      <c r="F876" s="8" t="s">
        <v>940</v>
      </c>
      <c r="G876" s="8" t="s">
        <v>940</v>
      </c>
      <c r="H876" s="9">
        <v>0</v>
      </c>
      <c r="I876" s="9">
        <f>[1]!Tabel1[[#This Row],[Honorar]]*[1]!Tabel1[[#This Row],[Sandsynlighed]]</f>
        <v>80000</v>
      </c>
      <c r="J876" s="10" t="s">
        <v>452</v>
      </c>
      <c r="K876" s="10" t="s">
        <v>612</v>
      </c>
      <c r="L876" s="17" t="s">
        <v>983</v>
      </c>
      <c r="M876" s="11">
        <v>0</v>
      </c>
      <c r="N876" s="1"/>
      <c r="O876" s="10">
        <v>46279.611921296295</v>
      </c>
      <c r="P876" s="10"/>
      <c r="Q876" s="1" t="s">
        <v>72</v>
      </c>
      <c r="R876" s="8" t="s">
        <v>49</v>
      </c>
      <c r="S87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7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7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7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7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7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7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7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7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7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7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7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7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76" s="12">
        <f ca="1">[1]!Tabel1[[#This Row],[Vægtet Honorar]]*([1]!Tabel1[[#This Row],[Sidst redigeret]]&gt;TODAY()-40)*([1]!Tabel1[[#This Row],[Er i resplan?]]&lt;&gt;"Ja")*([1]!Tabel1[[#This Row],[Status]]="Pågår")</f>
        <v>0</v>
      </c>
      <c r="AG876" s="12">
        <f ca="1">[1]!Tabel1[[#This Row],[Vægtet Honorar]]*([1]!Tabel1[[#This Row],[Sidst redigeret]]&gt;TODAY()-40)*([1]!Tabel1[[#This Row],[Status]]="Pågår")</f>
        <v>0</v>
      </c>
      <c r="AH876" s="13"/>
      <c r="AI876" s="12"/>
      <c r="AJ876" s="12"/>
      <c r="AK876" s="12"/>
      <c r="AL876" s="12"/>
      <c r="AM876" s="12"/>
      <c r="AN876" s="12"/>
      <c r="AO876" s="12"/>
      <c r="AP876" s="12"/>
    </row>
    <row r="877" spans="1:42">
      <c r="A877" t="s">
        <v>3166</v>
      </c>
      <c r="B877" s="8"/>
      <c r="C877" s="8" t="s">
        <v>3167</v>
      </c>
      <c r="D877" s="8" t="s">
        <v>158</v>
      </c>
      <c r="E877" s="8" t="s">
        <v>167</v>
      </c>
      <c r="F877" s="8" t="s">
        <v>3168</v>
      </c>
      <c r="G877" s="8" t="s">
        <v>3168</v>
      </c>
      <c r="H877" s="9">
        <v>50000</v>
      </c>
      <c r="I877" s="9">
        <f>[1]!Tabel1[[#This Row],[Honorar]]*[1]!Tabel1[[#This Row],[Sandsynlighed]]</f>
        <v>0</v>
      </c>
      <c r="J877" s="10" t="s">
        <v>452</v>
      </c>
      <c r="K877" s="10" t="s">
        <v>612</v>
      </c>
      <c r="L877" s="17"/>
      <c r="M877" s="11">
        <v>0.25</v>
      </c>
      <c r="N877" s="1"/>
      <c r="O877" s="10">
        <v>46279.611921296295</v>
      </c>
      <c r="P877" s="10"/>
      <c r="Q877" s="1" t="s">
        <v>72</v>
      </c>
      <c r="R877" s="8" t="s">
        <v>343</v>
      </c>
      <c r="S87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7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7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7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7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7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7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7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7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7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7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7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7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77" s="12">
        <f ca="1">[1]!Tabel1[[#This Row],[Vægtet Honorar]]*([1]!Tabel1[[#This Row],[Sidst redigeret]]&gt;TODAY()-40)*([1]!Tabel1[[#This Row],[Er i resplan?]]&lt;&gt;"Ja")*([1]!Tabel1[[#This Row],[Status]]="Pågår")</f>
        <v>0</v>
      </c>
      <c r="AG877" s="12">
        <f ca="1">[1]!Tabel1[[#This Row],[Vægtet Honorar]]*([1]!Tabel1[[#This Row],[Sidst redigeret]]&gt;TODAY()-40)*([1]!Tabel1[[#This Row],[Status]]="Pågår")</f>
        <v>0</v>
      </c>
      <c r="AH877" s="13"/>
      <c r="AI877" s="12"/>
      <c r="AJ877" s="12"/>
      <c r="AK877" s="12"/>
      <c r="AL877" s="12"/>
      <c r="AM877" s="12"/>
      <c r="AN877" s="12"/>
      <c r="AO877" s="12"/>
      <c r="AP877" s="12"/>
    </row>
    <row r="878" spans="1:42" ht="135">
      <c r="A878" t="s">
        <v>3169</v>
      </c>
      <c r="B878" s="8"/>
      <c r="C878" s="8" t="s">
        <v>3170</v>
      </c>
      <c r="D878" s="8" t="s">
        <v>57</v>
      </c>
      <c r="E878" s="8" t="s">
        <v>94</v>
      </c>
      <c r="F878" s="8" t="s">
        <v>3171</v>
      </c>
      <c r="G878" s="8" t="s">
        <v>3171</v>
      </c>
      <c r="H878" s="9">
        <v>6000000</v>
      </c>
      <c r="I878" s="9">
        <f>[1]!Tabel1[[#This Row],[Honorar]]*[1]!Tabel1[[#This Row],[Sandsynlighed]]</f>
        <v>62500</v>
      </c>
      <c r="J878" s="10" t="s">
        <v>452</v>
      </c>
      <c r="K878" s="10" t="s">
        <v>341</v>
      </c>
      <c r="L878" s="17" t="s">
        <v>3172</v>
      </c>
      <c r="M878" s="11">
        <v>0.01</v>
      </c>
      <c r="N878" s="1">
        <v>11400</v>
      </c>
      <c r="O878" s="10">
        <v>46279.611921296295</v>
      </c>
      <c r="P878" s="1" t="s">
        <v>72</v>
      </c>
      <c r="Q878" s="1" t="s">
        <v>72</v>
      </c>
      <c r="R878" s="8" t="s">
        <v>49</v>
      </c>
      <c r="S87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7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7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7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7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7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7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7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7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7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7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7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7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78" s="12">
        <f ca="1">[1]!Tabel1[[#This Row],[Vægtet Honorar]]*([1]!Tabel1[[#This Row],[Sidst redigeret]]&gt;TODAY()-40)*([1]!Tabel1[[#This Row],[Er i resplan?]]&lt;&gt;"Ja")*([1]!Tabel1[[#This Row],[Status]]="Pågår")</f>
        <v>62500</v>
      </c>
      <c r="AG878" s="12">
        <f ca="1">[1]!Tabel1[[#This Row],[Vægtet Honorar]]*([1]!Tabel1[[#This Row],[Sidst redigeret]]&gt;TODAY()-40)*([1]!Tabel1[[#This Row],[Status]]="Pågår")</f>
        <v>62500</v>
      </c>
      <c r="AH878" s="13"/>
      <c r="AI878" s="12"/>
      <c r="AJ878" s="12" t="s">
        <v>2005</v>
      </c>
      <c r="AK878" s="12"/>
      <c r="AL878" s="12"/>
      <c r="AM878" s="12"/>
      <c r="AN878" s="12"/>
      <c r="AO878" s="12"/>
      <c r="AP878" s="12"/>
    </row>
    <row r="879" spans="1:42">
      <c r="A879" t="s">
        <v>3173</v>
      </c>
      <c r="B879" s="8"/>
      <c r="C879" s="8" t="s">
        <v>3174</v>
      </c>
      <c r="D879" s="8" t="s">
        <v>200</v>
      </c>
      <c r="E879" s="8" t="s">
        <v>120</v>
      </c>
      <c r="F879" s="8" t="s">
        <v>749</v>
      </c>
      <c r="G879" s="8" t="s">
        <v>749</v>
      </c>
      <c r="H879" s="9">
        <v>800000</v>
      </c>
      <c r="I879" s="9">
        <f>[1]!Tabel1[[#This Row],[Honorar]]*[1]!Tabel1[[#This Row],[Sandsynlighed]]</f>
        <v>20000</v>
      </c>
      <c r="J879" s="10" t="s">
        <v>452</v>
      </c>
      <c r="K879" s="10" t="s">
        <v>341</v>
      </c>
      <c r="L879" s="17"/>
      <c r="M879" s="11">
        <v>0.2</v>
      </c>
      <c r="N879" s="1">
        <v>2000</v>
      </c>
      <c r="O879" s="10">
        <v>46279.611921296295</v>
      </c>
      <c r="P879" s="10"/>
      <c r="Q879" s="1" t="s">
        <v>72</v>
      </c>
      <c r="R879" s="8" t="s">
        <v>75</v>
      </c>
      <c r="S87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7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7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7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7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7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7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7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7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7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7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7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7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79" s="12">
        <f ca="1">[1]!Tabel1[[#This Row],[Vægtet Honorar]]*([1]!Tabel1[[#This Row],[Sidst redigeret]]&gt;TODAY()-40)*([1]!Tabel1[[#This Row],[Er i resplan?]]&lt;&gt;"Ja")*([1]!Tabel1[[#This Row],[Status]]="Pågår")</f>
        <v>0</v>
      </c>
      <c r="AG879" s="12">
        <f ca="1">[1]!Tabel1[[#This Row],[Vægtet Honorar]]*([1]!Tabel1[[#This Row],[Sidst redigeret]]&gt;TODAY()-40)*([1]!Tabel1[[#This Row],[Status]]="Pågår")</f>
        <v>0</v>
      </c>
      <c r="AH879" s="13"/>
      <c r="AI879" s="12"/>
      <c r="AJ879" s="12" t="s">
        <v>2110</v>
      </c>
      <c r="AK879" s="12"/>
      <c r="AL879" s="12"/>
      <c r="AM879" s="12"/>
      <c r="AN879" s="12"/>
      <c r="AO879" s="12"/>
      <c r="AP879" s="12"/>
    </row>
    <row r="880" spans="1:42">
      <c r="A880" t="s">
        <v>3175</v>
      </c>
      <c r="B880" s="8"/>
      <c r="C880" s="8" t="s">
        <v>3176</v>
      </c>
      <c r="D880" s="8" t="s">
        <v>57</v>
      </c>
      <c r="E880" s="8" t="s">
        <v>167</v>
      </c>
      <c r="F880" s="8" t="s">
        <v>3177</v>
      </c>
      <c r="G880" s="8" t="s">
        <v>3177</v>
      </c>
      <c r="H880" s="9">
        <v>8000000</v>
      </c>
      <c r="I880" s="9">
        <f>[1]!Tabel1[[#This Row],[Honorar]]*[1]!Tabel1[[#This Row],[Sandsynlighed]]</f>
        <v>0</v>
      </c>
      <c r="J880" s="10" t="s">
        <v>452</v>
      </c>
      <c r="K880" s="10" t="s">
        <v>341</v>
      </c>
      <c r="L880" s="17"/>
      <c r="M880" s="11">
        <v>0.01</v>
      </c>
      <c r="N880" s="1">
        <v>13500</v>
      </c>
      <c r="O880" s="10">
        <v>46279.611921296295</v>
      </c>
      <c r="P880" s="10"/>
      <c r="Q880" s="1" t="s">
        <v>72</v>
      </c>
      <c r="R880" s="8" t="s">
        <v>49</v>
      </c>
      <c r="S88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8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8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8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8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8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8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8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8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8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8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8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8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80" s="12">
        <f ca="1">[1]!Tabel1[[#This Row],[Vægtet Honorar]]*([1]!Tabel1[[#This Row],[Sidst redigeret]]&gt;TODAY()-40)*([1]!Tabel1[[#This Row],[Er i resplan?]]&lt;&gt;"Ja")*([1]!Tabel1[[#This Row],[Status]]="Pågår")</f>
        <v>0</v>
      </c>
      <c r="AG880" s="12">
        <f ca="1">[1]!Tabel1[[#This Row],[Vægtet Honorar]]*([1]!Tabel1[[#This Row],[Sidst redigeret]]&gt;TODAY()-40)*([1]!Tabel1[[#This Row],[Status]]="Pågår")</f>
        <v>0</v>
      </c>
      <c r="AH880" s="13"/>
      <c r="AI880" s="12"/>
      <c r="AJ880" s="12" t="s">
        <v>2005</v>
      </c>
      <c r="AK880" s="12"/>
      <c r="AL880" s="12"/>
      <c r="AM880" s="12"/>
      <c r="AN880" s="12"/>
      <c r="AO880" s="12"/>
      <c r="AP880" s="12"/>
    </row>
    <row r="881" spans="1:42" ht="45">
      <c r="A881" t="s">
        <v>3178</v>
      </c>
      <c r="B881" s="8"/>
      <c r="C881" s="8" t="s">
        <v>3179</v>
      </c>
      <c r="D881" s="8" t="s">
        <v>896</v>
      </c>
      <c r="E881" s="8" t="s">
        <v>94</v>
      </c>
      <c r="F881" s="8" t="s">
        <v>3180</v>
      </c>
      <c r="G881" s="8" t="s">
        <v>3180</v>
      </c>
      <c r="H881" s="9">
        <v>3000000</v>
      </c>
      <c r="I881" s="9">
        <f>[1]!Tabel1[[#This Row],[Honorar]]*[1]!Tabel1[[#This Row],[Sandsynlighed]]</f>
        <v>0</v>
      </c>
      <c r="J881" s="10" t="s">
        <v>612</v>
      </c>
      <c r="K881" s="10" t="s">
        <v>341</v>
      </c>
      <c r="L881" s="17" t="s">
        <v>3013</v>
      </c>
      <c r="M881" s="11">
        <v>0.01</v>
      </c>
      <c r="N881" s="1"/>
      <c r="O881" s="10">
        <v>46279.611921296295</v>
      </c>
      <c r="P881" s="1" t="s">
        <v>72</v>
      </c>
      <c r="Q881" s="1" t="s">
        <v>72</v>
      </c>
      <c r="R881" s="8" t="s">
        <v>75</v>
      </c>
      <c r="S88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8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8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8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8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8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8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8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8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8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8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8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8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81" s="12">
        <f ca="1">[1]!Tabel1[[#This Row],[Vægtet Honorar]]*([1]!Tabel1[[#This Row],[Sidst redigeret]]&gt;TODAY()-40)*([1]!Tabel1[[#This Row],[Er i resplan?]]&lt;&gt;"Ja")*([1]!Tabel1[[#This Row],[Status]]="Pågår")</f>
        <v>0</v>
      </c>
      <c r="AG881" s="12">
        <f ca="1">[1]!Tabel1[[#This Row],[Vægtet Honorar]]*([1]!Tabel1[[#This Row],[Sidst redigeret]]&gt;TODAY()-40)*([1]!Tabel1[[#This Row],[Status]]="Pågår")</f>
        <v>0</v>
      </c>
      <c r="AH881" s="13"/>
      <c r="AI881" s="12"/>
      <c r="AJ881" s="12" t="s">
        <v>2775</v>
      </c>
      <c r="AK881" s="12"/>
      <c r="AL881" s="12"/>
      <c r="AM881" s="12"/>
      <c r="AN881" s="12"/>
      <c r="AO881" s="12"/>
      <c r="AP881" s="12"/>
    </row>
    <row r="882" spans="1:42" ht="255">
      <c r="A882" t="s">
        <v>3181</v>
      </c>
      <c r="B882" s="8"/>
      <c r="C882" s="8" t="s">
        <v>3182</v>
      </c>
      <c r="D882" s="8" t="s">
        <v>57</v>
      </c>
      <c r="E882" s="8" t="s">
        <v>94</v>
      </c>
      <c r="F882" s="8" t="s">
        <v>2118</v>
      </c>
      <c r="G882" s="8" t="s">
        <v>2118</v>
      </c>
      <c r="H882" s="9">
        <v>5000000</v>
      </c>
      <c r="I882" s="9">
        <f>[1]!Tabel1[[#This Row],[Honorar]]*[1]!Tabel1[[#This Row],[Sandsynlighed]]</f>
        <v>12500</v>
      </c>
      <c r="J882" s="10" t="s">
        <v>612</v>
      </c>
      <c r="K882" s="10" t="s">
        <v>341</v>
      </c>
      <c r="L882" s="17" t="s">
        <v>3183</v>
      </c>
      <c r="M882" s="11">
        <v>0.01</v>
      </c>
      <c r="N882" s="1"/>
      <c r="O882" s="10">
        <v>46279.611921296295</v>
      </c>
      <c r="P882" s="1" t="s">
        <v>72</v>
      </c>
      <c r="Q882" s="1" t="s">
        <v>72</v>
      </c>
      <c r="R882" s="8" t="s">
        <v>47</v>
      </c>
      <c r="S88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8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8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8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8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8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8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8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8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8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8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8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8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82" s="12">
        <f ca="1">[1]!Tabel1[[#This Row],[Vægtet Honorar]]*([1]!Tabel1[[#This Row],[Sidst redigeret]]&gt;TODAY()-40)*([1]!Tabel1[[#This Row],[Er i resplan?]]&lt;&gt;"Ja")*([1]!Tabel1[[#This Row],[Status]]="Pågår")</f>
        <v>12500</v>
      </c>
      <c r="AG882" s="12">
        <f ca="1">[1]!Tabel1[[#This Row],[Vægtet Honorar]]*([1]!Tabel1[[#This Row],[Sidst redigeret]]&gt;TODAY()-40)*([1]!Tabel1[[#This Row],[Status]]="Pågår")</f>
        <v>12500</v>
      </c>
      <c r="AH882" s="13"/>
      <c r="AI882" s="12"/>
      <c r="AJ882" s="12" t="s">
        <v>2005</v>
      </c>
      <c r="AK882" s="12"/>
      <c r="AL882" s="12"/>
      <c r="AM882" s="12"/>
      <c r="AN882" s="12"/>
      <c r="AO882" s="12"/>
      <c r="AP882" s="12"/>
    </row>
    <row r="883" spans="1:42">
      <c r="A883" t="s">
        <v>3184</v>
      </c>
      <c r="B883" s="8"/>
      <c r="C883" s="8" t="s">
        <v>3185</v>
      </c>
      <c r="D883" s="8" t="s">
        <v>2886</v>
      </c>
      <c r="E883" s="8" t="s">
        <v>120</v>
      </c>
      <c r="F883" s="8" t="s">
        <v>888</v>
      </c>
      <c r="G883" s="8" t="s">
        <v>3186</v>
      </c>
      <c r="H883" s="9">
        <v>5000000</v>
      </c>
      <c r="I883" s="9">
        <f>[1]!Tabel1[[#This Row],[Honorar]]*[1]!Tabel1[[#This Row],[Sandsynlighed]]</f>
        <v>60000</v>
      </c>
      <c r="J883" s="10" t="s">
        <v>612</v>
      </c>
      <c r="K883" s="10" t="s">
        <v>2039</v>
      </c>
      <c r="L883" s="17"/>
      <c r="M883" s="11">
        <v>0.01</v>
      </c>
      <c r="N883" s="1"/>
      <c r="O883" s="10">
        <v>46279.611921296295</v>
      </c>
      <c r="P883" s="10"/>
      <c r="Q883" s="1" t="s">
        <v>72</v>
      </c>
      <c r="R883" s="8" t="s">
        <v>75</v>
      </c>
      <c r="S88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8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8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8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8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8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8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8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8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8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8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8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8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83" s="12">
        <f ca="1">[1]!Tabel1[[#This Row],[Vægtet Honorar]]*([1]!Tabel1[[#This Row],[Sidst redigeret]]&gt;TODAY()-40)*([1]!Tabel1[[#This Row],[Er i resplan?]]&lt;&gt;"Ja")*([1]!Tabel1[[#This Row],[Status]]="Pågår")</f>
        <v>0</v>
      </c>
      <c r="AG883" s="12">
        <f ca="1">[1]!Tabel1[[#This Row],[Vægtet Honorar]]*([1]!Tabel1[[#This Row],[Sidst redigeret]]&gt;TODAY()-40)*([1]!Tabel1[[#This Row],[Status]]="Pågår")</f>
        <v>0</v>
      </c>
      <c r="AH883" s="13"/>
      <c r="AI883" s="12"/>
      <c r="AJ883" s="12" t="s">
        <v>3186</v>
      </c>
      <c r="AK883" s="12"/>
      <c r="AL883" s="12"/>
      <c r="AM883" s="12"/>
      <c r="AN883" s="12"/>
      <c r="AO883" s="12">
        <v>45586</v>
      </c>
      <c r="AP883" s="12"/>
    </row>
    <row r="884" spans="1:42">
      <c r="A884" t="s">
        <v>3187</v>
      </c>
      <c r="B884" s="8"/>
      <c r="C884" s="8" t="s">
        <v>3188</v>
      </c>
      <c r="D884" s="8" t="s">
        <v>1468</v>
      </c>
      <c r="E884" s="8" t="s">
        <v>167</v>
      </c>
      <c r="F884" s="8" t="s">
        <v>3189</v>
      </c>
      <c r="G884" s="8" t="s">
        <v>3190</v>
      </c>
      <c r="H884" s="9">
        <v>50000</v>
      </c>
      <c r="I884" s="9">
        <f>[1]!Tabel1[[#This Row],[Honorar]]*[1]!Tabel1[[#This Row],[Sandsynlighed]]</f>
        <v>160000</v>
      </c>
      <c r="J884" s="10" t="s">
        <v>452</v>
      </c>
      <c r="K884" s="10" t="s">
        <v>612</v>
      </c>
      <c r="L884" s="17"/>
      <c r="M884" s="11">
        <v>0.5</v>
      </c>
      <c r="N884" s="1"/>
      <c r="O884" s="10">
        <v>46279.611921296295</v>
      </c>
      <c r="P884" s="10"/>
      <c r="Q884" s="1" t="s">
        <v>46</v>
      </c>
      <c r="R884" s="8" t="s">
        <v>47</v>
      </c>
      <c r="S88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8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8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8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8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8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8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8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8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8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8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8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8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84" s="12">
        <f ca="1">[1]!Tabel1[[#This Row],[Vægtet Honorar]]*([1]!Tabel1[[#This Row],[Sidst redigeret]]&gt;TODAY()-40)*([1]!Tabel1[[#This Row],[Er i resplan?]]&lt;&gt;"Ja")*([1]!Tabel1[[#This Row],[Status]]="Pågår")</f>
        <v>0</v>
      </c>
      <c r="AG884" s="12">
        <f ca="1">[1]!Tabel1[[#This Row],[Vægtet Honorar]]*([1]!Tabel1[[#This Row],[Sidst redigeret]]&gt;TODAY()-40)*([1]!Tabel1[[#This Row],[Status]]="Pågår")</f>
        <v>0</v>
      </c>
      <c r="AH884" s="13"/>
      <c r="AI884" s="12"/>
      <c r="AJ884" s="12"/>
      <c r="AK884" s="12"/>
      <c r="AL884" s="12"/>
      <c r="AM884" s="12"/>
      <c r="AN884" s="12"/>
      <c r="AO884" s="12"/>
      <c r="AP884" s="12"/>
    </row>
    <row r="885" spans="1:42">
      <c r="A885" t="s">
        <v>3191</v>
      </c>
      <c r="B885" s="8"/>
      <c r="C885" s="8" t="s">
        <v>3192</v>
      </c>
      <c r="D885" s="8" t="s">
        <v>70</v>
      </c>
      <c r="E885" s="8" t="s">
        <v>102</v>
      </c>
      <c r="F885" s="8" t="s">
        <v>3193</v>
      </c>
      <c r="G885" s="8" t="s">
        <v>2652</v>
      </c>
      <c r="H885" s="9">
        <v>1000000</v>
      </c>
      <c r="I885" s="9">
        <f>[1]!Tabel1[[#This Row],[Honorar]]*[1]!Tabel1[[#This Row],[Sandsynlighed]]</f>
        <v>80000</v>
      </c>
      <c r="J885" s="10" t="s">
        <v>329</v>
      </c>
      <c r="K885" s="10" t="s">
        <v>342</v>
      </c>
      <c r="L885" s="17"/>
      <c r="M885" s="11">
        <v>0.1</v>
      </c>
      <c r="N885" s="1"/>
      <c r="O885" s="10">
        <v>46279.611921296295</v>
      </c>
      <c r="P885" s="10"/>
      <c r="Q885" s="1" t="s">
        <v>72</v>
      </c>
      <c r="R885" s="8" t="s">
        <v>343</v>
      </c>
      <c r="S88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8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8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8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8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8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8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8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8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8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8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8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8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85" s="12">
        <f ca="1">[1]!Tabel1[[#This Row],[Vægtet Honorar]]*([1]!Tabel1[[#This Row],[Sidst redigeret]]&gt;TODAY()-40)*([1]!Tabel1[[#This Row],[Er i resplan?]]&lt;&gt;"Ja")*([1]!Tabel1[[#This Row],[Status]]="Pågår")</f>
        <v>0</v>
      </c>
      <c r="AG885" s="12">
        <f ca="1">[1]!Tabel1[[#This Row],[Vægtet Honorar]]*([1]!Tabel1[[#This Row],[Sidst redigeret]]&gt;TODAY()-40)*([1]!Tabel1[[#This Row],[Status]]="Pågår")</f>
        <v>0</v>
      </c>
      <c r="AH885" s="13"/>
      <c r="AI885" s="12"/>
      <c r="AJ885" s="12"/>
      <c r="AK885" s="12"/>
      <c r="AL885" s="12"/>
      <c r="AM885" s="12"/>
      <c r="AN885" s="12"/>
      <c r="AO885" s="12"/>
      <c r="AP885" s="12"/>
    </row>
    <row r="886" spans="1:42">
      <c r="A886" t="s">
        <v>3194</v>
      </c>
      <c r="B886" s="8"/>
      <c r="C886" s="8" t="s">
        <v>3192</v>
      </c>
      <c r="D886" s="8" t="s">
        <v>70</v>
      </c>
      <c r="E886" s="8" t="s">
        <v>102</v>
      </c>
      <c r="F886" s="8" t="s">
        <v>3193</v>
      </c>
      <c r="G886" s="8" t="s">
        <v>2652</v>
      </c>
      <c r="H886" s="9">
        <v>1000000</v>
      </c>
      <c r="I886" s="9">
        <f>[1]!Tabel1[[#This Row],[Honorar]]*[1]!Tabel1[[#This Row],[Sandsynlighed]]</f>
        <v>30000</v>
      </c>
      <c r="J886" s="10" t="s">
        <v>329</v>
      </c>
      <c r="K886" s="10" t="s">
        <v>342</v>
      </c>
      <c r="L886" s="17"/>
      <c r="M886" s="11">
        <v>0</v>
      </c>
      <c r="N886" s="1"/>
      <c r="O886" s="10">
        <v>46279.611921296295</v>
      </c>
      <c r="P886" s="10"/>
      <c r="Q886" s="1" t="s">
        <v>72</v>
      </c>
      <c r="R886" s="8" t="s">
        <v>49</v>
      </c>
      <c r="S88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8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8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8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8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8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8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8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8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8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8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8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8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86" s="12">
        <f ca="1">[1]!Tabel1[[#This Row],[Vægtet Honorar]]*([1]!Tabel1[[#This Row],[Sidst redigeret]]&gt;TODAY()-40)*([1]!Tabel1[[#This Row],[Er i resplan?]]&lt;&gt;"Ja")*([1]!Tabel1[[#This Row],[Status]]="Pågår")</f>
        <v>0</v>
      </c>
      <c r="AG886" s="12">
        <f ca="1">[1]!Tabel1[[#This Row],[Vægtet Honorar]]*([1]!Tabel1[[#This Row],[Sidst redigeret]]&gt;TODAY()-40)*([1]!Tabel1[[#This Row],[Status]]="Pågår")</f>
        <v>0</v>
      </c>
      <c r="AH886" s="13"/>
      <c r="AI886" s="12"/>
      <c r="AJ886" s="12" t="s">
        <v>2480</v>
      </c>
      <c r="AK886" s="12" t="s">
        <v>2653</v>
      </c>
      <c r="AL886" s="12"/>
      <c r="AM886" s="12"/>
      <c r="AN886" s="12"/>
      <c r="AO886" s="12"/>
      <c r="AP886" s="12"/>
    </row>
    <row r="887" spans="1:42">
      <c r="A887" t="s">
        <v>3195</v>
      </c>
      <c r="B887" s="8"/>
      <c r="C887" s="8" t="s">
        <v>3196</v>
      </c>
      <c r="D887" s="8" t="s">
        <v>720</v>
      </c>
      <c r="E887" s="8" t="s">
        <v>71</v>
      </c>
      <c r="F887" s="8" t="s">
        <v>3197</v>
      </c>
      <c r="G887" s="8" t="s">
        <v>3197</v>
      </c>
      <c r="H887" s="9">
        <v>100000</v>
      </c>
      <c r="I887" s="9">
        <f>[1]!Tabel1[[#This Row],[Honorar]]*[1]!Tabel1[[#This Row],[Sandsynlighed]]</f>
        <v>50000</v>
      </c>
      <c r="J887" s="10" t="s">
        <v>452</v>
      </c>
      <c r="K887" s="10" t="s">
        <v>612</v>
      </c>
      <c r="L887" s="17"/>
      <c r="M887" s="11">
        <v>0</v>
      </c>
      <c r="N887" s="1"/>
      <c r="O887" s="10">
        <v>46279.611921296295</v>
      </c>
      <c r="P887" s="10"/>
      <c r="Q887" s="1" t="s">
        <v>72</v>
      </c>
      <c r="R887" s="8" t="s">
        <v>75</v>
      </c>
      <c r="S88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8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8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8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8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8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8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8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8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8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8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8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8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87" s="12">
        <f ca="1">[1]!Tabel1[[#This Row],[Vægtet Honorar]]*([1]!Tabel1[[#This Row],[Sidst redigeret]]&gt;TODAY()-40)*([1]!Tabel1[[#This Row],[Er i resplan?]]&lt;&gt;"Ja")*([1]!Tabel1[[#This Row],[Status]]="Pågår")</f>
        <v>0</v>
      </c>
      <c r="AG887" s="12">
        <f ca="1">[1]!Tabel1[[#This Row],[Vægtet Honorar]]*([1]!Tabel1[[#This Row],[Sidst redigeret]]&gt;TODAY()-40)*([1]!Tabel1[[#This Row],[Status]]="Pågår")</f>
        <v>0</v>
      </c>
      <c r="AH887" s="13"/>
      <c r="AI887" s="12"/>
      <c r="AJ887" s="12"/>
      <c r="AK887" s="12"/>
      <c r="AL887" s="12"/>
      <c r="AM887" s="12"/>
      <c r="AN887" s="12"/>
      <c r="AO887" s="12"/>
      <c r="AP887" s="12"/>
    </row>
    <row r="888" spans="1:42" ht="45">
      <c r="A888" t="s">
        <v>3198</v>
      </c>
      <c r="B888" s="8"/>
      <c r="C888" s="8" t="s">
        <v>3199</v>
      </c>
      <c r="D888" s="8" t="s">
        <v>203</v>
      </c>
      <c r="E888" s="8" t="s">
        <v>167</v>
      </c>
      <c r="F888" s="8" t="s">
        <v>2675</v>
      </c>
      <c r="G888" s="8" t="s">
        <v>1100</v>
      </c>
      <c r="H888" s="9">
        <v>25000000</v>
      </c>
      <c r="I888" s="9">
        <f>[1]!Tabel1[[#This Row],[Honorar]]*[1]!Tabel1[[#This Row],[Sandsynlighed]]</f>
        <v>50000</v>
      </c>
      <c r="J888" s="10" t="s">
        <v>1061</v>
      </c>
      <c r="K888" s="10" t="s">
        <v>1191</v>
      </c>
      <c r="L888" s="17" t="s">
        <v>3200</v>
      </c>
      <c r="M888" s="11">
        <v>0.25</v>
      </c>
      <c r="N888" s="1">
        <v>55000</v>
      </c>
      <c r="O888" s="10">
        <v>46279.611921296295</v>
      </c>
      <c r="P888" s="10"/>
      <c r="Q888" s="1" t="s">
        <v>46</v>
      </c>
      <c r="R888" s="8" t="s">
        <v>343</v>
      </c>
      <c r="S88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8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8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8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8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8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8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8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8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8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8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8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8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88" s="12">
        <f ca="1">[1]!Tabel1[[#This Row],[Vægtet Honorar]]*([1]!Tabel1[[#This Row],[Sidst redigeret]]&gt;TODAY()-40)*([1]!Tabel1[[#This Row],[Er i resplan?]]&lt;&gt;"Ja")*([1]!Tabel1[[#This Row],[Status]]="Pågår")</f>
        <v>0</v>
      </c>
      <c r="AG888" s="12">
        <f ca="1">[1]!Tabel1[[#This Row],[Vægtet Honorar]]*([1]!Tabel1[[#This Row],[Sidst redigeret]]&gt;TODAY()-40)*([1]!Tabel1[[#This Row],[Status]]="Pågår")</f>
        <v>0</v>
      </c>
      <c r="AH888" s="13"/>
      <c r="AI888" s="12"/>
      <c r="AJ888" s="12"/>
      <c r="AK888" s="12"/>
      <c r="AL888" s="12"/>
      <c r="AM888" s="12"/>
      <c r="AN888" s="12"/>
      <c r="AO888" s="12"/>
      <c r="AP888" s="12"/>
    </row>
    <row r="889" spans="1:42">
      <c r="A889" t="s">
        <v>3201</v>
      </c>
      <c r="B889" s="8"/>
      <c r="C889" s="8" t="s">
        <v>3202</v>
      </c>
      <c r="D889" s="8" t="s">
        <v>859</v>
      </c>
      <c r="E889" s="8" t="s">
        <v>71</v>
      </c>
      <c r="F889" s="8" t="s">
        <v>1671</v>
      </c>
      <c r="G889" s="8" t="s">
        <v>1671</v>
      </c>
      <c r="H889" s="9">
        <v>450000</v>
      </c>
      <c r="I889" s="9">
        <f>[1]!Tabel1[[#This Row],[Honorar]]*[1]!Tabel1[[#This Row],[Sandsynlighed]]</f>
        <v>25000</v>
      </c>
      <c r="J889" s="10" t="s">
        <v>612</v>
      </c>
      <c r="K889" s="10" t="s">
        <v>1061</v>
      </c>
      <c r="L889" s="17"/>
      <c r="M889" s="11">
        <v>0.25</v>
      </c>
      <c r="N889" s="1"/>
      <c r="O889" s="10">
        <v>46279.611921296295</v>
      </c>
      <c r="P889" s="10"/>
      <c r="Q889" s="1" t="s">
        <v>72</v>
      </c>
      <c r="R889" s="8" t="s">
        <v>75</v>
      </c>
      <c r="S88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8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8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8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8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8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8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8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8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8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8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8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8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89" s="12">
        <f ca="1">[1]!Tabel1[[#This Row],[Vægtet Honorar]]*([1]!Tabel1[[#This Row],[Sidst redigeret]]&gt;TODAY()-40)*([1]!Tabel1[[#This Row],[Er i resplan?]]&lt;&gt;"Ja")*([1]!Tabel1[[#This Row],[Status]]="Pågår")</f>
        <v>0</v>
      </c>
      <c r="AG889" s="12">
        <f ca="1">[1]!Tabel1[[#This Row],[Vægtet Honorar]]*([1]!Tabel1[[#This Row],[Sidst redigeret]]&gt;TODAY()-40)*([1]!Tabel1[[#This Row],[Status]]="Pågår")</f>
        <v>0</v>
      </c>
      <c r="AH889" s="13"/>
      <c r="AI889" s="12"/>
      <c r="AJ889" s="12"/>
      <c r="AK889" s="12"/>
      <c r="AL889" s="12"/>
      <c r="AM889" s="12"/>
      <c r="AN889" s="12"/>
      <c r="AO889" s="12"/>
      <c r="AP889" s="12"/>
    </row>
    <row r="890" spans="1:42">
      <c r="A890" t="s">
        <v>3203</v>
      </c>
      <c r="B890" s="8"/>
      <c r="C890" s="8" t="s">
        <v>3204</v>
      </c>
      <c r="D890" s="8" t="s">
        <v>44</v>
      </c>
      <c r="E890" s="8" t="s">
        <v>71</v>
      </c>
      <c r="F890" s="8" t="s">
        <v>3205</v>
      </c>
      <c r="G890" s="8" t="s">
        <v>2135</v>
      </c>
      <c r="H890" s="9">
        <v>500000</v>
      </c>
      <c r="I890" s="9">
        <f>[1]!Tabel1[[#This Row],[Honorar]]*[1]!Tabel1[[#This Row],[Sandsynlighed]]</f>
        <v>100000</v>
      </c>
      <c r="J890" s="10" t="s">
        <v>452</v>
      </c>
      <c r="K890" s="10" t="s">
        <v>329</v>
      </c>
      <c r="L890" s="17"/>
      <c r="M890" s="11">
        <v>0.5</v>
      </c>
      <c r="N890" s="1">
        <v>720</v>
      </c>
      <c r="O890" s="10">
        <v>46279.611921296295</v>
      </c>
      <c r="P890" s="10"/>
      <c r="Q890" s="1" t="s">
        <v>72</v>
      </c>
      <c r="R890" s="8" t="s">
        <v>75</v>
      </c>
      <c r="S89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9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9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9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9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9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9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9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9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9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9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9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9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90" s="12">
        <f ca="1">[1]!Tabel1[[#This Row],[Vægtet Honorar]]*([1]!Tabel1[[#This Row],[Sidst redigeret]]&gt;TODAY()-40)*([1]!Tabel1[[#This Row],[Er i resplan?]]&lt;&gt;"Ja")*([1]!Tabel1[[#This Row],[Status]]="Pågår")</f>
        <v>100000</v>
      </c>
      <c r="AG890" s="12">
        <f ca="1">[1]!Tabel1[[#This Row],[Vægtet Honorar]]*([1]!Tabel1[[#This Row],[Sidst redigeret]]&gt;TODAY()-40)*([1]!Tabel1[[#This Row],[Status]]="Pågår")</f>
        <v>100000</v>
      </c>
      <c r="AH890" s="13"/>
      <c r="AI890" s="12"/>
      <c r="AJ890" s="12"/>
      <c r="AK890" s="12"/>
      <c r="AL890" s="12"/>
      <c r="AM890" s="12"/>
      <c r="AN890" s="12"/>
      <c r="AO890" s="12"/>
      <c r="AP890" s="12"/>
    </row>
    <row r="891" spans="1:42" ht="60">
      <c r="A891" t="s">
        <v>3206</v>
      </c>
      <c r="B891" s="8"/>
      <c r="C891" s="8" t="s">
        <v>3207</v>
      </c>
      <c r="D891" s="8" t="s">
        <v>720</v>
      </c>
      <c r="E891" s="8" t="s">
        <v>71</v>
      </c>
      <c r="F891" s="8" t="s">
        <v>3197</v>
      </c>
      <c r="G891" s="8" t="s">
        <v>3197</v>
      </c>
      <c r="H891" s="9">
        <v>500000</v>
      </c>
      <c r="I891" s="9">
        <f>[1]!Tabel1[[#This Row],[Honorar]]*[1]!Tabel1[[#This Row],[Sandsynlighed]]</f>
        <v>0</v>
      </c>
      <c r="J891" s="10" t="s">
        <v>452</v>
      </c>
      <c r="K891" s="10" t="s">
        <v>329</v>
      </c>
      <c r="L891" s="17" t="s">
        <v>3208</v>
      </c>
      <c r="M891" s="11">
        <v>1</v>
      </c>
      <c r="N891" s="1">
        <v>400</v>
      </c>
      <c r="O891" s="10">
        <v>46279.611921296295</v>
      </c>
      <c r="P891" s="10"/>
      <c r="Q891" s="1" t="s">
        <v>46</v>
      </c>
      <c r="R891" s="8" t="s">
        <v>47</v>
      </c>
      <c r="S89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9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9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9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9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9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9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9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9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9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9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9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9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91" s="12">
        <f ca="1">[1]!Tabel1[[#This Row],[Vægtet Honorar]]*([1]!Tabel1[[#This Row],[Sidst redigeret]]&gt;TODAY()-40)*([1]!Tabel1[[#This Row],[Er i resplan?]]&lt;&gt;"Ja")*([1]!Tabel1[[#This Row],[Status]]="Pågår")</f>
        <v>0</v>
      </c>
      <c r="AG891" s="12">
        <f ca="1">[1]!Tabel1[[#This Row],[Vægtet Honorar]]*([1]!Tabel1[[#This Row],[Sidst redigeret]]&gt;TODAY()-40)*([1]!Tabel1[[#This Row],[Status]]="Pågår")</f>
        <v>0</v>
      </c>
      <c r="AH891" s="13"/>
      <c r="AI891" s="12"/>
      <c r="AJ891" s="12" t="s">
        <v>3186</v>
      </c>
      <c r="AK891" s="12"/>
      <c r="AL891" s="12"/>
      <c r="AM891" s="12"/>
      <c r="AN891" s="12"/>
      <c r="AO891" s="12"/>
      <c r="AP891" s="12"/>
    </row>
    <row r="892" spans="1:42" ht="45">
      <c r="A892" t="s">
        <v>3209</v>
      </c>
      <c r="B892" s="8"/>
      <c r="C892" s="8" t="s">
        <v>3210</v>
      </c>
      <c r="D892" s="8" t="s">
        <v>288</v>
      </c>
      <c r="E892" s="8" t="s">
        <v>167</v>
      </c>
      <c r="F892" s="8" t="s">
        <v>2021</v>
      </c>
      <c r="G892" s="8" t="s">
        <v>2021</v>
      </c>
      <c r="H892" s="9">
        <v>50000</v>
      </c>
      <c r="I892" s="9">
        <f>[1]!Tabel1[[#This Row],[Honorar]]*[1]!Tabel1[[#This Row],[Sandsynlighed]]</f>
        <v>0</v>
      </c>
      <c r="J892" s="10" t="s">
        <v>452</v>
      </c>
      <c r="K892" s="10" t="s">
        <v>612</v>
      </c>
      <c r="L892" s="17" t="s">
        <v>3211</v>
      </c>
      <c r="M892" s="11">
        <v>0.75</v>
      </c>
      <c r="N892" s="1">
        <v>5000</v>
      </c>
      <c r="O892" s="10">
        <v>46279.611921296295</v>
      </c>
      <c r="P892" s="10"/>
      <c r="Q892" s="1" t="s">
        <v>72</v>
      </c>
      <c r="R892" s="8" t="s">
        <v>343</v>
      </c>
      <c r="S89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9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9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9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9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9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9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9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9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9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9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9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9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92" s="12">
        <f ca="1">[1]!Tabel1[[#This Row],[Vægtet Honorar]]*([1]!Tabel1[[#This Row],[Sidst redigeret]]&gt;TODAY()-40)*([1]!Tabel1[[#This Row],[Er i resplan?]]&lt;&gt;"Ja")*([1]!Tabel1[[#This Row],[Status]]="Pågår")</f>
        <v>0</v>
      </c>
      <c r="AG892" s="12">
        <f ca="1">[1]!Tabel1[[#This Row],[Vægtet Honorar]]*([1]!Tabel1[[#This Row],[Sidst redigeret]]&gt;TODAY()-40)*([1]!Tabel1[[#This Row],[Status]]="Pågår")</f>
        <v>0</v>
      </c>
      <c r="AH892" s="13"/>
      <c r="AI892" s="12"/>
      <c r="AJ892" s="12"/>
      <c r="AK892" s="12"/>
      <c r="AL892" s="12"/>
      <c r="AM892" s="12"/>
      <c r="AN892" s="12"/>
      <c r="AO892" s="12"/>
      <c r="AP892" s="12"/>
    </row>
    <row r="893" spans="1:42" ht="135">
      <c r="A893" t="s">
        <v>3212</v>
      </c>
      <c r="B893" s="8"/>
      <c r="C893" s="8" t="s">
        <v>3213</v>
      </c>
      <c r="D893" s="8" t="s">
        <v>70</v>
      </c>
      <c r="E893" s="8" t="s">
        <v>102</v>
      </c>
      <c r="F893" s="8" t="s">
        <v>3213</v>
      </c>
      <c r="G893" s="8" t="s">
        <v>925</v>
      </c>
      <c r="H893" s="9">
        <v>400000</v>
      </c>
      <c r="I893" s="9">
        <f>[1]!Tabel1[[#This Row],[Honorar]]*[1]!Tabel1[[#This Row],[Sandsynlighed]]</f>
        <v>6250000</v>
      </c>
      <c r="J893" s="10" t="s">
        <v>341</v>
      </c>
      <c r="K893" s="10" t="s">
        <v>1310</v>
      </c>
      <c r="L893" s="17" t="s">
        <v>3214</v>
      </c>
      <c r="M893" s="11">
        <v>0.05</v>
      </c>
      <c r="N893" s="1" t="s">
        <v>3215</v>
      </c>
      <c r="O893" s="10">
        <v>46279.611921296295</v>
      </c>
      <c r="P893" s="10"/>
      <c r="Q893" s="1" t="s">
        <v>72</v>
      </c>
      <c r="R893" s="8" t="s">
        <v>343</v>
      </c>
      <c r="S89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9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9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9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9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9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9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9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9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9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9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9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9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93" s="12">
        <f ca="1">[1]!Tabel1[[#This Row],[Vægtet Honorar]]*([1]!Tabel1[[#This Row],[Sidst redigeret]]&gt;TODAY()-40)*([1]!Tabel1[[#This Row],[Er i resplan?]]&lt;&gt;"Ja")*([1]!Tabel1[[#This Row],[Status]]="Pågår")</f>
        <v>0</v>
      </c>
      <c r="AG893" s="12">
        <f ca="1">[1]!Tabel1[[#This Row],[Vægtet Honorar]]*([1]!Tabel1[[#This Row],[Sidst redigeret]]&gt;TODAY()-40)*([1]!Tabel1[[#This Row],[Status]]="Pågår")</f>
        <v>6250000</v>
      </c>
      <c r="AH893" s="13"/>
      <c r="AI893" s="12"/>
      <c r="AJ893" s="12"/>
      <c r="AK893" s="12"/>
      <c r="AL893" s="12"/>
      <c r="AM893" s="12"/>
      <c r="AN893" s="12"/>
      <c r="AO893" s="12"/>
      <c r="AP893" s="12"/>
    </row>
    <row r="894" spans="1:42">
      <c r="A894" t="s">
        <v>3216</v>
      </c>
      <c r="B894" s="8"/>
      <c r="C894" s="8" t="s">
        <v>3217</v>
      </c>
      <c r="D894" s="8" t="s">
        <v>65</v>
      </c>
      <c r="E894" s="8" t="s">
        <v>167</v>
      </c>
      <c r="F894" s="8" t="s">
        <v>3218</v>
      </c>
      <c r="G894" s="8" t="s">
        <v>3218</v>
      </c>
      <c r="H894" s="9">
        <v>25000</v>
      </c>
      <c r="I894" s="9">
        <f>[1]!Tabel1[[#This Row],[Honorar]]*[1]!Tabel1[[#This Row],[Sandsynlighed]]</f>
        <v>112500</v>
      </c>
      <c r="J894" s="10" t="s">
        <v>612</v>
      </c>
      <c r="K894" s="10" t="s">
        <v>612</v>
      </c>
      <c r="L894" s="17"/>
      <c r="M894" s="11">
        <v>1</v>
      </c>
      <c r="N894" s="1"/>
      <c r="O894" s="10">
        <v>46279.611921296295</v>
      </c>
      <c r="P894" s="10"/>
      <c r="Q894" s="1" t="s">
        <v>72</v>
      </c>
      <c r="R894" s="8" t="s">
        <v>343</v>
      </c>
      <c r="S89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9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9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9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9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9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9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9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9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9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9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9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9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94" s="12">
        <f ca="1">[1]!Tabel1[[#This Row],[Vægtet Honorar]]*([1]!Tabel1[[#This Row],[Sidst redigeret]]&gt;TODAY()-40)*([1]!Tabel1[[#This Row],[Er i resplan?]]&lt;&gt;"Ja")*([1]!Tabel1[[#This Row],[Status]]="Pågår")</f>
        <v>0</v>
      </c>
      <c r="AG894" s="12">
        <f ca="1">[1]!Tabel1[[#This Row],[Vægtet Honorar]]*([1]!Tabel1[[#This Row],[Sidst redigeret]]&gt;TODAY()-40)*([1]!Tabel1[[#This Row],[Status]]="Pågår")</f>
        <v>0</v>
      </c>
      <c r="AH894" s="13"/>
      <c r="AI894" s="12"/>
      <c r="AJ894" s="12"/>
      <c r="AK894" s="12"/>
      <c r="AL894" s="12"/>
      <c r="AM894" s="12"/>
      <c r="AN894" s="12"/>
      <c r="AO894" s="12"/>
      <c r="AP894" s="12"/>
    </row>
    <row r="895" spans="1:42">
      <c r="A895" t="s">
        <v>3219</v>
      </c>
      <c r="B895" s="8"/>
      <c r="C895" s="8" t="s">
        <v>3220</v>
      </c>
      <c r="D895" s="8" t="s">
        <v>57</v>
      </c>
      <c r="E895" s="8" t="s">
        <v>94</v>
      </c>
      <c r="F895" s="8" t="s">
        <v>3221</v>
      </c>
      <c r="G895" s="8" t="s">
        <v>3221</v>
      </c>
      <c r="H895" s="9">
        <v>9000000</v>
      </c>
      <c r="I895" s="9">
        <f>[1]!Tabel1[[#This Row],[Honorar]]*[1]!Tabel1[[#This Row],[Sandsynlighed]]</f>
        <v>250000</v>
      </c>
      <c r="J895" s="10" t="s">
        <v>329</v>
      </c>
      <c r="K895" s="10" t="s">
        <v>2405</v>
      </c>
      <c r="L895" s="17"/>
      <c r="M895" s="11">
        <v>0.01</v>
      </c>
      <c r="N895" s="1"/>
      <c r="O895" s="10">
        <v>46279.611932870372</v>
      </c>
      <c r="P895" s="1" t="s">
        <v>72</v>
      </c>
      <c r="Q895" s="1" t="s">
        <v>72</v>
      </c>
      <c r="R895" s="8" t="s">
        <v>49</v>
      </c>
      <c r="S89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9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9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9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9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9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9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9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9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9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9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9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9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95" s="12">
        <f ca="1">[1]!Tabel1[[#This Row],[Vægtet Honorar]]*([1]!Tabel1[[#This Row],[Sidst redigeret]]&gt;TODAY()-40)*([1]!Tabel1[[#This Row],[Er i resplan?]]&lt;&gt;"Ja")*([1]!Tabel1[[#This Row],[Status]]="Pågår")</f>
        <v>0</v>
      </c>
      <c r="AG895" s="12">
        <f ca="1">[1]!Tabel1[[#This Row],[Vægtet Honorar]]*([1]!Tabel1[[#This Row],[Sidst redigeret]]&gt;TODAY()-40)*([1]!Tabel1[[#This Row],[Status]]="Pågår")</f>
        <v>0</v>
      </c>
      <c r="AH895" s="13"/>
      <c r="AI895" s="12"/>
      <c r="AJ895" s="12" t="s">
        <v>2005</v>
      </c>
      <c r="AK895" s="12" t="s">
        <v>1711</v>
      </c>
      <c r="AL895" s="12"/>
      <c r="AM895" s="12"/>
      <c r="AN895" s="12"/>
      <c r="AO895" s="12"/>
      <c r="AP895" s="12"/>
    </row>
    <row r="896" spans="1:42">
      <c r="A896" t="s">
        <v>3222</v>
      </c>
      <c r="B896" s="8"/>
      <c r="C896" s="8" t="s">
        <v>3223</v>
      </c>
      <c r="D896" s="8" t="s">
        <v>720</v>
      </c>
      <c r="E896" s="8" t="s">
        <v>71</v>
      </c>
      <c r="F896" s="8" t="s">
        <v>721</v>
      </c>
      <c r="G896" s="8" t="s">
        <v>799</v>
      </c>
      <c r="H896" s="9">
        <v>2000000</v>
      </c>
      <c r="I896" s="9">
        <f>[1]!Tabel1[[#This Row],[Honorar]]*[1]!Tabel1[[#This Row],[Sandsynlighed]]</f>
        <v>500000</v>
      </c>
      <c r="J896" s="10" t="s">
        <v>1061</v>
      </c>
      <c r="K896" s="10" t="s">
        <v>2405</v>
      </c>
      <c r="L896" s="17"/>
      <c r="M896" s="11">
        <v>1</v>
      </c>
      <c r="N896" s="1"/>
      <c r="O896" s="10">
        <v>46279.611932870372</v>
      </c>
      <c r="P896" s="10"/>
      <c r="Q896" s="1" t="s">
        <v>46</v>
      </c>
      <c r="R896" s="8" t="s">
        <v>47</v>
      </c>
      <c r="S89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9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9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9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9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9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9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9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9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9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9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9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9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96" s="12">
        <f ca="1">[1]!Tabel1[[#This Row],[Vægtet Honorar]]*([1]!Tabel1[[#This Row],[Sidst redigeret]]&gt;TODAY()-40)*([1]!Tabel1[[#This Row],[Er i resplan?]]&lt;&gt;"Ja")*([1]!Tabel1[[#This Row],[Status]]="Pågår")</f>
        <v>0</v>
      </c>
      <c r="AG896" s="12">
        <f ca="1">[1]!Tabel1[[#This Row],[Vægtet Honorar]]*([1]!Tabel1[[#This Row],[Sidst redigeret]]&gt;TODAY()-40)*([1]!Tabel1[[#This Row],[Status]]="Pågår")</f>
        <v>0</v>
      </c>
      <c r="AH896" s="13">
        <v>45993.411145833335</v>
      </c>
      <c r="AI896" s="12"/>
      <c r="AJ896" s="12"/>
      <c r="AK896" s="12"/>
      <c r="AL896" s="12"/>
      <c r="AM896" s="12"/>
      <c r="AN896" s="12"/>
      <c r="AO896" s="12"/>
      <c r="AP896" s="12"/>
    </row>
    <row r="897" spans="1:42">
      <c r="A897" t="s">
        <v>3224</v>
      </c>
      <c r="B897" s="8"/>
      <c r="C897" s="8" t="s">
        <v>3225</v>
      </c>
      <c r="D897" s="8" t="s">
        <v>44</v>
      </c>
      <c r="E897" s="8" t="s">
        <v>71</v>
      </c>
      <c r="F897" s="8" t="s">
        <v>3225</v>
      </c>
      <c r="G897" s="8" t="s">
        <v>943</v>
      </c>
      <c r="H897" s="9">
        <v>35000</v>
      </c>
      <c r="I897" s="9">
        <f>[1]!Tabel1[[#This Row],[Honorar]]*[1]!Tabel1[[#This Row],[Sandsynlighed]]</f>
        <v>37500</v>
      </c>
      <c r="J897" s="10" t="s">
        <v>452</v>
      </c>
      <c r="K897" s="10" t="s">
        <v>452</v>
      </c>
      <c r="L897" s="17"/>
      <c r="M897" s="11">
        <v>1</v>
      </c>
      <c r="N897" s="1">
        <v>250</v>
      </c>
      <c r="O897" s="10">
        <v>46279.611932870372</v>
      </c>
      <c r="P897" s="10"/>
      <c r="Q897" s="1" t="s">
        <v>46</v>
      </c>
      <c r="R897" s="8" t="s">
        <v>47</v>
      </c>
      <c r="S89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9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9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9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9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9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9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9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9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9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9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9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9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97" s="12">
        <f ca="1">[1]!Tabel1[[#This Row],[Vægtet Honorar]]*([1]!Tabel1[[#This Row],[Sidst redigeret]]&gt;TODAY()-40)*([1]!Tabel1[[#This Row],[Er i resplan?]]&lt;&gt;"Ja")*([1]!Tabel1[[#This Row],[Status]]="Pågår")</f>
        <v>37500</v>
      </c>
      <c r="AG897" s="12">
        <f ca="1">[1]!Tabel1[[#This Row],[Vægtet Honorar]]*([1]!Tabel1[[#This Row],[Sidst redigeret]]&gt;TODAY()-40)*([1]!Tabel1[[#This Row],[Status]]="Pågår")</f>
        <v>37500</v>
      </c>
      <c r="AH897" s="13"/>
      <c r="AI897" s="12"/>
      <c r="AJ897" s="12"/>
      <c r="AK897" s="12"/>
      <c r="AL897" s="12"/>
      <c r="AM897" s="12"/>
      <c r="AN897" s="12"/>
      <c r="AO897" s="12"/>
      <c r="AP897" s="12"/>
    </row>
    <row r="898" spans="1:42">
      <c r="A898" t="s">
        <v>3226</v>
      </c>
      <c r="B898" s="8"/>
      <c r="C898" s="8" t="s">
        <v>3227</v>
      </c>
      <c r="D898" s="8" t="s">
        <v>57</v>
      </c>
      <c r="E898" s="8" t="s">
        <v>167</v>
      </c>
      <c r="F898" s="8" t="s">
        <v>3228</v>
      </c>
      <c r="G898" s="8" t="s">
        <v>3228</v>
      </c>
      <c r="H898" s="9">
        <v>50000</v>
      </c>
      <c r="I898" s="9">
        <f>[1]!Tabel1[[#This Row],[Honorar]]*[1]!Tabel1[[#This Row],[Sandsynlighed]]</f>
        <v>20000</v>
      </c>
      <c r="J898" s="10" t="s">
        <v>452</v>
      </c>
      <c r="K898" s="10" t="s">
        <v>452</v>
      </c>
      <c r="L898" s="17"/>
      <c r="M898" s="11">
        <v>0.01</v>
      </c>
      <c r="N898" s="1"/>
      <c r="O898" s="10">
        <v>46279.611932870372</v>
      </c>
      <c r="P898" s="10"/>
      <c r="Q898" s="1" t="s">
        <v>72</v>
      </c>
      <c r="R898" s="8" t="s">
        <v>49</v>
      </c>
      <c r="S89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9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9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9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9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9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9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9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9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9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9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9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9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98" s="12">
        <f ca="1">[1]!Tabel1[[#This Row],[Vægtet Honorar]]*([1]!Tabel1[[#This Row],[Sidst redigeret]]&gt;TODAY()-40)*([1]!Tabel1[[#This Row],[Er i resplan?]]&lt;&gt;"Ja")*([1]!Tabel1[[#This Row],[Status]]="Pågår")</f>
        <v>20000</v>
      </c>
      <c r="AG898" s="12">
        <f ca="1">[1]!Tabel1[[#This Row],[Vægtet Honorar]]*([1]!Tabel1[[#This Row],[Sidst redigeret]]&gt;TODAY()-40)*([1]!Tabel1[[#This Row],[Status]]="Pågår")</f>
        <v>20000</v>
      </c>
      <c r="AH898" s="13"/>
      <c r="AI898" s="12"/>
      <c r="AJ898" s="12"/>
      <c r="AK898" s="12"/>
      <c r="AL898" s="12"/>
      <c r="AM898" s="12"/>
      <c r="AN898" s="12"/>
      <c r="AO898" s="12"/>
      <c r="AP898" s="12"/>
    </row>
    <row r="899" spans="1:42">
      <c r="A899" t="s">
        <v>3229</v>
      </c>
      <c r="B899" s="8"/>
      <c r="C899" s="8" t="s">
        <v>3230</v>
      </c>
      <c r="D899" s="8" t="s">
        <v>720</v>
      </c>
      <c r="E899" s="8" t="s">
        <v>71</v>
      </c>
      <c r="F899" s="8" t="s">
        <v>3231</v>
      </c>
      <c r="G899" s="8" t="s">
        <v>3232</v>
      </c>
      <c r="H899" s="9">
        <v>200000</v>
      </c>
      <c r="I899" s="9">
        <f>[1]!Tabel1[[#This Row],[Honorar]]*[1]!Tabel1[[#This Row],[Sandsynlighed]]</f>
        <v>25000</v>
      </c>
      <c r="J899" s="10" t="s">
        <v>1287</v>
      </c>
      <c r="K899" s="10" t="s">
        <v>341</v>
      </c>
      <c r="L899" s="17"/>
      <c r="M899" s="11">
        <v>0.5</v>
      </c>
      <c r="N899" s="1"/>
      <c r="O899" s="10">
        <v>46279.611932870372</v>
      </c>
      <c r="P899" s="10"/>
      <c r="Q899" s="1" t="s">
        <v>46</v>
      </c>
      <c r="R899" s="8" t="s">
        <v>343</v>
      </c>
      <c r="S89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89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89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89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89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89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89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89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89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89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89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89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89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899" s="12">
        <f ca="1">[1]!Tabel1[[#This Row],[Vægtet Honorar]]*([1]!Tabel1[[#This Row],[Sidst redigeret]]&gt;TODAY()-40)*([1]!Tabel1[[#This Row],[Er i resplan?]]&lt;&gt;"Ja")*([1]!Tabel1[[#This Row],[Status]]="Pågår")</f>
        <v>25000</v>
      </c>
      <c r="AG899" s="12">
        <f ca="1">[1]!Tabel1[[#This Row],[Vægtet Honorar]]*([1]!Tabel1[[#This Row],[Sidst redigeret]]&gt;TODAY()-40)*([1]!Tabel1[[#This Row],[Status]]="Pågår")</f>
        <v>25000</v>
      </c>
      <c r="AH899" s="13"/>
      <c r="AI899" s="12"/>
      <c r="AJ899" s="12"/>
      <c r="AK899" s="12"/>
      <c r="AL899" s="12"/>
      <c r="AM899" s="12"/>
      <c r="AN899" s="12"/>
      <c r="AO899" s="12"/>
      <c r="AP899" s="12"/>
    </row>
    <row r="900" spans="1:42" ht="45">
      <c r="A900" t="s">
        <v>3233</v>
      </c>
      <c r="B900" s="8"/>
      <c r="C900" s="8" t="s">
        <v>3234</v>
      </c>
      <c r="D900" s="8" t="s">
        <v>57</v>
      </c>
      <c r="E900" s="8" t="s">
        <v>94</v>
      </c>
      <c r="F900" s="8" t="s">
        <v>3235</v>
      </c>
      <c r="G900" s="8" t="s">
        <v>3235</v>
      </c>
      <c r="H900" s="9">
        <v>9000000</v>
      </c>
      <c r="I900" s="9">
        <f>[1]!Tabel1[[#This Row],[Honorar]]*[1]!Tabel1[[#This Row],[Sandsynlighed]]</f>
        <v>90000</v>
      </c>
      <c r="J900" s="10" t="s">
        <v>452</v>
      </c>
      <c r="K900" s="10" t="s">
        <v>2105</v>
      </c>
      <c r="L900" s="17" t="s">
        <v>3236</v>
      </c>
      <c r="M900" s="11">
        <v>0.01</v>
      </c>
      <c r="N900" s="1">
        <v>25000</v>
      </c>
      <c r="O900" s="10">
        <v>46279.611932870372</v>
      </c>
      <c r="P900" s="1" t="s">
        <v>72</v>
      </c>
      <c r="Q900" s="1" t="s">
        <v>72</v>
      </c>
      <c r="R900" s="8" t="s">
        <v>49</v>
      </c>
      <c r="S90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0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0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0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0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0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0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0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0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0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0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0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0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00" s="12">
        <f ca="1">[1]!Tabel1[[#This Row],[Vægtet Honorar]]*([1]!Tabel1[[#This Row],[Sidst redigeret]]&gt;TODAY()-40)*([1]!Tabel1[[#This Row],[Er i resplan?]]&lt;&gt;"Ja")*([1]!Tabel1[[#This Row],[Status]]="Pågår")</f>
        <v>0</v>
      </c>
      <c r="AG900" s="12">
        <f ca="1">[1]!Tabel1[[#This Row],[Vægtet Honorar]]*([1]!Tabel1[[#This Row],[Sidst redigeret]]&gt;TODAY()-40)*([1]!Tabel1[[#This Row],[Status]]="Pågår")</f>
        <v>0</v>
      </c>
      <c r="AH900" s="13"/>
      <c r="AI900" s="12"/>
      <c r="AJ900" s="12" t="s">
        <v>3237</v>
      </c>
      <c r="AK900" s="12"/>
      <c r="AL900" s="12"/>
      <c r="AM900" s="12"/>
      <c r="AN900" s="12"/>
      <c r="AO900" s="12"/>
      <c r="AP900" s="12"/>
    </row>
    <row r="901" spans="1:42">
      <c r="A901" t="s">
        <v>3238</v>
      </c>
      <c r="B901" s="8"/>
      <c r="C901" s="8" t="s">
        <v>3239</v>
      </c>
      <c r="D901" s="8" t="s">
        <v>57</v>
      </c>
      <c r="E901" s="8" t="s">
        <v>167</v>
      </c>
      <c r="F901" s="8" t="s">
        <v>812</v>
      </c>
      <c r="G901" s="8" t="s">
        <v>812</v>
      </c>
      <c r="H901" s="9">
        <v>1000000</v>
      </c>
      <c r="I901" s="9">
        <f>[1]!Tabel1[[#This Row],[Honorar]]*[1]!Tabel1[[#This Row],[Sandsynlighed]]</f>
        <v>2000000</v>
      </c>
      <c r="J901" s="10" t="s">
        <v>452</v>
      </c>
      <c r="K901" s="10" t="s">
        <v>1191</v>
      </c>
      <c r="L901" s="17"/>
      <c r="M901" s="11">
        <v>0.01</v>
      </c>
      <c r="N901" s="1">
        <v>150</v>
      </c>
      <c r="O901" s="10">
        <v>46279.611932870372</v>
      </c>
      <c r="P901" s="10"/>
      <c r="Q901" s="1" t="s">
        <v>72</v>
      </c>
      <c r="R901" s="8" t="s">
        <v>49</v>
      </c>
      <c r="S90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0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0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0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0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0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0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0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0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0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0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0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0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01" s="12">
        <f ca="1">[1]!Tabel1[[#This Row],[Vægtet Honorar]]*([1]!Tabel1[[#This Row],[Sidst redigeret]]&gt;TODAY()-40)*([1]!Tabel1[[#This Row],[Er i resplan?]]&lt;&gt;"Ja")*([1]!Tabel1[[#This Row],[Status]]="Pågår")</f>
        <v>0</v>
      </c>
      <c r="AG901" s="12">
        <f ca="1">[1]!Tabel1[[#This Row],[Vægtet Honorar]]*([1]!Tabel1[[#This Row],[Sidst redigeret]]&gt;TODAY()-40)*([1]!Tabel1[[#This Row],[Status]]="Pågår")</f>
        <v>0</v>
      </c>
      <c r="AH901" s="13"/>
      <c r="AI901" s="12"/>
      <c r="AJ901" s="12" t="s">
        <v>3237</v>
      </c>
      <c r="AK901" s="12"/>
      <c r="AL901" s="12"/>
      <c r="AM901" s="12"/>
      <c r="AN901" s="12"/>
      <c r="AO901" s="12"/>
      <c r="AP901" s="12"/>
    </row>
    <row r="902" spans="1:42" ht="45">
      <c r="A902" t="s">
        <v>3240</v>
      </c>
      <c r="B902" s="8"/>
      <c r="C902" s="8" t="s">
        <v>3241</v>
      </c>
      <c r="D902" s="8" t="s">
        <v>3242</v>
      </c>
      <c r="E902" s="8" t="s">
        <v>120</v>
      </c>
      <c r="F902" s="8" t="s">
        <v>888</v>
      </c>
      <c r="G902" s="8" t="s">
        <v>1213</v>
      </c>
      <c r="H902" s="9">
        <v>3900000</v>
      </c>
      <c r="I902" s="9">
        <f>[1]!Tabel1[[#This Row],[Honorar]]*[1]!Tabel1[[#This Row],[Sandsynlighed]]</f>
        <v>35000</v>
      </c>
      <c r="J902" s="10" t="s">
        <v>1287</v>
      </c>
      <c r="K902" s="10" t="s">
        <v>1861</v>
      </c>
      <c r="L902" s="17" t="s">
        <v>3243</v>
      </c>
      <c r="M902" s="11">
        <v>1</v>
      </c>
      <c r="N902" s="1"/>
      <c r="O902" s="10">
        <v>46279.611932870372</v>
      </c>
      <c r="P902" s="10"/>
      <c r="Q902" s="1" t="s">
        <v>72</v>
      </c>
      <c r="R902" s="8" t="s">
        <v>47</v>
      </c>
      <c r="S90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0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0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0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0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0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0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0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0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0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0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0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0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02" s="12">
        <f ca="1">[1]!Tabel1[[#This Row],[Vægtet Honorar]]*([1]!Tabel1[[#This Row],[Sidst redigeret]]&gt;TODAY()-40)*([1]!Tabel1[[#This Row],[Er i resplan?]]&lt;&gt;"Ja")*([1]!Tabel1[[#This Row],[Status]]="Pågår")</f>
        <v>0</v>
      </c>
      <c r="AG902" s="12">
        <f ca="1">[1]!Tabel1[[#This Row],[Vægtet Honorar]]*([1]!Tabel1[[#This Row],[Sidst redigeret]]&gt;TODAY()-40)*([1]!Tabel1[[#This Row],[Status]]="Pågår")</f>
        <v>0</v>
      </c>
      <c r="AH902" s="13">
        <v>46278.442650462966</v>
      </c>
      <c r="AI902" s="12"/>
      <c r="AJ902" s="12" t="s">
        <v>1213</v>
      </c>
      <c r="AK902" s="12"/>
      <c r="AL902" s="12"/>
      <c r="AM902" s="12"/>
      <c r="AN902" s="12"/>
      <c r="AO902" s="12"/>
      <c r="AP902" s="12"/>
    </row>
    <row r="903" spans="1:42" ht="30">
      <c r="A903" t="s">
        <v>3244</v>
      </c>
      <c r="B903" s="8"/>
      <c r="C903" s="8" t="s">
        <v>3245</v>
      </c>
      <c r="D903" s="8" t="s">
        <v>720</v>
      </c>
      <c r="E903" s="8" t="s">
        <v>71</v>
      </c>
      <c r="F903" s="8" t="s">
        <v>3245</v>
      </c>
      <c r="G903" s="8" t="s">
        <v>3246</v>
      </c>
      <c r="H903" s="9">
        <v>1560000</v>
      </c>
      <c r="I903" s="9">
        <f>[1]!Tabel1[[#This Row],[Honorar]]*[1]!Tabel1[[#This Row],[Sandsynlighed]]</f>
        <v>500</v>
      </c>
      <c r="J903" s="10" t="s">
        <v>1061</v>
      </c>
      <c r="K903" s="10" t="s">
        <v>342</v>
      </c>
      <c r="L903" s="17" t="s">
        <v>3247</v>
      </c>
      <c r="M903" s="11">
        <v>0.01</v>
      </c>
      <c r="N903" s="1">
        <v>5200</v>
      </c>
      <c r="O903" s="10">
        <v>46279.611932870372</v>
      </c>
      <c r="P903" s="10"/>
      <c r="Q903" s="1" t="s">
        <v>72</v>
      </c>
      <c r="R903" s="8" t="s">
        <v>343</v>
      </c>
      <c r="S90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0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0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0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0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0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0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0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0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0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0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0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0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03" s="12">
        <f ca="1">[1]!Tabel1[[#This Row],[Vægtet Honorar]]*([1]!Tabel1[[#This Row],[Sidst redigeret]]&gt;TODAY()-40)*([1]!Tabel1[[#This Row],[Er i resplan?]]&lt;&gt;"Ja")*([1]!Tabel1[[#This Row],[Status]]="Pågår")</f>
        <v>0</v>
      </c>
      <c r="AG903" s="12">
        <f ca="1">[1]!Tabel1[[#This Row],[Vægtet Honorar]]*([1]!Tabel1[[#This Row],[Sidst redigeret]]&gt;TODAY()-40)*([1]!Tabel1[[#This Row],[Status]]="Pågår")</f>
        <v>0</v>
      </c>
      <c r="AH903" s="13"/>
      <c r="AI903" s="12"/>
      <c r="AJ903" s="12" t="s">
        <v>3082</v>
      </c>
      <c r="AK903" s="12" t="s">
        <v>3246</v>
      </c>
      <c r="AL903" s="12"/>
      <c r="AM903" s="12"/>
      <c r="AN903" s="12"/>
      <c r="AO903" s="12"/>
      <c r="AP903" s="12"/>
    </row>
    <row r="904" spans="1:42">
      <c r="A904" t="s">
        <v>3248</v>
      </c>
      <c r="B904" s="8"/>
      <c r="C904" s="8" t="s">
        <v>3249</v>
      </c>
      <c r="D904" s="8" t="s">
        <v>2886</v>
      </c>
      <c r="E904" s="8" t="s">
        <v>120</v>
      </c>
      <c r="F904" s="8" t="s">
        <v>3250</v>
      </c>
      <c r="G904" s="8" t="s">
        <v>2959</v>
      </c>
      <c r="H904" s="9">
        <v>1630000</v>
      </c>
      <c r="I904" s="9">
        <f>[1]!Tabel1[[#This Row],[Honorar]]*[1]!Tabel1[[#This Row],[Sandsynlighed]]</f>
        <v>100000</v>
      </c>
      <c r="J904" s="10" t="s">
        <v>612</v>
      </c>
      <c r="K904" s="10" t="s">
        <v>1191</v>
      </c>
      <c r="L904" s="17"/>
      <c r="M904" s="11">
        <v>0.95</v>
      </c>
      <c r="N904" s="1">
        <v>5200</v>
      </c>
      <c r="O904" s="10">
        <v>46279.611932870372</v>
      </c>
      <c r="P904" s="10"/>
      <c r="Q904" s="1" t="s">
        <v>46</v>
      </c>
      <c r="R904" s="8" t="s">
        <v>47</v>
      </c>
      <c r="S90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0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0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0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0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0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0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0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0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0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0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0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0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04" s="12">
        <f ca="1">[1]!Tabel1[[#This Row],[Vægtet Honorar]]*([1]!Tabel1[[#This Row],[Sidst redigeret]]&gt;TODAY()-40)*([1]!Tabel1[[#This Row],[Er i resplan?]]&lt;&gt;"Ja")*([1]!Tabel1[[#This Row],[Status]]="Pågår")</f>
        <v>0</v>
      </c>
      <c r="AG904" s="12">
        <f ca="1">[1]!Tabel1[[#This Row],[Vægtet Honorar]]*([1]!Tabel1[[#This Row],[Sidst redigeret]]&gt;TODAY()-40)*([1]!Tabel1[[#This Row],[Status]]="Pågår")</f>
        <v>100000</v>
      </c>
      <c r="AH904" s="13">
        <v>46269.490960648145</v>
      </c>
      <c r="AI904" s="12" t="s">
        <v>3251</v>
      </c>
      <c r="AJ904" s="12" t="s">
        <v>3252</v>
      </c>
      <c r="AK904" s="12" t="s">
        <v>2959</v>
      </c>
      <c r="AL904" s="12"/>
      <c r="AM904" s="12"/>
      <c r="AN904" s="12" t="s">
        <v>3253</v>
      </c>
      <c r="AO904" s="12"/>
      <c r="AP904" s="12"/>
    </row>
    <row r="905" spans="1:42">
      <c r="A905" t="s">
        <v>3254</v>
      </c>
      <c r="B905" s="8"/>
      <c r="C905" s="8" t="s">
        <v>3255</v>
      </c>
      <c r="D905" s="8" t="s">
        <v>2886</v>
      </c>
      <c r="E905" s="8" t="s">
        <v>120</v>
      </c>
      <c r="F905" s="8" t="s">
        <v>726</v>
      </c>
      <c r="G905" s="8" t="s">
        <v>3256</v>
      </c>
      <c r="H905" s="9">
        <v>1000000</v>
      </c>
      <c r="I905" s="9">
        <f>[1]!Tabel1[[#This Row],[Honorar]]*[1]!Tabel1[[#This Row],[Sandsynlighed]]</f>
        <v>90000</v>
      </c>
      <c r="J905" s="10" t="s">
        <v>329</v>
      </c>
      <c r="K905" s="10" t="s">
        <v>342</v>
      </c>
      <c r="L905" s="17"/>
      <c r="M905" s="11">
        <v>0.05</v>
      </c>
      <c r="N905" s="1">
        <v>800</v>
      </c>
      <c r="O905" s="10">
        <v>46279.611932870372</v>
      </c>
      <c r="P905" s="10"/>
      <c r="Q905" s="1" t="s">
        <v>72</v>
      </c>
      <c r="R905" s="8" t="s">
        <v>75</v>
      </c>
      <c r="S90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0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0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0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0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0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0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0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0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0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0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0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0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05" s="12">
        <f ca="1">[1]!Tabel1[[#This Row],[Vægtet Honorar]]*([1]!Tabel1[[#This Row],[Sidst redigeret]]&gt;TODAY()-40)*([1]!Tabel1[[#This Row],[Er i resplan?]]&lt;&gt;"Ja")*([1]!Tabel1[[#This Row],[Status]]="Pågår")</f>
        <v>0</v>
      </c>
      <c r="AG905" s="12">
        <f ca="1">[1]!Tabel1[[#This Row],[Vægtet Honorar]]*([1]!Tabel1[[#This Row],[Sidst redigeret]]&gt;TODAY()-40)*([1]!Tabel1[[#This Row],[Status]]="Pågår")</f>
        <v>0</v>
      </c>
      <c r="AH905" s="13"/>
      <c r="AI905" s="12" t="s">
        <v>3257</v>
      </c>
      <c r="AJ905" s="12" t="s">
        <v>2944</v>
      </c>
      <c r="AK905" s="12" t="s">
        <v>3257</v>
      </c>
      <c r="AL905" s="12"/>
      <c r="AM905" s="12"/>
      <c r="AN905" s="12"/>
      <c r="AO905" s="12"/>
      <c r="AP905" s="12"/>
    </row>
    <row r="906" spans="1:42" ht="75">
      <c r="A906" t="s">
        <v>3258</v>
      </c>
      <c r="B906" s="8"/>
      <c r="C906" s="8" t="s">
        <v>3259</v>
      </c>
      <c r="D906" s="8" t="s">
        <v>1886</v>
      </c>
      <c r="E906" s="8" t="s">
        <v>94</v>
      </c>
      <c r="F906" s="8" t="s">
        <v>726</v>
      </c>
      <c r="G906" s="8" t="s">
        <v>2652</v>
      </c>
      <c r="H906" s="9">
        <v>60000</v>
      </c>
      <c r="I906" s="9">
        <f>[1]!Tabel1[[#This Row],[Honorar]]*[1]!Tabel1[[#This Row],[Sandsynlighed]]</f>
        <v>10000</v>
      </c>
      <c r="J906" s="10" t="s">
        <v>1061</v>
      </c>
      <c r="K906" s="10" t="s">
        <v>342</v>
      </c>
      <c r="L906" s="17" t="s">
        <v>3260</v>
      </c>
      <c r="M906" s="11">
        <v>0.8</v>
      </c>
      <c r="N906" s="1">
        <v>46000</v>
      </c>
      <c r="O906" s="10">
        <v>46279.611932870372</v>
      </c>
      <c r="P906" s="1" t="s">
        <v>72</v>
      </c>
      <c r="Q906" s="1" t="s">
        <v>72</v>
      </c>
      <c r="R906" s="8" t="s">
        <v>49</v>
      </c>
      <c r="S90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0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0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0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0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0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0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0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0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0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0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0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0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06" s="12">
        <f ca="1">[1]!Tabel1[[#This Row],[Vægtet Honorar]]*([1]!Tabel1[[#This Row],[Sidst redigeret]]&gt;TODAY()-40)*([1]!Tabel1[[#This Row],[Er i resplan?]]&lt;&gt;"Ja")*([1]!Tabel1[[#This Row],[Status]]="Pågår")</f>
        <v>0</v>
      </c>
      <c r="AG906" s="12">
        <f ca="1">[1]!Tabel1[[#This Row],[Vægtet Honorar]]*([1]!Tabel1[[#This Row],[Sidst redigeret]]&gt;TODAY()-40)*([1]!Tabel1[[#This Row],[Status]]="Pågår")</f>
        <v>0</v>
      </c>
      <c r="AH906" s="13"/>
      <c r="AI906" s="12"/>
      <c r="AJ906" s="12"/>
      <c r="AK906" s="12"/>
      <c r="AL906" s="12"/>
      <c r="AM906" s="12"/>
      <c r="AN906" s="12"/>
      <c r="AO906" s="12"/>
      <c r="AP906" s="12"/>
    </row>
    <row r="907" spans="1:42">
      <c r="A907" t="s">
        <v>3261</v>
      </c>
      <c r="B907" s="8"/>
      <c r="C907" s="8" t="s">
        <v>3262</v>
      </c>
      <c r="D907" s="8" t="s">
        <v>2886</v>
      </c>
      <c r="E907" s="8" t="s">
        <v>120</v>
      </c>
      <c r="F907" s="8" t="s">
        <v>3263</v>
      </c>
      <c r="G907" s="8" t="s">
        <v>2959</v>
      </c>
      <c r="H907" s="9">
        <v>2500000</v>
      </c>
      <c r="I907" s="9">
        <f>[1]!Tabel1[[#This Row],[Honorar]]*[1]!Tabel1[[#This Row],[Sandsynlighed]]</f>
        <v>3900000</v>
      </c>
      <c r="J907" s="10" t="s">
        <v>341</v>
      </c>
      <c r="K907" s="10" t="s">
        <v>1861</v>
      </c>
      <c r="L907" s="17"/>
      <c r="M907" s="11">
        <v>0.05</v>
      </c>
      <c r="N907" s="1"/>
      <c r="O907" s="10">
        <v>46279.611932870372</v>
      </c>
      <c r="P907" s="10"/>
      <c r="Q907" s="1" t="s">
        <v>72</v>
      </c>
      <c r="R907" s="8" t="s">
        <v>343</v>
      </c>
      <c r="S90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0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0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0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0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0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0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0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0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0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0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0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0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07" s="12">
        <f ca="1">[1]!Tabel1[[#This Row],[Vægtet Honorar]]*([1]!Tabel1[[#This Row],[Sidst redigeret]]&gt;TODAY()-40)*([1]!Tabel1[[#This Row],[Er i resplan?]]&lt;&gt;"Ja")*([1]!Tabel1[[#This Row],[Status]]="Pågår")</f>
        <v>0</v>
      </c>
      <c r="AG907" s="12">
        <f ca="1">[1]!Tabel1[[#This Row],[Vægtet Honorar]]*([1]!Tabel1[[#This Row],[Sidst redigeret]]&gt;TODAY()-40)*([1]!Tabel1[[#This Row],[Status]]="Pågår")</f>
        <v>0</v>
      </c>
      <c r="AH907" s="13"/>
      <c r="AI907" s="12" t="s">
        <v>3251</v>
      </c>
      <c r="AJ907" s="12" t="s">
        <v>1856</v>
      </c>
      <c r="AK907" s="12"/>
      <c r="AL907" s="12"/>
      <c r="AM907" s="12"/>
      <c r="AN907" s="12" t="s">
        <v>3264</v>
      </c>
      <c r="AO907" s="12"/>
      <c r="AP907" s="12"/>
    </row>
    <row r="908" spans="1:42" ht="43.5">
      <c r="A908" t="s">
        <v>3265</v>
      </c>
      <c r="B908" s="8"/>
      <c r="C908" s="8" t="s">
        <v>3266</v>
      </c>
      <c r="D908" s="8" t="s">
        <v>57</v>
      </c>
      <c r="E908" s="8" t="s">
        <v>94</v>
      </c>
      <c r="F908" s="20" t="s">
        <v>3267</v>
      </c>
      <c r="G908" s="8" t="s">
        <v>3268</v>
      </c>
      <c r="H908" s="9">
        <v>7000000</v>
      </c>
      <c r="I908" s="9">
        <f>[1]!Tabel1[[#This Row],[Honorar]]*[1]!Tabel1[[#This Row],[Sandsynlighed]]</f>
        <v>15600</v>
      </c>
      <c r="J908" s="10" t="s">
        <v>341</v>
      </c>
      <c r="K908" s="10" t="s">
        <v>1430</v>
      </c>
      <c r="L908" s="21" t="s">
        <v>3269</v>
      </c>
      <c r="M908" s="11">
        <v>0.01</v>
      </c>
      <c r="N908" s="1"/>
      <c r="O908" s="10">
        <v>46279.611932870372</v>
      </c>
      <c r="P908" s="1" t="s">
        <v>72</v>
      </c>
      <c r="Q908" s="1" t="s">
        <v>72</v>
      </c>
      <c r="R908" s="8" t="s">
        <v>49</v>
      </c>
      <c r="S90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0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0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0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0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0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0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0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0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0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0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0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0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08" s="12">
        <f ca="1">[1]!Tabel1[[#This Row],[Vægtet Honorar]]*([1]!Tabel1[[#This Row],[Sidst redigeret]]&gt;TODAY()-40)*([1]!Tabel1[[#This Row],[Er i resplan?]]&lt;&gt;"Ja")*([1]!Tabel1[[#This Row],[Status]]="Pågår")</f>
        <v>15600</v>
      </c>
      <c r="AG908" s="12">
        <f ca="1">[1]!Tabel1[[#This Row],[Vægtet Honorar]]*([1]!Tabel1[[#This Row],[Sidst redigeret]]&gt;TODAY()-40)*([1]!Tabel1[[#This Row],[Status]]="Pågår")</f>
        <v>15600</v>
      </c>
      <c r="AH908" s="13"/>
      <c r="AI908" s="12"/>
      <c r="AJ908" s="12" t="s">
        <v>3270</v>
      </c>
      <c r="AK908" s="12"/>
      <c r="AL908" s="12"/>
      <c r="AM908" s="12"/>
      <c r="AN908" s="12"/>
      <c r="AO908" s="12"/>
      <c r="AP908" s="12"/>
    </row>
    <row r="909" spans="1:42">
      <c r="A909" t="s">
        <v>3271</v>
      </c>
      <c r="B909" s="8"/>
      <c r="C909" s="8" t="s">
        <v>3272</v>
      </c>
      <c r="D909" s="8" t="s">
        <v>725</v>
      </c>
      <c r="E909" s="8" t="s">
        <v>120</v>
      </c>
      <c r="F909" s="8" t="s">
        <v>3273</v>
      </c>
      <c r="G909" s="8" t="s">
        <v>3273</v>
      </c>
      <c r="H909" s="9">
        <v>450000</v>
      </c>
      <c r="I909" s="9">
        <f>[1]!Tabel1[[#This Row],[Honorar]]*[1]!Tabel1[[#This Row],[Sandsynlighed]]</f>
        <v>1548500</v>
      </c>
      <c r="J909" s="10" t="s">
        <v>612</v>
      </c>
      <c r="K909" s="10" t="s">
        <v>1430</v>
      </c>
      <c r="L909" s="21"/>
      <c r="M909" s="11">
        <v>0.5</v>
      </c>
      <c r="N909" s="1"/>
      <c r="O909" s="10">
        <v>46279.611932870372</v>
      </c>
      <c r="P909" s="10"/>
      <c r="Q909" s="1" t="s">
        <v>72</v>
      </c>
      <c r="R909" s="8" t="s">
        <v>49</v>
      </c>
      <c r="S90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0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0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0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0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0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0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0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0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0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0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0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0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09" s="12">
        <f ca="1">[1]!Tabel1[[#This Row],[Vægtet Honorar]]*([1]!Tabel1[[#This Row],[Sidst redigeret]]&gt;TODAY()-40)*([1]!Tabel1[[#This Row],[Er i resplan?]]&lt;&gt;"Ja")*([1]!Tabel1[[#This Row],[Status]]="Pågår")</f>
        <v>0</v>
      </c>
      <c r="AG909" s="12">
        <f ca="1">[1]!Tabel1[[#This Row],[Vægtet Honorar]]*([1]!Tabel1[[#This Row],[Sidst redigeret]]&gt;TODAY()-40)*([1]!Tabel1[[#This Row],[Status]]="Pågår")</f>
        <v>0</v>
      </c>
      <c r="AH909" s="13"/>
      <c r="AI909" s="12"/>
      <c r="AJ909" s="12"/>
      <c r="AK909" s="12"/>
      <c r="AL909" s="12"/>
      <c r="AM909" s="12"/>
      <c r="AN909" s="12"/>
      <c r="AO909" s="12"/>
      <c r="AP909" s="12"/>
    </row>
    <row r="910" spans="1:42" ht="43.5">
      <c r="A910" t="s">
        <v>3274</v>
      </c>
      <c r="B910" s="8"/>
      <c r="C910" s="8" t="s">
        <v>3275</v>
      </c>
      <c r="D910" s="8" t="s">
        <v>2886</v>
      </c>
      <c r="E910" s="8" t="s">
        <v>120</v>
      </c>
      <c r="F910" s="8" t="s">
        <v>3276</v>
      </c>
      <c r="G910" s="8" t="s">
        <v>2868</v>
      </c>
      <c r="H910" s="9">
        <v>3000000</v>
      </c>
      <c r="I910" s="9">
        <f>[1]!Tabel1[[#This Row],[Honorar]]*[1]!Tabel1[[#This Row],[Sandsynlighed]]</f>
        <v>50000</v>
      </c>
      <c r="J910" s="10" t="s">
        <v>329</v>
      </c>
      <c r="K910" s="10" t="s">
        <v>342</v>
      </c>
      <c r="L910" s="21" t="s">
        <v>3277</v>
      </c>
      <c r="M910" s="11">
        <v>0.05</v>
      </c>
      <c r="N910" s="1">
        <v>1860</v>
      </c>
      <c r="O910" s="10">
        <v>46279.611932870372</v>
      </c>
      <c r="P910" s="10"/>
      <c r="Q910" s="1" t="s">
        <v>72</v>
      </c>
      <c r="R910" s="8" t="s">
        <v>343</v>
      </c>
      <c r="S91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1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1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1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1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1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1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1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1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1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1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1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1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10" s="12">
        <f ca="1">[1]!Tabel1[[#This Row],[Vægtet Honorar]]*([1]!Tabel1[[#This Row],[Sidst redigeret]]&gt;TODAY()-40)*([1]!Tabel1[[#This Row],[Er i resplan?]]&lt;&gt;"Ja")*([1]!Tabel1[[#This Row],[Status]]="Pågår")</f>
        <v>0</v>
      </c>
      <c r="AG910" s="12">
        <f ca="1">[1]!Tabel1[[#This Row],[Vægtet Honorar]]*([1]!Tabel1[[#This Row],[Sidst redigeret]]&gt;TODAY()-40)*([1]!Tabel1[[#This Row],[Status]]="Pågår")</f>
        <v>0</v>
      </c>
      <c r="AH910" s="13"/>
      <c r="AI910" s="12"/>
      <c r="AJ910" s="12" t="s">
        <v>2868</v>
      </c>
      <c r="AK910" s="12"/>
      <c r="AL910" s="12"/>
      <c r="AM910" s="12"/>
      <c r="AN910" s="12" t="s">
        <v>3277</v>
      </c>
      <c r="AO910" s="12"/>
      <c r="AP910" s="12"/>
    </row>
    <row r="911" spans="1:42" ht="120">
      <c r="A911" t="s">
        <v>3278</v>
      </c>
      <c r="B911" s="8"/>
      <c r="C911" s="8" t="s">
        <v>3279</v>
      </c>
      <c r="D911" s="8" t="s">
        <v>2886</v>
      </c>
      <c r="E911" s="8" t="s">
        <v>120</v>
      </c>
      <c r="F911" s="8" t="s">
        <v>940</v>
      </c>
      <c r="G911" s="8" t="s">
        <v>2917</v>
      </c>
      <c r="H911" s="9">
        <v>800000</v>
      </c>
      <c r="I911" s="9">
        <f>[1]!Tabel1[[#This Row],[Honorar]]*[1]!Tabel1[[#This Row],[Sandsynlighed]]</f>
        <v>48000</v>
      </c>
      <c r="J911" s="10" t="s">
        <v>1061</v>
      </c>
      <c r="K911" s="10" t="s">
        <v>2405</v>
      </c>
      <c r="L911" s="21"/>
      <c r="M911" s="11">
        <v>0.9</v>
      </c>
      <c r="N911" s="1"/>
      <c r="O911" s="10">
        <v>46279.611932870372</v>
      </c>
      <c r="P911" s="10"/>
      <c r="Q911" s="1" t="s">
        <v>46</v>
      </c>
      <c r="R911" s="8" t="s">
        <v>47</v>
      </c>
      <c r="S91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1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1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1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1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1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1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1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1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1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1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1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1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11" s="12">
        <f ca="1">[1]!Tabel1[[#This Row],[Vægtet Honorar]]*([1]!Tabel1[[#This Row],[Sidst redigeret]]&gt;TODAY()-40)*([1]!Tabel1[[#This Row],[Er i resplan?]]&lt;&gt;"Ja")*([1]!Tabel1[[#This Row],[Status]]="Pågår")</f>
        <v>0</v>
      </c>
      <c r="AG911" s="12">
        <f ca="1">[1]!Tabel1[[#This Row],[Vægtet Honorar]]*([1]!Tabel1[[#This Row],[Sidst redigeret]]&gt;TODAY()-40)*([1]!Tabel1[[#This Row],[Status]]="Pågår")</f>
        <v>0</v>
      </c>
      <c r="AH911" s="13">
        <v>46269.491307870368</v>
      </c>
      <c r="AI911" s="12"/>
      <c r="AJ911" s="12" t="s">
        <v>1856</v>
      </c>
      <c r="AK911" s="12"/>
      <c r="AL911" s="12"/>
      <c r="AM911" s="12"/>
      <c r="AN911" s="19" t="s">
        <v>3280</v>
      </c>
      <c r="AO911" s="12"/>
      <c r="AP911" s="12"/>
    </row>
    <row r="912" spans="1:42" ht="86.25">
      <c r="A912" t="s">
        <v>3281</v>
      </c>
      <c r="B912" s="8">
        <v>221444</v>
      </c>
      <c r="C912" s="8" t="s">
        <v>3282</v>
      </c>
      <c r="D912" s="8" t="s">
        <v>93</v>
      </c>
      <c r="E912" s="8" t="s">
        <v>94</v>
      </c>
      <c r="F912" s="8" t="s">
        <v>3283</v>
      </c>
      <c r="G912" s="8" t="s">
        <v>1693</v>
      </c>
      <c r="H912" s="9">
        <v>50000</v>
      </c>
      <c r="I912" s="9">
        <f>[1]!Tabel1[[#This Row],[Honorar]]*[1]!Tabel1[[#This Row],[Sandsynlighed]]</f>
        <v>125000</v>
      </c>
      <c r="J912" s="10" t="s">
        <v>612</v>
      </c>
      <c r="K912" s="10" t="s">
        <v>1061</v>
      </c>
      <c r="L912" s="21" t="s">
        <v>3284</v>
      </c>
      <c r="M912" s="11">
        <v>0.9</v>
      </c>
      <c r="N912" s="1">
        <v>85</v>
      </c>
      <c r="O912" s="10">
        <v>46279.611932870372</v>
      </c>
      <c r="P912" s="1" t="s">
        <v>72</v>
      </c>
      <c r="Q912" s="1" t="s">
        <v>46</v>
      </c>
      <c r="R912" s="8" t="s">
        <v>47</v>
      </c>
      <c r="S91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1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1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1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1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1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1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1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1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1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1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1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1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12" s="12">
        <f ca="1">[1]!Tabel1[[#This Row],[Vægtet Honorar]]*([1]!Tabel1[[#This Row],[Sidst redigeret]]&gt;TODAY()-40)*([1]!Tabel1[[#This Row],[Er i resplan?]]&lt;&gt;"Ja")*([1]!Tabel1[[#This Row],[Status]]="Pågår")</f>
        <v>125000</v>
      </c>
      <c r="AG912" s="12">
        <f ca="1">[1]!Tabel1[[#This Row],[Vægtet Honorar]]*([1]!Tabel1[[#This Row],[Sidst redigeret]]&gt;TODAY()-40)*([1]!Tabel1[[#This Row],[Status]]="Pågår")</f>
        <v>125000</v>
      </c>
      <c r="AH912" s="13">
        <v>45586</v>
      </c>
      <c r="AI912" s="12"/>
      <c r="AJ912" s="12"/>
      <c r="AK912" s="12"/>
      <c r="AL912" s="12"/>
      <c r="AM912" s="12"/>
      <c r="AN912" s="12"/>
      <c r="AO912" s="12"/>
      <c r="AP912" s="12"/>
    </row>
    <row r="913" spans="1:42">
      <c r="A913" t="s">
        <v>3285</v>
      </c>
      <c r="B913" s="8"/>
      <c r="C913" s="8" t="s">
        <v>3286</v>
      </c>
      <c r="D913" s="8" t="s">
        <v>93</v>
      </c>
      <c r="E913" s="8" t="s">
        <v>94</v>
      </c>
      <c r="F913" s="8" t="s">
        <v>3287</v>
      </c>
      <c r="G913" s="8" t="s">
        <v>3287</v>
      </c>
      <c r="H913" s="9">
        <v>1000000</v>
      </c>
      <c r="I913" s="9">
        <f>[1]!Tabel1[[#This Row],[Honorar]]*[1]!Tabel1[[#This Row],[Sandsynlighed]]</f>
        <v>70000</v>
      </c>
      <c r="J913" s="10" t="s">
        <v>1088</v>
      </c>
      <c r="K913" s="10" t="s">
        <v>329</v>
      </c>
      <c r="L913" s="21"/>
      <c r="M913" s="11">
        <v>0.5</v>
      </c>
      <c r="N913" s="1">
        <v>2000</v>
      </c>
      <c r="O913" s="10">
        <v>46279.611932870372</v>
      </c>
      <c r="P913" s="1" t="s">
        <v>72</v>
      </c>
      <c r="Q913" s="1" t="s">
        <v>72</v>
      </c>
      <c r="R913" s="8" t="s">
        <v>49</v>
      </c>
      <c r="S91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1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1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1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1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1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1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1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1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1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1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1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1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13" s="12">
        <f ca="1">[1]!Tabel1[[#This Row],[Vægtet Honorar]]*([1]!Tabel1[[#This Row],[Sidst redigeret]]&gt;TODAY()-40)*([1]!Tabel1[[#This Row],[Er i resplan?]]&lt;&gt;"Ja")*([1]!Tabel1[[#This Row],[Status]]="Pågår")</f>
        <v>0</v>
      </c>
      <c r="AG913" s="12">
        <f ca="1">[1]!Tabel1[[#This Row],[Vægtet Honorar]]*([1]!Tabel1[[#This Row],[Sidst redigeret]]&gt;TODAY()-40)*([1]!Tabel1[[#This Row],[Status]]="Pågår")</f>
        <v>0</v>
      </c>
      <c r="AH913" s="13"/>
      <c r="AI913" s="12"/>
      <c r="AJ913" s="12"/>
      <c r="AK913" s="12"/>
      <c r="AL913" s="12"/>
      <c r="AM913" s="12"/>
      <c r="AN913" s="12"/>
      <c r="AO913" s="12"/>
      <c r="AP913" s="12"/>
    </row>
    <row r="914" spans="1:42">
      <c r="A914" t="s">
        <v>3288</v>
      </c>
      <c r="B914" s="8"/>
      <c r="C914" s="8" t="s">
        <v>3289</v>
      </c>
      <c r="D914" s="8" t="s">
        <v>421</v>
      </c>
      <c r="E914" s="8" t="s">
        <v>120</v>
      </c>
      <c r="F914" s="8" t="s">
        <v>756</v>
      </c>
      <c r="G914" s="8" t="s">
        <v>3290</v>
      </c>
      <c r="H914" s="9">
        <v>400000</v>
      </c>
      <c r="I914" s="9">
        <f>[1]!Tabel1[[#This Row],[Honorar]]*[1]!Tabel1[[#This Row],[Sandsynlighed]]</f>
        <v>225000</v>
      </c>
      <c r="J914" s="10" t="s">
        <v>612</v>
      </c>
      <c r="K914" s="10" t="s">
        <v>1061</v>
      </c>
      <c r="L914" s="21"/>
      <c r="M914" s="11">
        <v>0.5</v>
      </c>
      <c r="N914" s="1">
        <v>1000</v>
      </c>
      <c r="O914" s="10">
        <v>46279.611932870372</v>
      </c>
      <c r="P914" s="10"/>
      <c r="Q914" s="1" t="s">
        <v>46</v>
      </c>
      <c r="R914" s="8" t="s">
        <v>47</v>
      </c>
      <c r="S91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1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1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1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1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1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1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1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1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1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1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1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1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14" s="12">
        <f ca="1">[1]!Tabel1[[#This Row],[Vægtet Honorar]]*([1]!Tabel1[[#This Row],[Sidst redigeret]]&gt;TODAY()-40)*([1]!Tabel1[[#This Row],[Er i resplan?]]&lt;&gt;"Ja")*([1]!Tabel1[[#This Row],[Status]]="Pågår")</f>
        <v>0</v>
      </c>
      <c r="AG914" s="12">
        <f ca="1">[1]!Tabel1[[#This Row],[Vægtet Honorar]]*([1]!Tabel1[[#This Row],[Sidst redigeret]]&gt;TODAY()-40)*([1]!Tabel1[[#This Row],[Status]]="Pågår")</f>
        <v>0</v>
      </c>
      <c r="AH914" s="13"/>
      <c r="AI914" s="12"/>
      <c r="AJ914" s="12"/>
      <c r="AK914" s="12"/>
      <c r="AL914" s="12"/>
      <c r="AM914" s="12"/>
      <c r="AN914" s="12"/>
      <c r="AO914" s="12"/>
      <c r="AP914" s="12"/>
    </row>
    <row r="915" spans="1:42">
      <c r="A915" t="s">
        <v>3291</v>
      </c>
      <c r="B915" s="8"/>
      <c r="C915" s="8" t="s">
        <v>3292</v>
      </c>
      <c r="D915" s="8" t="s">
        <v>720</v>
      </c>
      <c r="E915" s="8" t="s">
        <v>71</v>
      </c>
      <c r="F915" s="8" t="s">
        <v>1152</v>
      </c>
      <c r="G915" s="8" t="s">
        <v>1152</v>
      </c>
      <c r="H915" s="9">
        <v>50000</v>
      </c>
      <c r="I915" s="9">
        <f>[1]!Tabel1[[#This Row],[Honorar]]*[1]!Tabel1[[#This Row],[Sandsynlighed]]</f>
        <v>150000</v>
      </c>
      <c r="J915" s="10" t="s">
        <v>612</v>
      </c>
      <c r="K915" s="10" t="s">
        <v>1061</v>
      </c>
      <c r="L915" s="21"/>
      <c r="M915" s="11">
        <v>1</v>
      </c>
      <c r="N915" s="1">
        <v>1000</v>
      </c>
      <c r="O915" s="10">
        <v>46279.611932870372</v>
      </c>
      <c r="P915" s="10"/>
      <c r="Q915" s="1" t="s">
        <v>46</v>
      </c>
      <c r="R915" s="8" t="s">
        <v>47</v>
      </c>
      <c r="S91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1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1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1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1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1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1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1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1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1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1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1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1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15" s="12">
        <f ca="1">[1]!Tabel1[[#This Row],[Vægtet Honorar]]*([1]!Tabel1[[#This Row],[Sidst redigeret]]&gt;TODAY()-40)*([1]!Tabel1[[#This Row],[Er i resplan?]]&lt;&gt;"Ja")*([1]!Tabel1[[#This Row],[Status]]="Pågår")</f>
        <v>150000</v>
      </c>
      <c r="AG915" s="12">
        <f ca="1">[1]!Tabel1[[#This Row],[Vægtet Honorar]]*([1]!Tabel1[[#This Row],[Sidst redigeret]]&gt;TODAY()-40)*([1]!Tabel1[[#This Row],[Status]]="Pågår")</f>
        <v>150000</v>
      </c>
      <c r="AH915" s="13"/>
      <c r="AI915" s="12"/>
      <c r="AJ915" s="12"/>
      <c r="AK915" s="12"/>
      <c r="AL915" s="12"/>
      <c r="AM915" s="12"/>
      <c r="AN915" s="12"/>
      <c r="AO915" s="12"/>
      <c r="AP915" s="12"/>
    </row>
    <row r="916" spans="1:42" ht="86.25">
      <c r="A916" t="s">
        <v>3293</v>
      </c>
      <c r="B916" s="8"/>
      <c r="C916" s="8" t="s">
        <v>3294</v>
      </c>
      <c r="D916" s="8" t="s">
        <v>93</v>
      </c>
      <c r="E916" s="8" t="s">
        <v>94</v>
      </c>
      <c r="F916" s="8" t="s">
        <v>3295</v>
      </c>
      <c r="G916" s="8" t="s">
        <v>3295</v>
      </c>
      <c r="H916" s="9">
        <v>5000000</v>
      </c>
      <c r="I916" s="9">
        <f>[1]!Tabel1[[#This Row],[Honorar]]*[1]!Tabel1[[#This Row],[Sandsynlighed]]</f>
        <v>720000</v>
      </c>
      <c r="J916" s="10" t="s">
        <v>1310</v>
      </c>
      <c r="K916" s="10" t="s">
        <v>342</v>
      </c>
      <c r="L916" s="21" t="s">
        <v>3296</v>
      </c>
      <c r="M916" s="11">
        <v>0.05</v>
      </c>
      <c r="N916" s="1" t="s">
        <v>777</v>
      </c>
      <c r="O916" s="10">
        <v>46279.611932870372</v>
      </c>
      <c r="P916" s="1" t="s">
        <v>72</v>
      </c>
      <c r="Q916" s="1" t="s">
        <v>72</v>
      </c>
      <c r="R916" s="8" t="s">
        <v>343</v>
      </c>
      <c r="S91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1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1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1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1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1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1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1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1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1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1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1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1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16" s="12">
        <f ca="1">[1]!Tabel1[[#This Row],[Vægtet Honorar]]*([1]!Tabel1[[#This Row],[Sidst redigeret]]&gt;TODAY()-40)*([1]!Tabel1[[#This Row],[Er i resplan?]]&lt;&gt;"Ja")*([1]!Tabel1[[#This Row],[Status]]="Pågår")</f>
        <v>0</v>
      </c>
      <c r="AG916" s="12">
        <f ca="1">[1]!Tabel1[[#This Row],[Vægtet Honorar]]*([1]!Tabel1[[#This Row],[Sidst redigeret]]&gt;TODAY()-40)*([1]!Tabel1[[#This Row],[Status]]="Pågår")</f>
        <v>0</v>
      </c>
      <c r="AH916" s="13"/>
      <c r="AI916" s="12"/>
      <c r="AJ916" s="12"/>
      <c r="AK916" s="12"/>
      <c r="AL916" s="12"/>
      <c r="AM916" s="12"/>
      <c r="AN916" s="12"/>
      <c r="AO916" s="12"/>
      <c r="AP916" s="12"/>
    </row>
    <row r="917" spans="1:42">
      <c r="A917" t="s">
        <v>3297</v>
      </c>
      <c r="B917" s="8"/>
      <c r="C917" s="8" t="s">
        <v>3298</v>
      </c>
      <c r="D917" s="8" t="s">
        <v>200</v>
      </c>
      <c r="E917" s="8" t="s">
        <v>120</v>
      </c>
      <c r="F917" s="8" t="s">
        <v>3299</v>
      </c>
      <c r="G917" s="8" t="s">
        <v>3300</v>
      </c>
      <c r="H917" s="9">
        <v>200000</v>
      </c>
      <c r="I917" s="9">
        <f>[1]!Tabel1[[#This Row],[Honorar]]*[1]!Tabel1[[#This Row],[Sandsynlighed]]</f>
        <v>45000</v>
      </c>
      <c r="J917" s="10" t="s">
        <v>612</v>
      </c>
      <c r="K917" s="10" t="s">
        <v>1191</v>
      </c>
      <c r="L917" s="21"/>
      <c r="M917" s="11">
        <v>0.75</v>
      </c>
      <c r="N917" s="1">
        <v>400</v>
      </c>
      <c r="O917" s="10">
        <v>46279.611932870372</v>
      </c>
      <c r="P917" s="10"/>
      <c r="Q917" s="1" t="s">
        <v>72</v>
      </c>
      <c r="R917" s="8" t="s">
        <v>47</v>
      </c>
      <c r="S91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1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1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1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1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1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1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1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1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1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1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1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1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17" s="12">
        <f ca="1">[1]!Tabel1[[#This Row],[Vægtet Honorar]]*([1]!Tabel1[[#This Row],[Sidst redigeret]]&gt;TODAY()-40)*([1]!Tabel1[[#This Row],[Er i resplan?]]&lt;&gt;"Ja")*([1]!Tabel1[[#This Row],[Status]]="Pågår")</f>
        <v>0</v>
      </c>
      <c r="AG917" s="12">
        <f ca="1">[1]!Tabel1[[#This Row],[Vægtet Honorar]]*([1]!Tabel1[[#This Row],[Sidst redigeret]]&gt;TODAY()-40)*([1]!Tabel1[[#This Row],[Status]]="Pågår")</f>
        <v>0</v>
      </c>
      <c r="AH917" s="13">
        <v>46269.491365740738</v>
      </c>
      <c r="AI917" s="12"/>
      <c r="AJ917" s="12"/>
      <c r="AK917" s="12"/>
      <c r="AL917" s="12"/>
      <c r="AM917" s="12"/>
      <c r="AN917" s="12"/>
      <c r="AO917" s="12"/>
      <c r="AP917" s="12"/>
    </row>
    <row r="918" spans="1:42">
      <c r="A918" t="s">
        <v>3301</v>
      </c>
      <c r="B918" s="8"/>
      <c r="C918" s="8" t="s">
        <v>3302</v>
      </c>
      <c r="D918" s="8" t="s">
        <v>200</v>
      </c>
      <c r="E918" s="8" t="s">
        <v>120</v>
      </c>
      <c r="F918" s="8" t="s">
        <v>3303</v>
      </c>
      <c r="G918" s="8" t="s">
        <v>3300</v>
      </c>
      <c r="H918" s="9">
        <v>800000</v>
      </c>
      <c r="I918" s="9">
        <f>[1]!Tabel1[[#This Row],[Honorar]]*[1]!Tabel1[[#This Row],[Sandsynlighed]]</f>
        <v>500000</v>
      </c>
      <c r="J918" s="10" t="s">
        <v>612</v>
      </c>
      <c r="K918" s="10" t="s">
        <v>1191</v>
      </c>
      <c r="L918" s="21"/>
      <c r="M918" s="11">
        <v>0.2</v>
      </c>
      <c r="N918" s="1">
        <v>1100</v>
      </c>
      <c r="O918" s="10">
        <v>46279.611932870372</v>
      </c>
      <c r="P918" s="10"/>
      <c r="Q918" s="1" t="s">
        <v>72</v>
      </c>
      <c r="R918" s="8" t="s">
        <v>75</v>
      </c>
      <c r="S91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1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1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1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1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1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1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1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1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1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1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1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1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18" s="12">
        <f ca="1">[1]!Tabel1[[#This Row],[Vægtet Honorar]]*([1]!Tabel1[[#This Row],[Sidst redigeret]]&gt;TODAY()-40)*([1]!Tabel1[[#This Row],[Er i resplan?]]&lt;&gt;"Ja")*([1]!Tabel1[[#This Row],[Status]]="Pågår")</f>
        <v>0</v>
      </c>
      <c r="AG918" s="12">
        <f ca="1">[1]!Tabel1[[#This Row],[Vægtet Honorar]]*([1]!Tabel1[[#This Row],[Sidst redigeret]]&gt;TODAY()-40)*([1]!Tabel1[[#This Row],[Status]]="Pågår")</f>
        <v>0</v>
      </c>
      <c r="AH918" s="13"/>
      <c r="AI918" s="12"/>
      <c r="AJ918" s="12"/>
      <c r="AK918" s="12"/>
      <c r="AL918" s="12"/>
      <c r="AM918" s="12"/>
      <c r="AN918" s="12"/>
      <c r="AO918" s="12"/>
      <c r="AP918" s="12"/>
    </row>
    <row r="919" spans="1:42">
      <c r="A919" t="s">
        <v>3304</v>
      </c>
      <c r="B919" s="8"/>
      <c r="C919" s="8" t="s">
        <v>3305</v>
      </c>
      <c r="D919" s="8" t="s">
        <v>720</v>
      </c>
      <c r="E919" s="8" t="s">
        <v>71</v>
      </c>
      <c r="F919" s="8" t="s">
        <v>3306</v>
      </c>
      <c r="G919" s="8"/>
      <c r="H919" s="9">
        <v>3000000</v>
      </c>
      <c r="I919" s="9">
        <f>[1]!Tabel1[[#This Row],[Honorar]]*[1]!Tabel1[[#This Row],[Sandsynlighed]]</f>
        <v>200000</v>
      </c>
      <c r="J919" s="10" t="s">
        <v>329</v>
      </c>
      <c r="K919" s="10" t="s">
        <v>2405</v>
      </c>
      <c r="L919" s="21"/>
      <c r="M919" s="11">
        <v>0.05</v>
      </c>
      <c r="N919" s="1">
        <v>6100</v>
      </c>
      <c r="O919" s="10">
        <v>46279.611932870372</v>
      </c>
      <c r="P919" s="10"/>
      <c r="Q919" s="1" t="s">
        <v>72</v>
      </c>
      <c r="R919" s="8" t="s">
        <v>343</v>
      </c>
      <c r="S91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1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1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1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1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1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1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1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1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1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1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1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1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19" s="12">
        <f ca="1">[1]!Tabel1[[#This Row],[Vægtet Honorar]]*([1]!Tabel1[[#This Row],[Sidst redigeret]]&gt;TODAY()-40)*([1]!Tabel1[[#This Row],[Er i resplan?]]&lt;&gt;"Ja")*([1]!Tabel1[[#This Row],[Status]]="Pågår")</f>
        <v>0</v>
      </c>
      <c r="AG919" s="12">
        <f ca="1">[1]!Tabel1[[#This Row],[Vægtet Honorar]]*([1]!Tabel1[[#This Row],[Sidst redigeret]]&gt;TODAY()-40)*([1]!Tabel1[[#This Row],[Status]]="Pågår")</f>
        <v>0</v>
      </c>
      <c r="AH919" s="13"/>
      <c r="AI919" s="12" t="s">
        <v>3307</v>
      </c>
      <c r="AJ919" s="12" t="s">
        <v>1864</v>
      </c>
      <c r="AK919" s="12" t="s">
        <v>3308</v>
      </c>
      <c r="AL919" s="12"/>
      <c r="AM919" s="12"/>
      <c r="AN919" s="12"/>
      <c r="AO919" s="12"/>
      <c r="AP919" s="12"/>
    </row>
    <row r="920" spans="1:42">
      <c r="A920" t="s">
        <v>3309</v>
      </c>
      <c r="B920" s="8"/>
      <c r="C920" s="8" t="s">
        <v>3310</v>
      </c>
      <c r="D920" s="8" t="s">
        <v>65</v>
      </c>
      <c r="E920" s="8" t="s">
        <v>167</v>
      </c>
      <c r="F920" s="8" t="s">
        <v>3311</v>
      </c>
      <c r="G920" s="8" t="s">
        <v>3312</v>
      </c>
      <c r="H920" s="9">
        <v>490000</v>
      </c>
      <c r="I920" s="9">
        <f>[1]!Tabel1[[#This Row],[Honorar]]*[1]!Tabel1[[#This Row],[Sandsynlighed]]</f>
        <v>50000</v>
      </c>
      <c r="J920" s="10" t="s">
        <v>1061</v>
      </c>
      <c r="K920" s="10" t="s">
        <v>2405</v>
      </c>
      <c r="L920" s="21"/>
      <c r="M920" s="11">
        <v>0.33</v>
      </c>
      <c r="N920" s="1">
        <v>0</v>
      </c>
      <c r="O920" s="10">
        <v>46279.611932870372</v>
      </c>
      <c r="P920" s="10"/>
      <c r="Q920" s="1" t="s">
        <v>46</v>
      </c>
      <c r="R920" s="8" t="s">
        <v>47</v>
      </c>
      <c r="S92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2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2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2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2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2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2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2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2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2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2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2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2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20" s="12">
        <f ca="1">[1]!Tabel1[[#This Row],[Vægtet Honorar]]*([1]!Tabel1[[#This Row],[Sidst redigeret]]&gt;TODAY()-40)*([1]!Tabel1[[#This Row],[Er i resplan?]]&lt;&gt;"Ja")*([1]!Tabel1[[#This Row],[Status]]="Pågår")</f>
        <v>0</v>
      </c>
      <c r="AG920" s="12">
        <f ca="1">[1]!Tabel1[[#This Row],[Vægtet Honorar]]*([1]!Tabel1[[#This Row],[Sidst redigeret]]&gt;TODAY()-40)*([1]!Tabel1[[#This Row],[Status]]="Pågår")</f>
        <v>0</v>
      </c>
      <c r="AH920" s="13"/>
      <c r="AI920" s="12"/>
      <c r="AJ920" s="12"/>
      <c r="AK920" s="12"/>
      <c r="AL920" s="12"/>
      <c r="AM920" s="12"/>
      <c r="AN920" s="12"/>
      <c r="AO920" s="12"/>
      <c r="AP920" s="12"/>
    </row>
    <row r="921" spans="1:42">
      <c r="A921" t="s">
        <v>3313</v>
      </c>
      <c r="B921" s="8"/>
      <c r="C921" s="8" t="s">
        <v>3314</v>
      </c>
      <c r="D921" s="8" t="s">
        <v>1886</v>
      </c>
      <c r="E921" s="8" t="s">
        <v>94</v>
      </c>
      <c r="F921" s="8" t="s">
        <v>3315</v>
      </c>
      <c r="G921" s="8" t="s">
        <v>3315</v>
      </c>
      <c r="H921" s="9">
        <v>35000</v>
      </c>
      <c r="I921" s="9">
        <f>[1]!Tabel1[[#This Row],[Honorar]]*[1]!Tabel1[[#This Row],[Sandsynlighed]]</f>
        <v>250000</v>
      </c>
      <c r="J921" s="10" t="s">
        <v>452</v>
      </c>
      <c r="K921" s="10" t="s">
        <v>612</v>
      </c>
      <c r="L921" s="21"/>
      <c r="M921" s="11">
        <v>0.95</v>
      </c>
      <c r="N921" s="1">
        <v>0</v>
      </c>
      <c r="O921" s="10">
        <v>46279.611932870372</v>
      </c>
      <c r="P921" s="1" t="s">
        <v>72</v>
      </c>
      <c r="Q921" s="1" t="s">
        <v>72</v>
      </c>
      <c r="R921" s="8" t="s">
        <v>47</v>
      </c>
      <c r="S92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2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2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2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2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2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2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2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2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2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2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2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2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21" s="12">
        <f ca="1">[1]!Tabel1[[#This Row],[Vægtet Honorar]]*([1]!Tabel1[[#This Row],[Sidst redigeret]]&gt;TODAY()-40)*([1]!Tabel1[[#This Row],[Er i resplan?]]&lt;&gt;"Ja")*([1]!Tabel1[[#This Row],[Status]]="Pågår")</f>
        <v>250000</v>
      </c>
      <c r="AG921" s="12">
        <f ca="1">[1]!Tabel1[[#This Row],[Vægtet Honorar]]*([1]!Tabel1[[#This Row],[Sidst redigeret]]&gt;TODAY()-40)*([1]!Tabel1[[#This Row],[Status]]="Pågår")</f>
        <v>250000</v>
      </c>
      <c r="AH921" s="13"/>
      <c r="AI921" s="12"/>
      <c r="AJ921" s="12"/>
      <c r="AK921" s="12"/>
      <c r="AL921" s="12"/>
      <c r="AM921" s="12"/>
      <c r="AN921" s="12"/>
      <c r="AO921" s="12"/>
      <c r="AP921" s="12"/>
    </row>
    <row r="922" spans="1:42" ht="100.5">
      <c r="A922" t="s">
        <v>3316</v>
      </c>
      <c r="B922" s="8"/>
      <c r="C922" s="8" t="s">
        <v>3317</v>
      </c>
      <c r="D922" s="8" t="s">
        <v>896</v>
      </c>
      <c r="E922" s="8" t="s">
        <v>94</v>
      </c>
      <c r="F922" s="8" t="s">
        <v>1450</v>
      </c>
      <c r="G922" s="8" t="s">
        <v>1737</v>
      </c>
      <c r="H922" s="9">
        <v>4375000</v>
      </c>
      <c r="I922" s="9">
        <f>[1]!Tabel1[[#This Row],[Honorar]]*[1]!Tabel1[[#This Row],[Sandsynlighed]]</f>
        <v>150000</v>
      </c>
      <c r="J922" s="10" t="s">
        <v>1061</v>
      </c>
      <c r="K922" s="10" t="s">
        <v>1430</v>
      </c>
      <c r="L922" s="21" t="s">
        <v>3318</v>
      </c>
      <c r="M922" s="11">
        <v>0.01</v>
      </c>
      <c r="N922" s="1">
        <v>8000</v>
      </c>
      <c r="O922" s="10">
        <v>46279.611932870372</v>
      </c>
      <c r="P922" s="1" t="s">
        <v>72</v>
      </c>
      <c r="Q922" s="1" t="s">
        <v>72</v>
      </c>
      <c r="R922" s="8" t="s">
        <v>343</v>
      </c>
      <c r="S92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2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2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2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2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2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2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2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2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2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2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2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2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22" s="12">
        <f ca="1">[1]!Tabel1[[#This Row],[Vægtet Honorar]]*([1]!Tabel1[[#This Row],[Sidst redigeret]]&gt;TODAY()-40)*([1]!Tabel1[[#This Row],[Er i resplan?]]&lt;&gt;"Ja")*([1]!Tabel1[[#This Row],[Status]]="Pågår")</f>
        <v>0</v>
      </c>
      <c r="AG922" s="12">
        <f ca="1">[1]!Tabel1[[#This Row],[Vægtet Honorar]]*([1]!Tabel1[[#This Row],[Sidst redigeret]]&gt;TODAY()-40)*([1]!Tabel1[[#This Row],[Status]]="Pågår")</f>
        <v>0</v>
      </c>
      <c r="AH922" s="13"/>
      <c r="AI922" s="12"/>
      <c r="AJ922" s="12" t="s">
        <v>1737</v>
      </c>
      <c r="AK922" s="12"/>
      <c r="AL922" s="12"/>
      <c r="AM922" s="12"/>
      <c r="AN922" s="12"/>
      <c r="AO922" s="12"/>
      <c r="AP922" s="12"/>
    </row>
    <row r="923" spans="1:42">
      <c r="A923" t="s">
        <v>3319</v>
      </c>
      <c r="B923" s="8"/>
      <c r="C923" s="8" t="s">
        <v>3320</v>
      </c>
      <c r="D923" s="8" t="s">
        <v>2886</v>
      </c>
      <c r="E923" s="8" t="s">
        <v>102</v>
      </c>
      <c r="F923" s="8" t="s">
        <v>1152</v>
      </c>
      <c r="G923" s="8" t="s">
        <v>3321</v>
      </c>
      <c r="H923" s="9">
        <v>3000000</v>
      </c>
      <c r="I923" s="9">
        <f>[1]!Tabel1[[#This Row],[Honorar]]*[1]!Tabel1[[#This Row],[Sandsynlighed]]</f>
        <v>160000</v>
      </c>
      <c r="J923" s="10" t="s">
        <v>329</v>
      </c>
      <c r="K923" s="10" t="s">
        <v>585</v>
      </c>
      <c r="L923" s="21"/>
      <c r="M923" s="11">
        <v>0.05</v>
      </c>
      <c r="N923" s="1">
        <v>2500</v>
      </c>
      <c r="O923" s="10">
        <v>46279.611145833333</v>
      </c>
      <c r="P923" s="10"/>
      <c r="Q923" s="1" t="s">
        <v>72</v>
      </c>
      <c r="R923" s="8" t="s">
        <v>75</v>
      </c>
      <c r="S92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2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2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2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2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2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2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2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2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2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2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2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2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23" s="12">
        <f ca="1">[1]!Tabel1[[#This Row],[Vægtet Honorar]]*([1]!Tabel1[[#This Row],[Sidst redigeret]]&gt;TODAY()-40)*([1]!Tabel1[[#This Row],[Er i resplan?]]&lt;&gt;"Ja")*([1]!Tabel1[[#This Row],[Status]]="Pågår")</f>
        <v>0</v>
      </c>
      <c r="AG923" s="12">
        <f ca="1">[1]!Tabel1[[#This Row],[Vægtet Honorar]]*([1]!Tabel1[[#This Row],[Sidst redigeret]]&gt;TODAY()-40)*([1]!Tabel1[[#This Row],[Status]]="Pågår")</f>
        <v>0</v>
      </c>
      <c r="AH923" s="13"/>
      <c r="AI923" s="12" t="s">
        <v>3321</v>
      </c>
      <c r="AJ923" s="12" t="s">
        <v>2917</v>
      </c>
      <c r="AK923" s="12"/>
      <c r="AL923" s="12"/>
      <c r="AM923" s="12"/>
      <c r="AN923" s="12" t="s">
        <v>3322</v>
      </c>
      <c r="AO923" s="12"/>
      <c r="AP923" s="12"/>
    </row>
    <row r="924" spans="1:42" ht="57.75">
      <c r="A924" t="s">
        <v>3323</v>
      </c>
      <c r="B924" s="8"/>
      <c r="C924" s="8" t="s">
        <v>3324</v>
      </c>
      <c r="D924" s="8" t="s">
        <v>1468</v>
      </c>
      <c r="E924" s="8" t="s">
        <v>167</v>
      </c>
      <c r="F924" s="8" t="s">
        <v>3325</v>
      </c>
      <c r="G924" s="8" t="s">
        <v>3325</v>
      </c>
      <c r="H924" s="9">
        <v>300000</v>
      </c>
      <c r="I924" s="9">
        <f>[1]!Tabel1[[#This Row],[Honorar]]*[1]!Tabel1[[#This Row],[Sandsynlighed]]</f>
        <v>150000</v>
      </c>
      <c r="J924" s="10" t="s">
        <v>612</v>
      </c>
      <c r="K924" s="10" t="s">
        <v>1191</v>
      </c>
      <c r="L924" s="21" t="s">
        <v>3326</v>
      </c>
      <c r="M924" s="11">
        <v>0.8</v>
      </c>
      <c r="N924" s="1"/>
      <c r="O924" s="10">
        <v>46279.611145833333</v>
      </c>
      <c r="P924" s="10" t="s">
        <v>46</v>
      </c>
      <c r="Q924" s="1" t="s">
        <v>46</v>
      </c>
      <c r="R924" s="8" t="s">
        <v>47</v>
      </c>
      <c r="S92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2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2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2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2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2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2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2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2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2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2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2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2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24" s="12">
        <f ca="1">[1]!Tabel1[[#This Row],[Vægtet Honorar]]*([1]!Tabel1[[#This Row],[Sidst redigeret]]&gt;TODAY()-40)*([1]!Tabel1[[#This Row],[Er i resplan?]]&lt;&gt;"Ja")*([1]!Tabel1[[#This Row],[Status]]="Pågår")</f>
        <v>150000</v>
      </c>
      <c r="AG924" s="12">
        <f ca="1">[1]!Tabel1[[#This Row],[Vægtet Honorar]]*([1]!Tabel1[[#This Row],[Sidst redigeret]]&gt;TODAY()-40)*([1]!Tabel1[[#This Row],[Status]]="Pågår")</f>
        <v>150000</v>
      </c>
      <c r="AH924" s="13"/>
      <c r="AI924" s="12"/>
      <c r="AJ924" s="12"/>
      <c r="AK924" s="12"/>
      <c r="AL924" s="12"/>
      <c r="AM924" s="12"/>
      <c r="AN924" s="12"/>
      <c r="AO924" s="12"/>
      <c r="AP924" s="12"/>
    </row>
    <row r="925" spans="1:42">
      <c r="A925" t="s">
        <v>3327</v>
      </c>
      <c r="B925" s="8"/>
      <c r="C925" s="8" t="s">
        <v>3328</v>
      </c>
      <c r="D925" s="8" t="s">
        <v>2886</v>
      </c>
      <c r="E925" s="8" t="s">
        <v>120</v>
      </c>
      <c r="F925" s="8" t="s">
        <v>3329</v>
      </c>
      <c r="G925" s="8" t="s">
        <v>3330</v>
      </c>
      <c r="H925" s="9">
        <v>200000</v>
      </c>
      <c r="I925" s="9">
        <f>[1]!Tabel1[[#This Row],[Honorar]]*[1]!Tabel1[[#This Row],[Sandsynlighed]]</f>
        <v>161700</v>
      </c>
      <c r="J925" s="10" t="s">
        <v>612</v>
      </c>
      <c r="K925" s="10" t="s">
        <v>1191</v>
      </c>
      <c r="L925" s="21"/>
      <c r="M925" s="11">
        <v>0.5</v>
      </c>
      <c r="N925" s="1"/>
      <c r="O925" s="10">
        <v>46279.611145833333</v>
      </c>
      <c r="P925" s="10"/>
      <c r="Q925" s="1" t="s">
        <v>46</v>
      </c>
      <c r="R925" s="8" t="s">
        <v>75</v>
      </c>
      <c r="S92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2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2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2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2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2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2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2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2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2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2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2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2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25" s="12">
        <f ca="1">[1]!Tabel1[[#This Row],[Vægtet Honorar]]*([1]!Tabel1[[#This Row],[Sidst redigeret]]&gt;TODAY()-40)*([1]!Tabel1[[#This Row],[Er i resplan?]]&lt;&gt;"Ja")*([1]!Tabel1[[#This Row],[Status]]="Pågår")</f>
        <v>0</v>
      </c>
      <c r="AG925" s="12">
        <f ca="1">[1]!Tabel1[[#This Row],[Vægtet Honorar]]*([1]!Tabel1[[#This Row],[Sidst redigeret]]&gt;TODAY()-40)*([1]!Tabel1[[#This Row],[Status]]="Pågår")</f>
        <v>0</v>
      </c>
      <c r="AH925" s="13"/>
      <c r="AI925" s="12"/>
      <c r="AJ925" s="12" t="s">
        <v>3330</v>
      </c>
      <c r="AK925" s="12"/>
      <c r="AL925" s="12"/>
      <c r="AM925" s="12"/>
      <c r="AN925" s="12"/>
      <c r="AO925" s="12"/>
      <c r="AP925" s="12"/>
    </row>
    <row r="926" spans="1:42">
      <c r="A926" t="s">
        <v>3331</v>
      </c>
      <c r="B926" s="8"/>
      <c r="C926" s="8" t="s">
        <v>3332</v>
      </c>
      <c r="D926" s="8" t="s">
        <v>2886</v>
      </c>
      <c r="E926" s="8" t="s">
        <v>120</v>
      </c>
      <c r="F926" s="8"/>
      <c r="G926" s="8" t="s">
        <v>3330</v>
      </c>
      <c r="H926" s="9">
        <v>1000000</v>
      </c>
      <c r="I926" s="9">
        <f>[1]!Tabel1[[#This Row],[Honorar]]*[1]!Tabel1[[#This Row],[Sandsynlighed]]</f>
        <v>33250</v>
      </c>
      <c r="J926" s="10" t="s">
        <v>1061</v>
      </c>
      <c r="K926" s="10" t="s">
        <v>1062</v>
      </c>
      <c r="L926" s="21"/>
      <c r="M926" s="11">
        <v>0.05</v>
      </c>
      <c r="N926" s="1"/>
      <c r="O926" s="10">
        <v>46279.611145833333</v>
      </c>
      <c r="P926" s="10"/>
      <c r="Q926" s="1" t="s">
        <v>72</v>
      </c>
      <c r="R926" s="8" t="s">
        <v>75</v>
      </c>
      <c r="S92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2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2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2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2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2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2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2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2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2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2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2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2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26" s="12">
        <f ca="1">[1]!Tabel1[[#This Row],[Vægtet Honorar]]*([1]!Tabel1[[#This Row],[Sidst redigeret]]&gt;TODAY()-40)*([1]!Tabel1[[#This Row],[Er i resplan?]]&lt;&gt;"Ja")*([1]!Tabel1[[#This Row],[Status]]="Pågår")</f>
        <v>0</v>
      </c>
      <c r="AG926" s="12">
        <f ca="1">[1]!Tabel1[[#This Row],[Vægtet Honorar]]*([1]!Tabel1[[#This Row],[Sidst redigeret]]&gt;TODAY()-40)*([1]!Tabel1[[#This Row],[Status]]="Pågår")</f>
        <v>0</v>
      </c>
      <c r="AH926" s="13"/>
      <c r="AI926" s="12"/>
      <c r="AJ926" s="12" t="s">
        <v>3330</v>
      </c>
      <c r="AK926" s="12"/>
      <c r="AL926" s="12"/>
      <c r="AM926" s="12"/>
      <c r="AN926" s="12"/>
      <c r="AO926" s="12"/>
      <c r="AP926" s="12"/>
    </row>
    <row r="927" spans="1:42" ht="43.5">
      <c r="A927" t="s">
        <v>3333</v>
      </c>
      <c r="B927" s="8"/>
      <c r="C927" s="8" t="s">
        <v>3334</v>
      </c>
      <c r="D927" s="8" t="s">
        <v>358</v>
      </c>
      <c r="E927" s="8" t="s">
        <v>102</v>
      </c>
      <c r="F927" s="8" t="s">
        <v>3335</v>
      </c>
      <c r="G927" s="8" t="s">
        <v>1672</v>
      </c>
      <c r="H927" s="9">
        <v>75000</v>
      </c>
      <c r="I927" s="9">
        <f>[1]!Tabel1[[#This Row],[Honorar]]*[1]!Tabel1[[#This Row],[Sandsynlighed]]</f>
        <v>43750</v>
      </c>
      <c r="J927" s="10" t="s">
        <v>452</v>
      </c>
      <c r="K927" s="10" t="s">
        <v>329</v>
      </c>
      <c r="L927" s="21" t="s">
        <v>3336</v>
      </c>
      <c r="M927" s="11">
        <v>1</v>
      </c>
      <c r="N927" s="1"/>
      <c r="O927" s="10">
        <v>46279.611145833333</v>
      </c>
      <c r="P927" s="10"/>
      <c r="Q927" s="1" t="s">
        <v>46</v>
      </c>
      <c r="R927" s="8" t="s">
        <v>47</v>
      </c>
      <c r="S92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2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2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2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2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2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2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2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2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2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2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2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2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27" s="12">
        <f ca="1">[1]!Tabel1[[#This Row],[Vægtet Honorar]]*([1]!Tabel1[[#This Row],[Sidst redigeret]]&gt;TODAY()-40)*([1]!Tabel1[[#This Row],[Er i resplan?]]&lt;&gt;"Ja")*([1]!Tabel1[[#This Row],[Status]]="Pågår")</f>
        <v>43750</v>
      </c>
      <c r="AG927" s="12">
        <f ca="1">[1]!Tabel1[[#This Row],[Vægtet Honorar]]*([1]!Tabel1[[#This Row],[Sidst redigeret]]&gt;TODAY()-40)*([1]!Tabel1[[#This Row],[Status]]="Pågår")</f>
        <v>43750</v>
      </c>
      <c r="AH927" s="13"/>
      <c r="AI927" s="12"/>
      <c r="AJ927" s="12" t="s">
        <v>1672</v>
      </c>
      <c r="AK927" s="12"/>
      <c r="AL927" s="12"/>
      <c r="AM927" s="12"/>
      <c r="AN927" s="12"/>
      <c r="AO927" s="12"/>
      <c r="AP927" s="12"/>
    </row>
    <row r="928" spans="1:42" ht="43.5">
      <c r="A928" t="s">
        <v>3337</v>
      </c>
      <c r="B928" s="8"/>
      <c r="C928" s="8" t="s">
        <v>3338</v>
      </c>
      <c r="D928" s="8" t="s">
        <v>358</v>
      </c>
      <c r="E928" s="8" t="s">
        <v>102</v>
      </c>
      <c r="F928" s="8" t="s">
        <v>3339</v>
      </c>
      <c r="G928" s="8" t="s">
        <v>3340</v>
      </c>
      <c r="H928" s="9">
        <v>70000</v>
      </c>
      <c r="I928" s="9">
        <f>[1]!Tabel1[[#This Row],[Honorar]]*[1]!Tabel1[[#This Row],[Sandsynlighed]]</f>
        <v>150000</v>
      </c>
      <c r="J928" s="10" t="s">
        <v>452</v>
      </c>
      <c r="K928" s="10" t="s">
        <v>329</v>
      </c>
      <c r="L928" s="21" t="s">
        <v>3336</v>
      </c>
      <c r="M928" s="11">
        <v>1</v>
      </c>
      <c r="N928" s="1"/>
      <c r="O928" s="10">
        <v>46279.611145833333</v>
      </c>
      <c r="P928" s="10"/>
      <c r="Q928" s="1" t="s">
        <v>46</v>
      </c>
      <c r="R928" s="8" t="s">
        <v>47</v>
      </c>
      <c r="S92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2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2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2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2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2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2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2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2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2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2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2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2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28" s="12">
        <f ca="1">[1]!Tabel1[[#This Row],[Vægtet Honorar]]*([1]!Tabel1[[#This Row],[Sidst redigeret]]&gt;TODAY()-40)*([1]!Tabel1[[#This Row],[Er i resplan?]]&lt;&gt;"Ja")*([1]!Tabel1[[#This Row],[Status]]="Pågår")</f>
        <v>0</v>
      </c>
      <c r="AG928" s="12">
        <f ca="1">[1]!Tabel1[[#This Row],[Vægtet Honorar]]*([1]!Tabel1[[#This Row],[Sidst redigeret]]&gt;TODAY()-40)*([1]!Tabel1[[#This Row],[Status]]="Pågår")</f>
        <v>0</v>
      </c>
      <c r="AH928" s="13"/>
      <c r="AI928" s="12"/>
      <c r="AJ928" s="12" t="s">
        <v>3340</v>
      </c>
      <c r="AK928" s="12"/>
      <c r="AL928" s="12"/>
      <c r="AM928" s="12"/>
      <c r="AN928" s="12"/>
      <c r="AO928" s="12"/>
      <c r="AP928" s="12"/>
    </row>
    <row r="929" spans="1:42" ht="43.5">
      <c r="A929" t="s">
        <v>3341</v>
      </c>
      <c r="B929" s="8"/>
      <c r="C929" s="8" t="s">
        <v>3342</v>
      </c>
      <c r="D929" s="8" t="s">
        <v>358</v>
      </c>
      <c r="E929" s="8" t="s">
        <v>102</v>
      </c>
      <c r="F929" s="8"/>
      <c r="G929" s="8" t="s">
        <v>3343</v>
      </c>
      <c r="H929" s="9">
        <v>100000</v>
      </c>
      <c r="I929" s="9">
        <f>[1]!Tabel1[[#This Row],[Honorar]]*[1]!Tabel1[[#This Row],[Sandsynlighed]]</f>
        <v>240000</v>
      </c>
      <c r="J929" s="10" t="s">
        <v>452</v>
      </c>
      <c r="K929" s="10" t="s">
        <v>329</v>
      </c>
      <c r="L929" s="21" t="s">
        <v>3336</v>
      </c>
      <c r="M929" s="11">
        <v>0.75</v>
      </c>
      <c r="N929" s="1"/>
      <c r="O929" s="10">
        <v>46279.611145833333</v>
      </c>
      <c r="P929" s="10"/>
      <c r="Q929" s="1" t="s">
        <v>72</v>
      </c>
      <c r="R929" s="8" t="s">
        <v>75</v>
      </c>
      <c r="S92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2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2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2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2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2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2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2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2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2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2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2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2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29" s="12">
        <f ca="1">[1]!Tabel1[[#This Row],[Vægtet Honorar]]*([1]!Tabel1[[#This Row],[Sidst redigeret]]&gt;TODAY()-40)*([1]!Tabel1[[#This Row],[Er i resplan?]]&lt;&gt;"Ja")*([1]!Tabel1[[#This Row],[Status]]="Pågår")</f>
        <v>0</v>
      </c>
      <c r="AG929" s="12">
        <f ca="1">[1]!Tabel1[[#This Row],[Vægtet Honorar]]*([1]!Tabel1[[#This Row],[Sidst redigeret]]&gt;TODAY()-40)*([1]!Tabel1[[#This Row],[Status]]="Pågår")</f>
        <v>0</v>
      </c>
      <c r="AH929" s="13"/>
      <c r="AI929" s="12"/>
      <c r="AJ929" s="12"/>
      <c r="AK929" s="12"/>
      <c r="AL929" s="12"/>
      <c r="AM929" s="12"/>
      <c r="AN929" s="12"/>
      <c r="AO929" s="12"/>
      <c r="AP929" s="12"/>
    </row>
    <row r="930" spans="1:42">
      <c r="A930" t="s">
        <v>3344</v>
      </c>
      <c r="B930" s="8"/>
      <c r="C930" s="8" t="s">
        <v>3345</v>
      </c>
      <c r="D930" s="8" t="s">
        <v>2886</v>
      </c>
      <c r="E930" s="8" t="s">
        <v>120</v>
      </c>
      <c r="F930" s="8"/>
      <c r="G930" s="8" t="s">
        <v>691</v>
      </c>
      <c r="H930" s="9">
        <v>4000000</v>
      </c>
      <c r="I930" s="9">
        <f>[1]!Tabel1[[#This Row],[Honorar]]*[1]!Tabel1[[#This Row],[Sandsynlighed]]</f>
        <v>100000</v>
      </c>
      <c r="J930" s="10" t="s">
        <v>1191</v>
      </c>
      <c r="K930" s="10" t="s">
        <v>1861</v>
      </c>
      <c r="L930" s="21"/>
      <c r="M930" s="11">
        <v>0.05</v>
      </c>
      <c r="N930" s="1"/>
      <c r="O930" s="10">
        <v>46279.611145833333</v>
      </c>
      <c r="P930" s="10"/>
      <c r="Q930" s="1" t="s">
        <v>72</v>
      </c>
      <c r="R930" s="8" t="s">
        <v>75</v>
      </c>
      <c r="S93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3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3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3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3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3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3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3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3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3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3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3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3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30" s="12">
        <f ca="1">[1]!Tabel1[[#This Row],[Vægtet Honorar]]*([1]!Tabel1[[#This Row],[Sidst redigeret]]&gt;TODAY()-40)*([1]!Tabel1[[#This Row],[Er i resplan?]]&lt;&gt;"Ja")*([1]!Tabel1[[#This Row],[Status]]="Pågår")</f>
        <v>0</v>
      </c>
      <c r="AG930" s="12">
        <f ca="1">[1]!Tabel1[[#This Row],[Vægtet Honorar]]*([1]!Tabel1[[#This Row],[Sidst redigeret]]&gt;TODAY()-40)*([1]!Tabel1[[#This Row],[Status]]="Pågår")</f>
        <v>0</v>
      </c>
      <c r="AH930" s="13"/>
      <c r="AI930" s="12"/>
      <c r="AJ930" s="12" t="s">
        <v>2895</v>
      </c>
      <c r="AK930" s="12"/>
      <c r="AL930" s="12"/>
      <c r="AM930" s="12"/>
      <c r="AN930" s="12"/>
      <c r="AO930" s="12"/>
      <c r="AP930" s="12"/>
    </row>
    <row r="931" spans="1:42">
      <c r="A931" t="s">
        <v>3346</v>
      </c>
      <c r="B931" s="8"/>
      <c r="C931" s="8" t="s">
        <v>3347</v>
      </c>
      <c r="D931" s="8" t="s">
        <v>720</v>
      </c>
      <c r="E931" s="8" t="s">
        <v>71</v>
      </c>
      <c r="F931" s="8"/>
      <c r="G931" s="8" t="s">
        <v>788</v>
      </c>
      <c r="H931" s="9"/>
      <c r="I931" s="9">
        <f>[1]!Tabel1[[#This Row],[Honorar]]*[1]!Tabel1[[#This Row],[Sandsynlighed]]</f>
        <v>50000</v>
      </c>
      <c r="J931" s="10" t="s">
        <v>612</v>
      </c>
      <c r="K931" s="10" t="s">
        <v>1061</v>
      </c>
      <c r="L931" s="21"/>
      <c r="M931" s="11">
        <v>1</v>
      </c>
      <c r="N931" s="1"/>
      <c r="O931" s="10">
        <v>46279.611145833333</v>
      </c>
      <c r="P931" s="10"/>
      <c r="Q931" s="1" t="s">
        <v>46</v>
      </c>
      <c r="R931" s="8" t="s">
        <v>47</v>
      </c>
      <c r="S93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3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3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3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3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3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3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3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3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3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3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3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3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31" s="12">
        <f ca="1">[1]!Tabel1[[#This Row],[Vægtet Honorar]]*([1]!Tabel1[[#This Row],[Sidst redigeret]]&gt;TODAY()-40)*([1]!Tabel1[[#This Row],[Er i resplan?]]&lt;&gt;"Ja")*([1]!Tabel1[[#This Row],[Status]]="Pågår")</f>
        <v>0</v>
      </c>
      <c r="AG931" s="12">
        <f ca="1">[1]!Tabel1[[#This Row],[Vægtet Honorar]]*([1]!Tabel1[[#This Row],[Sidst redigeret]]&gt;TODAY()-40)*([1]!Tabel1[[#This Row],[Status]]="Pågår")</f>
        <v>0</v>
      </c>
      <c r="AH931" s="13"/>
      <c r="AI931" s="12"/>
      <c r="AJ931" s="12"/>
      <c r="AK931" s="12"/>
      <c r="AL931" s="12"/>
      <c r="AM931" s="12"/>
      <c r="AN931" s="12"/>
      <c r="AO931" s="12"/>
      <c r="AP931" s="12"/>
    </row>
    <row r="932" spans="1:42" ht="29.25">
      <c r="A932" t="s">
        <v>3348</v>
      </c>
      <c r="B932" s="8"/>
      <c r="C932" s="8" t="s">
        <v>3349</v>
      </c>
      <c r="D932" s="8" t="s">
        <v>421</v>
      </c>
      <c r="E932" s="8" t="s">
        <v>120</v>
      </c>
      <c r="F932" s="8" t="s">
        <v>3350</v>
      </c>
      <c r="G932" s="8" t="s">
        <v>3350</v>
      </c>
      <c r="H932" s="9">
        <v>550000</v>
      </c>
      <c r="I932" s="9">
        <f>[1]!Tabel1[[#This Row],[Honorar]]*[1]!Tabel1[[#This Row],[Sandsynlighed]]</f>
        <v>75000</v>
      </c>
      <c r="J932" s="10" t="s">
        <v>1061</v>
      </c>
      <c r="K932" s="10" t="s">
        <v>329</v>
      </c>
      <c r="L932" s="21" t="s">
        <v>3088</v>
      </c>
      <c r="M932" s="11">
        <v>0.8</v>
      </c>
      <c r="N932" s="1">
        <v>400</v>
      </c>
      <c r="O932" s="10">
        <v>46279.611145833333</v>
      </c>
      <c r="P932" s="10"/>
      <c r="Q932" s="1" t="s">
        <v>46</v>
      </c>
      <c r="R932" s="8" t="s">
        <v>47</v>
      </c>
      <c r="S93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3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3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3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3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3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3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3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3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3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3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3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3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32" s="12">
        <f ca="1">[1]!Tabel1[[#This Row],[Vægtet Honorar]]*([1]!Tabel1[[#This Row],[Sidst redigeret]]&gt;TODAY()-40)*([1]!Tabel1[[#This Row],[Er i resplan?]]&lt;&gt;"Ja")*([1]!Tabel1[[#This Row],[Status]]="Pågår")</f>
        <v>0</v>
      </c>
      <c r="AG932" s="12">
        <f ca="1">[1]!Tabel1[[#This Row],[Vægtet Honorar]]*([1]!Tabel1[[#This Row],[Sidst redigeret]]&gt;TODAY()-40)*([1]!Tabel1[[#This Row],[Status]]="Pågår")</f>
        <v>0</v>
      </c>
      <c r="AH932" s="13"/>
      <c r="AI932" s="12"/>
      <c r="AJ932" s="12"/>
      <c r="AK932" s="12"/>
      <c r="AL932" s="12"/>
      <c r="AM932" s="12"/>
      <c r="AN932" s="12"/>
      <c r="AO932" s="12"/>
      <c r="AP932" s="12"/>
    </row>
    <row r="933" spans="1:42" ht="100.5">
      <c r="A933" t="s">
        <v>3351</v>
      </c>
      <c r="B933" s="8"/>
      <c r="C933" s="8" t="s">
        <v>3352</v>
      </c>
      <c r="D933" s="8" t="s">
        <v>720</v>
      </c>
      <c r="E933" s="8" t="s">
        <v>71</v>
      </c>
      <c r="F933" s="8"/>
      <c r="G933" s="8" t="s">
        <v>3257</v>
      </c>
      <c r="H933" s="9">
        <v>3500000</v>
      </c>
      <c r="I933" s="9">
        <f>[1]!Tabel1[[#This Row],[Honorar]]*[1]!Tabel1[[#This Row],[Sandsynlighed]]</f>
        <v>70000</v>
      </c>
      <c r="J933" s="10" t="s">
        <v>1061</v>
      </c>
      <c r="K933" s="10" t="s">
        <v>2405</v>
      </c>
      <c r="L933" s="21" t="s">
        <v>3353</v>
      </c>
      <c r="M933" s="11">
        <v>0</v>
      </c>
      <c r="N933" s="1">
        <v>6100</v>
      </c>
      <c r="O933" s="10">
        <v>46279.611145833333</v>
      </c>
      <c r="P933" s="10"/>
      <c r="Q933" s="1" t="s">
        <v>46</v>
      </c>
      <c r="R933" s="8" t="s">
        <v>75</v>
      </c>
      <c r="S93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3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3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3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3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3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3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3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3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3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3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3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3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33" s="12">
        <f ca="1">[1]!Tabel1[[#This Row],[Vægtet Honorar]]*([1]!Tabel1[[#This Row],[Sidst redigeret]]&gt;TODAY()-40)*([1]!Tabel1[[#This Row],[Er i resplan?]]&lt;&gt;"Ja")*([1]!Tabel1[[#This Row],[Status]]="Pågår")</f>
        <v>0</v>
      </c>
      <c r="AG933" s="12">
        <f ca="1">[1]!Tabel1[[#This Row],[Vægtet Honorar]]*([1]!Tabel1[[#This Row],[Sidst redigeret]]&gt;TODAY()-40)*([1]!Tabel1[[#This Row],[Status]]="Pågår")</f>
        <v>0</v>
      </c>
      <c r="AH933" s="13"/>
      <c r="AI933" s="12"/>
      <c r="AJ933" s="12" t="s">
        <v>2895</v>
      </c>
      <c r="AK933" s="12" t="s">
        <v>1693</v>
      </c>
      <c r="AL933" s="12"/>
      <c r="AM933" s="12"/>
      <c r="AN933" s="12"/>
      <c r="AO933" s="12"/>
      <c r="AP933" s="12"/>
    </row>
    <row r="934" spans="1:42" ht="72">
      <c r="A934" t="s">
        <v>3354</v>
      </c>
      <c r="B934" s="8"/>
      <c r="C934" s="8" t="s">
        <v>3355</v>
      </c>
      <c r="D934" s="8" t="s">
        <v>203</v>
      </c>
      <c r="E934" s="8" t="s">
        <v>167</v>
      </c>
      <c r="F934" s="8"/>
      <c r="G934" s="8" t="s">
        <v>3356</v>
      </c>
      <c r="H934" s="9">
        <v>450000</v>
      </c>
      <c r="I934" s="9">
        <f>[1]!Tabel1[[#This Row],[Honorar]]*[1]!Tabel1[[#This Row],[Sandsynlighed]]</f>
        <v>75000</v>
      </c>
      <c r="J934" s="10" t="s">
        <v>612</v>
      </c>
      <c r="K934" s="10" t="s">
        <v>1061</v>
      </c>
      <c r="L934" s="21" t="s">
        <v>3357</v>
      </c>
      <c r="M934" s="11">
        <v>0.75</v>
      </c>
      <c r="N934" s="1">
        <v>300</v>
      </c>
      <c r="O934" s="10">
        <v>46279.611145833333</v>
      </c>
      <c r="P934" s="10"/>
      <c r="Q934" s="1" t="s">
        <v>72</v>
      </c>
      <c r="R934" s="8" t="s">
        <v>343</v>
      </c>
      <c r="S93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3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3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3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3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3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3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3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3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3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3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3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3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34" s="12">
        <f ca="1">[1]!Tabel1[[#This Row],[Vægtet Honorar]]*([1]!Tabel1[[#This Row],[Sidst redigeret]]&gt;TODAY()-40)*([1]!Tabel1[[#This Row],[Er i resplan?]]&lt;&gt;"Ja")*([1]!Tabel1[[#This Row],[Status]]="Pågår")</f>
        <v>0</v>
      </c>
      <c r="AG934" s="12">
        <f ca="1">[1]!Tabel1[[#This Row],[Vægtet Honorar]]*([1]!Tabel1[[#This Row],[Sidst redigeret]]&gt;TODAY()-40)*([1]!Tabel1[[#This Row],[Status]]="Pågår")</f>
        <v>0</v>
      </c>
      <c r="AH934" s="13"/>
      <c r="AI934" s="12"/>
      <c r="AJ934" s="12"/>
      <c r="AK934" s="12"/>
      <c r="AL934" s="12"/>
      <c r="AM934" s="12"/>
      <c r="AN934" s="12"/>
      <c r="AO934" s="12"/>
      <c r="AP934" s="12"/>
    </row>
    <row r="935" spans="1:42" ht="72">
      <c r="A935" t="s">
        <v>3358</v>
      </c>
      <c r="B935" s="8"/>
      <c r="C935" s="8" t="s">
        <v>3359</v>
      </c>
      <c r="D935" s="8" t="s">
        <v>3360</v>
      </c>
      <c r="E935" s="8" t="s">
        <v>167</v>
      </c>
      <c r="F935" s="8"/>
      <c r="G935" s="8" t="s">
        <v>671</v>
      </c>
      <c r="H935" s="9">
        <v>175000</v>
      </c>
      <c r="I935" s="9">
        <f>[1]!Tabel1[[#This Row],[Honorar]]*[1]!Tabel1[[#This Row],[Sandsynlighed]]</f>
        <v>200000</v>
      </c>
      <c r="J935" s="10" t="s">
        <v>612</v>
      </c>
      <c r="K935" s="10" t="s">
        <v>1061</v>
      </c>
      <c r="L935" s="21" t="s">
        <v>3361</v>
      </c>
      <c r="M935" s="11">
        <v>0.25</v>
      </c>
      <c r="N935" s="1"/>
      <c r="O935" s="10">
        <v>46279.611145833333</v>
      </c>
      <c r="P935" s="10"/>
      <c r="Q935" s="1" t="s">
        <v>72</v>
      </c>
      <c r="R935" s="8" t="s">
        <v>343</v>
      </c>
      <c r="S93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3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3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3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3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3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3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3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3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3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3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3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3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35" s="12">
        <f ca="1">[1]!Tabel1[[#This Row],[Vægtet Honorar]]*([1]!Tabel1[[#This Row],[Sidst redigeret]]&gt;TODAY()-40)*([1]!Tabel1[[#This Row],[Er i resplan?]]&lt;&gt;"Ja")*([1]!Tabel1[[#This Row],[Status]]="Pågår")</f>
        <v>0</v>
      </c>
      <c r="AG935" s="12">
        <f ca="1">[1]!Tabel1[[#This Row],[Vægtet Honorar]]*([1]!Tabel1[[#This Row],[Sidst redigeret]]&gt;TODAY()-40)*([1]!Tabel1[[#This Row],[Status]]="Pågår")</f>
        <v>0</v>
      </c>
      <c r="AH935" s="13"/>
      <c r="AI935" s="12"/>
      <c r="AJ935" s="12"/>
      <c r="AK935" s="12"/>
      <c r="AL935" s="12"/>
      <c r="AM935" s="12"/>
      <c r="AN935" s="12"/>
      <c r="AO935" s="12"/>
      <c r="AP935" s="12"/>
    </row>
    <row r="936" spans="1:42">
      <c r="A936" t="s">
        <v>3362</v>
      </c>
      <c r="B936" s="8"/>
      <c r="C936" s="8" t="s">
        <v>3363</v>
      </c>
      <c r="D936" s="8" t="s">
        <v>859</v>
      </c>
      <c r="E936" s="8" t="s">
        <v>71</v>
      </c>
      <c r="F936" s="8"/>
      <c r="G936" s="8" t="s">
        <v>3364</v>
      </c>
      <c r="H936" s="9">
        <v>70000</v>
      </c>
      <c r="I936" s="9">
        <f>[1]!Tabel1[[#This Row],[Honorar]]*[1]!Tabel1[[#This Row],[Sandsynlighed]]</f>
        <v>0</v>
      </c>
      <c r="J936" s="10" t="s">
        <v>612</v>
      </c>
      <c r="K936" s="10" t="s">
        <v>329</v>
      </c>
      <c r="L936" s="21"/>
      <c r="M936" s="11">
        <v>0.9</v>
      </c>
      <c r="N936" s="1"/>
      <c r="O936" s="10">
        <v>46279.611145833333</v>
      </c>
      <c r="P936" s="10"/>
      <c r="Q936" s="1" t="s">
        <v>72</v>
      </c>
      <c r="R936" s="8" t="s">
        <v>47</v>
      </c>
      <c r="S93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3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3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3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3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3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3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3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3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3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3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3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3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36" s="12">
        <f ca="1">[1]!Tabel1[[#This Row],[Vægtet Honorar]]*([1]!Tabel1[[#This Row],[Sidst redigeret]]&gt;TODAY()-40)*([1]!Tabel1[[#This Row],[Er i resplan?]]&lt;&gt;"Ja")*([1]!Tabel1[[#This Row],[Status]]="Pågår")</f>
        <v>0</v>
      </c>
      <c r="AG936" s="12">
        <f ca="1">[1]!Tabel1[[#This Row],[Vægtet Honorar]]*([1]!Tabel1[[#This Row],[Sidst redigeret]]&gt;TODAY()-40)*([1]!Tabel1[[#This Row],[Status]]="Pågår")</f>
        <v>0</v>
      </c>
      <c r="AH936" s="13"/>
      <c r="AI936" s="12"/>
      <c r="AJ936" s="12"/>
      <c r="AK936" s="12"/>
      <c r="AL936" s="12"/>
      <c r="AM936" s="12"/>
      <c r="AN936" s="12"/>
      <c r="AO936" s="12"/>
      <c r="AP936" s="12"/>
    </row>
    <row r="937" spans="1:42">
      <c r="A937" t="s">
        <v>3365</v>
      </c>
      <c r="B937" s="8"/>
      <c r="C937" s="8" t="s">
        <v>3366</v>
      </c>
      <c r="D937" s="8" t="s">
        <v>44</v>
      </c>
      <c r="E937" s="8" t="s">
        <v>71</v>
      </c>
      <c r="F937" s="8" t="s">
        <v>671</v>
      </c>
      <c r="G937" s="8" t="s">
        <v>671</v>
      </c>
      <c r="H937" s="9">
        <v>300000</v>
      </c>
      <c r="I937" s="9">
        <f>[1]!Tabel1[[#This Row],[Honorar]]*[1]!Tabel1[[#This Row],[Sandsynlighed]]</f>
        <v>440000</v>
      </c>
      <c r="J937" s="10" t="s">
        <v>612</v>
      </c>
      <c r="K937" s="10" t="s">
        <v>329</v>
      </c>
      <c r="L937" s="21"/>
      <c r="M937" s="11">
        <v>0</v>
      </c>
      <c r="N937" s="1">
        <v>7000</v>
      </c>
      <c r="O937" s="10">
        <v>46279.611145833333</v>
      </c>
      <c r="P937" s="10"/>
      <c r="Q937" s="1" t="s">
        <v>72</v>
      </c>
      <c r="R937" s="8" t="s">
        <v>75</v>
      </c>
      <c r="S93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3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3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3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3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3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3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3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3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3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3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3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3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37" s="12">
        <f ca="1">[1]!Tabel1[[#This Row],[Vægtet Honorar]]*([1]!Tabel1[[#This Row],[Sidst redigeret]]&gt;TODAY()-40)*([1]!Tabel1[[#This Row],[Er i resplan?]]&lt;&gt;"Ja")*([1]!Tabel1[[#This Row],[Status]]="Pågår")</f>
        <v>0</v>
      </c>
      <c r="AG937" s="12">
        <f ca="1">[1]!Tabel1[[#This Row],[Vægtet Honorar]]*([1]!Tabel1[[#This Row],[Sidst redigeret]]&gt;TODAY()-40)*([1]!Tabel1[[#This Row],[Status]]="Pågår")</f>
        <v>0</v>
      </c>
      <c r="AH937" s="13"/>
      <c r="AI937" s="12"/>
      <c r="AJ937" s="12"/>
      <c r="AK937" s="12"/>
      <c r="AL937" s="12"/>
      <c r="AM937" s="12"/>
      <c r="AN937" s="12"/>
      <c r="AO937" s="12"/>
      <c r="AP937" s="12"/>
    </row>
    <row r="938" spans="1:42" ht="43.5">
      <c r="A938" t="s">
        <v>3367</v>
      </c>
      <c r="B938" s="8"/>
      <c r="C938" s="8" t="s">
        <v>3368</v>
      </c>
      <c r="D938" s="8" t="s">
        <v>720</v>
      </c>
      <c r="E938" s="8" t="s">
        <v>71</v>
      </c>
      <c r="F938" s="8" t="s">
        <v>888</v>
      </c>
      <c r="G938" s="8" t="s">
        <v>2917</v>
      </c>
      <c r="H938" s="9">
        <v>3000000</v>
      </c>
      <c r="I938" s="9">
        <f>[1]!Tabel1[[#This Row],[Honorar]]*[1]!Tabel1[[#This Row],[Sandsynlighed]]</f>
        <v>0</v>
      </c>
      <c r="J938" s="10" t="s">
        <v>612</v>
      </c>
      <c r="K938" s="10" t="s">
        <v>2405</v>
      </c>
      <c r="L938" s="21" t="s">
        <v>3369</v>
      </c>
      <c r="M938" s="11">
        <v>0.02</v>
      </c>
      <c r="N938" s="1" t="s">
        <v>516</v>
      </c>
      <c r="O938" s="10">
        <v>46279.611145833333</v>
      </c>
      <c r="P938" s="10"/>
      <c r="Q938" s="1" t="s">
        <v>72</v>
      </c>
      <c r="R938" s="8" t="s">
        <v>343</v>
      </c>
      <c r="S93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3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3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3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3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3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3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3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3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3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3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3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3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38" s="12">
        <f ca="1">[1]!Tabel1[[#This Row],[Vægtet Honorar]]*([1]!Tabel1[[#This Row],[Sidst redigeret]]&gt;TODAY()-40)*([1]!Tabel1[[#This Row],[Er i resplan?]]&lt;&gt;"Ja")*([1]!Tabel1[[#This Row],[Status]]="Pågår")</f>
        <v>0</v>
      </c>
      <c r="AG938" s="12">
        <f ca="1">[1]!Tabel1[[#This Row],[Vægtet Honorar]]*([1]!Tabel1[[#This Row],[Sidst redigeret]]&gt;TODAY()-40)*([1]!Tabel1[[#This Row],[Status]]="Pågår")</f>
        <v>0</v>
      </c>
      <c r="AH938" s="13"/>
      <c r="AI938" s="12"/>
      <c r="AJ938" s="12" t="s">
        <v>3370</v>
      </c>
      <c r="AK938" s="12" t="s">
        <v>2917</v>
      </c>
      <c r="AL938" s="12"/>
      <c r="AM938" s="12"/>
      <c r="AN938" s="12"/>
      <c r="AO938" s="12"/>
      <c r="AP938" s="12"/>
    </row>
    <row r="939" spans="1:42" ht="43.5">
      <c r="A939" t="s">
        <v>3371</v>
      </c>
      <c r="B939" s="8"/>
      <c r="C939" s="8" t="s">
        <v>3372</v>
      </c>
      <c r="D939" s="8" t="s">
        <v>720</v>
      </c>
      <c r="E939" s="8" t="s">
        <v>71</v>
      </c>
      <c r="F939" s="8" t="s">
        <v>3373</v>
      </c>
      <c r="G939" s="8" t="s">
        <v>3374</v>
      </c>
      <c r="H939" s="9">
        <v>1000000</v>
      </c>
      <c r="I939" s="9">
        <f>[1]!Tabel1[[#This Row],[Honorar]]*[1]!Tabel1[[#This Row],[Sandsynlighed]]</f>
        <v>337500</v>
      </c>
      <c r="J939" s="10" t="s">
        <v>329</v>
      </c>
      <c r="K939" s="10" t="s">
        <v>1062</v>
      </c>
      <c r="L939" s="21" t="s">
        <v>3375</v>
      </c>
      <c r="M939" s="11">
        <v>0.02</v>
      </c>
      <c r="N939" s="1" t="s">
        <v>516</v>
      </c>
      <c r="O939" s="10">
        <v>46279.611145833333</v>
      </c>
      <c r="P939" s="10"/>
      <c r="Q939" s="1" t="s">
        <v>72</v>
      </c>
      <c r="R939" s="8" t="s">
        <v>343</v>
      </c>
      <c r="S93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3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3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3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3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3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3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3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3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3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3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3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3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39" s="12">
        <f ca="1">[1]!Tabel1[[#This Row],[Vægtet Honorar]]*([1]!Tabel1[[#This Row],[Sidst redigeret]]&gt;TODAY()-40)*([1]!Tabel1[[#This Row],[Er i resplan?]]&lt;&gt;"Ja")*([1]!Tabel1[[#This Row],[Status]]="Pågår")</f>
        <v>337500</v>
      </c>
      <c r="AG939" s="12">
        <f ca="1">[1]!Tabel1[[#This Row],[Vægtet Honorar]]*([1]!Tabel1[[#This Row],[Sidst redigeret]]&gt;TODAY()-40)*([1]!Tabel1[[#This Row],[Status]]="Pågår")</f>
        <v>337500</v>
      </c>
      <c r="AH939" s="13"/>
      <c r="AI939" s="12"/>
      <c r="AJ939" s="12" t="s">
        <v>1691</v>
      </c>
      <c r="AK939" s="12" t="s">
        <v>3374</v>
      </c>
      <c r="AL939" s="12"/>
      <c r="AM939" s="12"/>
      <c r="AN939" s="12"/>
      <c r="AO939" s="12"/>
      <c r="AP939" s="12"/>
    </row>
    <row r="940" spans="1:42">
      <c r="A940" t="s">
        <v>3376</v>
      </c>
      <c r="B940" s="8"/>
      <c r="C940" s="8" t="s">
        <v>3377</v>
      </c>
      <c r="D940" s="8" t="s">
        <v>1623</v>
      </c>
      <c r="E940" s="8" t="s">
        <v>102</v>
      </c>
      <c r="F940" s="8" t="s">
        <v>3378</v>
      </c>
      <c r="G940" s="8" t="s">
        <v>3379</v>
      </c>
      <c r="H940" s="9">
        <v>400000</v>
      </c>
      <c r="I940" s="9">
        <f>[1]!Tabel1[[#This Row],[Honorar]]*[1]!Tabel1[[#This Row],[Sandsynlighed]]</f>
        <v>43750</v>
      </c>
      <c r="J940" s="10" t="s">
        <v>612</v>
      </c>
      <c r="K940" s="10" t="s">
        <v>612</v>
      </c>
      <c r="L940" s="21"/>
      <c r="M940" s="11">
        <v>1</v>
      </c>
      <c r="N940" s="1" t="s">
        <v>3380</v>
      </c>
      <c r="O940" s="10">
        <v>46279.611145833333</v>
      </c>
      <c r="P940" s="10"/>
      <c r="Q940" s="1" t="s">
        <v>46</v>
      </c>
      <c r="R940" s="8" t="s">
        <v>47</v>
      </c>
      <c r="S94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4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4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4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4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4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4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4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4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4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4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4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4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40" s="12">
        <f ca="1">[1]!Tabel1[[#This Row],[Vægtet Honorar]]*([1]!Tabel1[[#This Row],[Sidst redigeret]]&gt;TODAY()-40)*([1]!Tabel1[[#This Row],[Er i resplan?]]&lt;&gt;"Ja")*([1]!Tabel1[[#This Row],[Status]]="Pågår")</f>
        <v>43750</v>
      </c>
      <c r="AG940" s="12">
        <f ca="1">[1]!Tabel1[[#This Row],[Vægtet Honorar]]*([1]!Tabel1[[#This Row],[Sidst redigeret]]&gt;TODAY()-40)*([1]!Tabel1[[#This Row],[Status]]="Pågår")</f>
        <v>43750</v>
      </c>
      <c r="AH940" s="13"/>
      <c r="AI940" s="12"/>
      <c r="AJ940" s="12"/>
      <c r="AK940" s="12"/>
      <c r="AL940" s="12"/>
      <c r="AM940" s="12"/>
      <c r="AN940" s="12"/>
      <c r="AO940" s="12"/>
      <c r="AP940" s="12"/>
    </row>
    <row r="941" spans="1:42">
      <c r="A941" t="s">
        <v>3381</v>
      </c>
      <c r="B941" s="8"/>
      <c r="C941" s="8" t="s">
        <v>3382</v>
      </c>
      <c r="D941" s="8" t="s">
        <v>2886</v>
      </c>
      <c r="E941" s="8" t="s">
        <v>120</v>
      </c>
      <c r="F941" s="8" t="s">
        <v>3383</v>
      </c>
      <c r="G941" s="8" t="s">
        <v>3330</v>
      </c>
      <c r="H941" s="9">
        <v>1500000</v>
      </c>
      <c r="I941" s="9">
        <f>[1]!Tabel1[[#This Row],[Honorar]]*[1]!Tabel1[[#This Row],[Sandsynlighed]]</f>
        <v>63000</v>
      </c>
      <c r="J941" s="10" t="s">
        <v>1061</v>
      </c>
      <c r="K941" s="10" t="s">
        <v>341</v>
      </c>
      <c r="L941" s="21"/>
      <c r="M941" s="11">
        <v>0.05</v>
      </c>
      <c r="N941" s="1">
        <v>3600</v>
      </c>
      <c r="O941" s="10">
        <v>46279.611145833333</v>
      </c>
      <c r="P941" s="10"/>
      <c r="Q941" s="1" t="s">
        <v>72</v>
      </c>
      <c r="R941" s="8" t="s">
        <v>343</v>
      </c>
      <c r="S94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4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4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4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4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4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4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4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4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4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4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4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4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41" s="12">
        <f ca="1">[1]!Tabel1[[#This Row],[Vægtet Honorar]]*([1]!Tabel1[[#This Row],[Sidst redigeret]]&gt;TODAY()-40)*([1]!Tabel1[[#This Row],[Er i resplan?]]&lt;&gt;"Ja")*([1]!Tabel1[[#This Row],[Status]]="Pågår")</f>
        <v>0</v>
      </c>
      <c r="AG941" s="12">
        <f ca="1">[1]!Tabel1[[#This Row],[Vægtet Honorar]]*([1]!Tabel1[[#This Row],[Sidst redigeret]]&gt;TODAY()-40)*([1]!Tabel1[[#This Row],[Status]]="Pågår")</f>
        <v>0</v>
      </c>
      <c r="AH941" s="13"/>
      <c r="AI941" s="12"/>
      <c r="AJ941" s="12" t="s">
        <v>3330</v>
      </c>
      <c r="AK941" s="12"/>
      <c r="AL941" s="12"/>
      <c r="AM941" s="12"/>
      <c r="AN941" s="12"/>
      <c r="AO941" s="12"/>
      <c r="AP941" s="12"/>
    </row>
    <row r="942" spans="1:42" ht="57.75">
      <c r="A942" t="s">
        <v>3384</v>
      </c>
      <c r="B942" s="8"/>
      <c r="C942" s="8" t="s">
        <v>3385</v>
      </c>
      <c r="D942" s="8" t="s">
        <v>896</v>
      </c>
      <c r="E942" s="8" t="s">
        <v>94</v>
      </c>
      <c r="F942" s="8" t="s">
        <v>3386</v>
      </c>
      <c r="G942" s="8" t="s">
        <v>3387</v>
      </c>
      <c r="H942" s="9">
        <v>3825000</v>
      </c>
      <c r="I942" s="9">
        <f>[1]!Tabel1[[#This Row],[Honorar]]*[1]!Tabel1[[#This Row],[Sandsynlighed]]</f>
        <v>0</v>
      </c>
      <c r="J942" s="10" t="s">
        <v>1287</v>
      </c>
      <c r="K942" s="10" t="s">
        <v>342</v>
      </c>
      <c r="L942" s="21" t="s">
        <v>3388</v>
      </c>
      <c r="M942" s="11">
        <v>0.01</v>
      </c>
      <c r="N942" s="1">
        <v>1400</v>
      </c>
      <c r="O942" s="10">
        <v>46279.611145833333</v>
      </c>
      <c r="P942" s="1" t="s">
        <v>72</v>
      </c>
      <c r="Q942" s="1" t="s">
        <v>72</v>
      </c>
      <c r="R942" s="8" t="s">
        <v>49</v>
      </c>
      <c r="S94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4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4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4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4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4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4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4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4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4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4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4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4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42" s="12">
        <f ca="1">[1]!Tabel1[[#This Row],[Vægtet Honorar]]*([1]!Tabel1[[#This Row],[Sidst redigeret]]&gt;TODAY()-40)*([1]!Tabel1[[#This Row],[Er i resplan?]]&lt;&gt;"Ja")*([1]!Tabel1[[#This Row],[Status]]="Pågår")</f>
        <v>0</v>
      </c>
      <c r="AG942" s="12">
        <f ca="1">[1]!Tabel1[[#This Row],[Vægtet Honorar]]*([1]!Tabel1[[#This Row],[Sidst redigeret]]&gt;TODAY()-40)*([1]!Tabel1[[#This Row],[Status]]="Pågår")</f>
        <v>0</v>
      </c>
      <c r="AH942" s="13"/>
      <c r="AI942" s="12" t="s">
        <v>3389</v>
      </c>
      <c r="AJ942" s="12" t="s">
        <v>1693</v>
      </c>
      <c r="AK942" s="12" t="s">
        <v>1693</v>
      </c>
      <c r="AL942" s="12"/>
      <c r="AM942" s="12"/>
      <c r="AN942" s="12"/>
      <c r="AO942" s="12"/>
      <c r="AP942" s="12"/>
    </row>
    <row r="943" spans="1:42">
      <c r="A943" t="s">
        <v>3390</v>
      </c>
      <c r="B943" s="8"/>
      <c r="C943" s="8" t="s">
        <v>3391</v>
      </c>
      <c r="D943" s="8" t="s">
        <v>3391</v>
      </c>
      <c r="E943" s="8" t="s">
        <v>167</v>
      </c>
      <c r="F943" s="8" t="s">
        <v>3391</v>
      </c>
      <c r="G943" s="8" t="s">
        <v>3391</v>
      </c>
      <c r="H943" s="9">
        <v>1</v>
      </c>
      <c r="I943" s="9">
        <f>[1]!Tabel1[[#This Row],[Honorar]]*[1]!Tabel1[[#This Row],[Sandsynlighed]]</f>
        <v>60000</v>
      </c>
      <c r="J943" s="10" t="s">
        <v>1061</v>
      </c>
      <c r="K943" s="10" t="s">
        <v>341</v>
      </c>
      <c r="L943" s="21" t="s">
        <v>3392</v>
      </c>
      <c r="M943" s="11">
        <v>0.01</v>
      </c>
      <c r="N943" s="1">
        <v>1</v>
      </c>
      <c r="O943" s="10">
        <v>46279.611145833333</v>
      </c>
      <c r="P943" s="10"/>
      <c r="Q943" s="1" t="s">
        <v>46</v>
      </c>
      <c r="R943" s="8" t="s">
        <v>343</v>
      </c>
      <c r="S94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4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4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4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4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4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4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4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4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4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4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4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4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43" s="12">
        <f ca="1">[1]!Tabel1[[#This Row],[Vægtet Honorar]]*([1]!Tabel1[[#This Row],[Sidst redigeret]]&gt;TODAY()-40)*([1]!Tabel1[[#This Row],[Er i resplan?]]&lt;&gt;"Ja")*([1]!Tabel1[[#This Row],[Status]]="Pågår")</f>
        <v>60000</v>
      </c>
      <c r="AG943" s="12">
        <f ca="1">[1]!Tabel1[[#This Row],[Vægtet Honorar]]*([1]!Tabel1[[#This Row],[Sidst redigeret]]&gt;TODAY()-40)*([1]!Tabel1[[#This Row],[Status]]="Pågår")</f>
        <v>60000</v>
      </c>
      <c r="AH943" s="13"/>
      <c r="AI943" s="12"/>
      <c r="AJ943" s="12"/>
      <c r="AK943" s="12"/>
      <c r="AL943" s="12"/>
      <c r="AM943" s="12"/>
      <c r="AN943" s="12"/>
      <c r="AO943" s="12"/>
      <c r="AP943" s="12"/>
    </row>
    <row r="944" spans="1:42">
      <c r="A944" t="s">
        <v>3393</v>
      </c>
      <c r="B944" s="8"/>
      <c r="C944" s="8" t="s">
        <v>3394</v>
      </c>
      <c r="D944" s="8" t="s">
        <v>435</v>
      </c>
      <c r="E944" s="8" t="s">
        <v>167</v>
      </c>
      <c r="F944" s="8" t="s">
        <v>3395</v>
      </c>
      <c r="G944" s="8" t="s">
        <v>3395</v>
      </c>
      <c r="H944" s="9">
        <v>1</v>
      </c>
      <c r="I944" s="9">
        <f>[1]!Tabel1[[#This Row],[Honorar]]*[1]!Tabel1[[#This Row],[Sandsynlighed]]</f>
        <v>20000</v>
      </c>
      <c r="J944" s="10" t="s">
        <v>612</v>
      </c>
      <c r="K944" s="10" t="s">
        <v>341</v>
      </c>
      <c r="L944" s="21" t="s">
        <v>3392</v>
      </c>
      <c r="M944" s="11">
        <v>0.75</v>
      </c>
      <c r="N944" s="1">
        <v>2500</v>
      </c>
      <c r="O944" s="10">
        <v>46279.611145833333</v>
      </c>
      <c r="P944" s="10"/>
      <c r="Q944" s="1" t="s">
        <v>72</v>
      </c>
      <c r="R944" s="8" t="s">
        <v>343</v>
      </c>
      <c r="S94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4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4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4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4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4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4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4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4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4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4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4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4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44" s="12">
        <f ca="1">[1]!Tabel1[[#This Row],[Vægtet Honorar]]*([1]!Tabel1[[#This Row],[Sidst redigeret]]&gt;TODAY()-40)*([1]!Tabel1[[#This Row],[Er i resplan?]]&lt;&gt;"Ja")*([1]!Tabel1[[#This Row],[Status]]="Pågår")</f>
        <v>20000</v>
      </c>
      <c r="AG944" s="12">
        <f ca="1">[1]!Tabel1[[#This Row],[Vægtet Honorar]]*([1]!Tabel1[[#This Row],[Sidst redigeret]]&gt;TODAY()-40)*([1]!Tabel1[[#This Row],[Status]]="Pågår")</f>
        <v>20000</v>
      </c>
      <c r="AH944" s="13"/>
      <c r="AI944" s="12"/>
      <c r="AJ944" s="12" t="s">
        <v>3395</v>
      </c>
      <c r="AK944" s="12" t="s">
        <v>3395</v>
      </c>
      <c r="AL944" s="12"/>
      <c r="AM944" s="12"/>
      <c r="AN944" s="12"/>
      <c r="AO944" s="12"/>
      <c r="AP944" s="12"/>
    </row>
    <row r="945" spans="1:42">
      <c r="A945" t="s">
        <v>3396</v>
      </c>
      <c r="B945" s="8"/>
      <c r="C945" s="8" t="s">
        <v>3397</v>
      </c>
      <c r="D945" s="8" t="s">
        <v>3360</v>
      </c>
      <c r="E945" s="8" t="s">
        <v>167</v>
      </c>
      <c r="F945" s="8" t="s">
        <v>671</v>
      </c>
      <c r="G945" s="8" t="s">
        <v>671</v>
      </c>
      <c r="H945" s="9">
        <v>225000</v>
      </c>
      <c r="I945" s="9">
        <f>[1]!Tabel1[[#This Row],[Honorar]]*[1]!Tabel1[[#This Row],[Sandsynlighed]]</f>
        <v>400000</v>
      </c>
      <c r="J945" s="10" t="s">
        <v>612</v>
      </c>
      <c r="K945" s="10" t="s">
        <v>329</v>
      </c>
      <c r="L945" s="21"/>
      <c r="M945" s="11">
        <v>0.33</v>
      </c>
      <c r="N945" s="1"/>
      <c r="O945" s="10">
        <v>46279.611145833333</v>
      </c>
      <c r="P945" s="10"/>
      <c r="Q945" s="1" t="s">
        <v>46</v>
      </c>
      <c r="R945" s="8" t="s">
        <v>343</v>
      </c>
      <c r="S94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4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4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4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4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4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4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4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4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4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4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4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4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45" s="12">
        <f ca="1">[1]!Tabel1[[#This Row],[Vægtet Honorar]]*([1]!Tabel1[[#This Row],[Sidst redigeret]]&gt;TODAY()-40)*([1]!Tabel1[[#This Row],[Er i resplan?]]&lt;&gt;"Ja")*([1]!Tabel1[[#This Row],[Status]]="Pågår")</f>
        <v>0</v>
      </c>
      <c r="AG945" s="12">
        <f ca="1">[1]!Tabel1[[#This Row],[Vægtet Honorar]]*([1]!Tabel1[[#This Row],[Sidst redigeret]]&gt;TODAY()-40)*([1]!Tabel1[[#This Row],[Status]]="Pågår")</f>
        <v>0</v>
      </c>
      <c r="AH945" s="13"/>
      <c r="AI945" s="12"/>
      <c r="AJ945" s="12"/>
      <c r="AK945" s="12"/>
      <c r="AL945" s="12"/>
      <c r="AM945" s="12"/>
      <c r="AN945" s="12"/>
      <c r="AO945" s="12"/>
      <c r="AP945" s="12"/>
    </row>
    <row r="946" spans="1:42">
      <c r="A946" t="s">
        <v>3398</v>
      </c>
      <c r="B946" s="8"/>
      <c r="C946" s="8" t="s">
        <v>3399</v>
      </c>
      <c r="D946" s="8" t="s">
        <v>70</v>
      </c>
      <c r="E946" s="8" t="s">
        <v>102</v>
      </c>
      <c r="F946" s="8"/>
      <c r="G946" s="8" t="s">
        <v>3400</v>
      </c>
      <c r="H946" s="9">
        <v>315000</v>
      </c>
      <c r="I946" s="9">
        <f>[1]!Tabel1[[#This Row],[Honorar]]*[1]!Tabel1[[#This Row],[Sandsynlighed]]</f>
        <v>75000</v>
      </c>
      <c r="J946" s="10" t="s">
        <v>584</v>
      </c>
      <c r="K946" s="10" t="s">
        <v>452</v>
      </c>
      <c r="L946" s="21"/>
      <c r="M946" s="11">
        <v>1</v>
      </c>
      <c r="N946" s="1"/>
      <c r="O946" s="10">
        <v>46279.611145833333</v>
      </c>
      <c r="P946" s="10"/>
      <c r="Q946" s="1" t="s">
        <v>46</v>
      </c>
      <c r="R946" s="8" t="s">
        <v>47</v>
      </c>
      <c r="S94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4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4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4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4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4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4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4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4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4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4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4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4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46" s="12">
        <f ca="1">[1]!Tabel1[[#This Row],[Vægtet Honorar]]*([1]!Tabel1[[#This Row],[Sidst redigeret]]&gt;TODAY()-40)*([1]!Tabel1[[#This Row],[Er i resplan?]]&lt;&gt;"Ja")*([1]!Tabel1[[#This Row],[Status]]="Pågår")</f>
        <v>75000</v>
      </c>
      <c r="AG946" s="12">
        <f ca="1">[1]!Tabel1[[#This Row],[Vægtet Honorar]]*([1]!Tabel1[[#This Row],[Sidst redigeret]]&gt;TODAY()-40)*([1]!Tabel1[[#This Row],[Status]]="Pågår")</f>
        <v>75000</v>
      </c>
      <c r="AH946" s="13"/>
      <c r="AI946" s="12"/>
      <c r="AJ946" s="12"/>
      <c r="AK946" s="12"/>
      <c r="AL946" s="12"/>
      <c r="AM946" s="12"/>
      <c r="AN946" s="12"/>
      <c r="AO946" s="12"/>
      <c r="AP946" s="12"/>
    </row>
    <row r="947" spans="1:42">
      <c r="A947" t="s">
        <v>3401</v>
      </c>
      <c r="B947" s="8"/>
      <c r="C947" s="8" t="s">
        <v>3402</v>
      </c>
      <c r="D947" s="8" t="s">
        <v>2886</v>
      </c>
      <c r="E947" s="8" t="s">
        <v>120</v>
      </c>
      <c r="F947" s="8"/>
      <c r="G947" s="8" t="s">
        <v>3330</v>
      </c>
      <c r="H947" s="9">
        <v>370000</v>
      </c>
      <c r="I947" s="9">
        <f>[1]!Tabel1[[#This Row],[Honorar]]*[1]!Tabel1[[#This Row],[Sandsynlighed]]</f>
        <v>38250</v>
      </c>
      <c r="J947" s="10" t="s">
        <v>612</v>
      </c>
      <c r="K947" s="10" t="s">
        <v>329</v>
      </c>
      <c r="L947" s="21"/>
      <c r="M947" s="11">
        <v>1</v>
      </c>
      <c r="N947" s="1"/>
      <c r="O947" s="10">
        <v>46279.611145833333</v>
      </c>
      <c r="P947" s="10"/>
      <c r="Q947" s="1" t="s">
        <v>46</v>
      </c>
      <c r="R947" s="8" t="s">
        <v>47</v>
      </c>
      <c r="S94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4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4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4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4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4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4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4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4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4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4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4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4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47" s="12">
        <f ca="1">[1]!Tabel1[[#This Row],[Vægtet Honorar]]*([1]!Tabel1[[#This Row],[Sidst redigeret]]&gt;TODAY()-40)*([1]!Tabel1[[#This Row],[Er i resplan?]]&lt;&gt;"Ja")*([1]!Tabel1[[#This Row],[Status]]="Pågår")</f>
        <v>0</v>
      </c>
      <c r="AG947" s="12">
        <f ca="1">[1]!Tabel1[[#This Row],[Vægtet Honorar]]*([1]!Tabel1[[#This Row],[Sidst redigeret]]&gt;TODAY()-40)*([1]!Tabel1[[#This Row],[Status]]="Pågår")</f>
        <v>0</v>
      </c>
      <c r="AH947" s="13">
        <v>46269.492418981485</v>
      </c>
      <c r="AI947" s="12"/>
      <c r="AJ947" s="12" t="s">
        <v>3330</v>
      </c>
      <c r="AK947" s="12"/>
      <c r="AL947" s="12"/>
      <c r="AM947" s="12"/>
      <c r="AN947" s="12"/>
      <c r="AO947" s="12"/>
      <c r="AP947" s="12"/>
    </row>
    <row r="948" spans="1:42">
      <c r="A948" t="s">
        <v>3403</v>
      </c>
      <c r="B948" s="8"/>
      <c r="C948" s="8" t="s">
        <v>3404</v>
      </c>
      <c r="D948" s="8" t="s">
        <v>720</v>
      </c>
      <c r="E948" s="8" t="s">
        <v>71</v>
      </c>
      <c r="F948" s="8"/>
      <c r="G948" s="8" t="s">
        <v>1693</v>
      </c>
      <c r="H948" s="9">
        <v>750000</v>
      </c>
      <c r="I948" s="9">
        <f>[1]!Tabel1[[#This Row],[Honorar]]*[1]!Tabel1[[#This Row],[Sandsynlighed]]</f>
        <v>0.01</v>
      </c>
      <c r="J948" s="10" t="s">
        <v>612</v>
      </c>
      <c r="K948" s="10" t="s">
        <v>1191</v>
      </c>
      <c r="L948" s="21"/>
      <c r="M948" s="11">
        <v>0.1</v>
      </c>
      <c r="N948" s="1"/>
      <c r="O948" s="10">
        <v>46279.611145833333</v>
      </c>
      <c r="P948" s="10"/>
      <c r="Q948" s="1" t="s">
        <v>72</v>
      </c>
      <c r="R948" s="8" t="s">
        <v>343</v>
      </c>
      <c r="S94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4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4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4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4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4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4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4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4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4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4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4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4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48" s="12">
        <f ca="1">[1]!Tabel1[[#This Row],[Vægtet Honorar]]*([1]!Tabel1[[#This Row],[Sidst redigeret]]&gt;TODAY()-40)*([1]!Tabel1[[#This Row],[Er i resplan?]]&lt;&gt;"Ja")*([1]!Tabel1[[#This Row],[Status]]="Pågår")</f>
        <v>0</v>
      </c>
      <c r="AG948" s="12">
        <f ca="1">[1]!Tabel1[[#This Row],[Vægtet Honorar]]*([1]!Tabel1[[#This Row],[Sidst redigeret]]&gt;TODAY()-40)*([1]!Tabel1[[#This Row],[Status]]="Pågår")</f>
        <v>0.01</v>
      </c>
      <c r="AH948" s="13"/>
      <c r="AI948" s="12"/>
      <c r="AJ948" s="12"/>
      <c r="AK948" s="12"/>
      <c r="AL948" s="12"/>
      <c r="AM948" s="12"/>
      <c r="AN948" s="12"/>
      <c r="AO948" s="12"/>
      <c r="AP948" s="12"/>
    </row>
    <row r="949" spans="1:42" ht="143.25">
      <c r="A949" t="s">
        <v>3405</v>
      </c>
      <c r="B949" s="8"/>
      <c r="C949" s="8" t="s">
        <v>3406</v>
      </c>
      <c r="D949" s="8" t="s">
        <v>3407</v>
      </c>
      <c r="E949" s="8" t="s">
        <v>71</v>
      </c>
      <c r="F949" s="8"/>
      <c r="G949" s="8" t="s">
        <v>3408</v>
      </c>
      <c r="H949" s="9">
        <v>90000</v>
      </c>
      <c r="I949" s="9">
        <f>[1]!Tabel1[[#This Row],[Honorar]]*[1]!Tabel1[[#This Row],[Sandsynlighed]]</f>
        <v>0.75</v>
      </c>
      <c r="J949" s="10" t="s">
        <v>612</v>
      </c>
      <c r="K949" s="10" t="s">
        <v>1191</v>
      </c>
      <c r="L949" s="21" t="s">
        <v>3409</v>
      </c>
      <c r="M949" s="11">
        <v>0.1</v>
      </c>
      <c r="N949" s="1"/>
      <c r="O949" s="10">
        <v>46279.611145833333</v>
      </c>
      <c r="P949" s="10"/>
      <c r="Q949" s="1" t="s">
        <v>72</v>
      </c>
      <c r="R949" s="8" t="s">
        <v>49</v>
      </c>
      <c r="S94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4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4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4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4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4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4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4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4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4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4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4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4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49" s="12">
        <f ca="1">[1]!Tabel1[[#This Row],[Vægtet Honorar]]*([1]!Tabel1[[#This Row],[Sidst redigeret]]&gt;TODAY()-40)*([1]!Tabel1[[#This Row],[Er i resplan?]]&lt;&gt;"Ja")*([1]!Tabel1[[#This Row],[Status]]="Pågår")</f>
        <v>0.75</v>
      </c>
      <c r="AG949" s="12">
        <f ca="1">[1]!Tabel1[[#This Row],[Vægtet Honorar]]*([1]!Tabel1[[#This Row],[Sidst redigeret]]&gt;TODAY()-40)*([1]!Tabel1[[#This Row],[Status]]="Pågår")</f>
        <v>0.75</v>
      </c>
      <c r="AH949" s="13"/>
      <c r="AI949" s="12"/>
      <c r="AJ949" s="12"/>
      <c r="AK949" s="12"/>
      <c r="AL949" s="12"/>
      <c r="AM949" s="12"/>
      <c r="AN949" s="12"/>
      <c r="AO949" s="12"/>
      <c r="AP949" s="12"/>
    </row>
    <row r="950" spans="1:42">
      <c r="A950" t="s">
        <v>3410</v>
      </c>
      <c r="B950" s="8"/>
      <c r="C950" s="8" t="s">
        <v>3411</v>
      </c>
      <c r="D950" s="8" t="s">
        <v>896</v>
      </c>
      <c r="E950" s="8" t="s">
        <v>167</v>
      </c>
      <c r="F950" s="8" t="s">
        <v>3412</v>
      </c>
      <c r="G950" s="8" t="s">
        <v>1737</v>
      </c>
      <c r="H950" s="9">
        <v>2700000</v>
      </c>
      <c r="I950" s="9">
        <f>[1]!Tabel1[[#This Row],[Honorar]]*[1]!Tabel1[[#This Row],[Sandsynlighed]]</f>
        <v>74250</v>
      </c>
      <c r="J950" s="10" t="s">
        <v>1061</v>
      </c>
      <c r="K950" s="10" t="s">
        <v>1062</v>
      </c>
      <c r="L950" s="21" t="s">
        <v>57</v>
      </c>
      <c r="M950" s="11">
        <v>0</v>
      </c>
      <c r="N950" s="1"/>
      <c r="O950" s="10">
        <v>46279.611145833333</v>
      </c>
      <c r="P950" s="10"/>
      <c r="Q950" s="1" t="s">
        <v>72</v>
      </c>
      <c r="R950" s="8" t="s">
        <v>49</v>
      </c>
      <c r="S95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5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5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5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5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5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5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5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5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5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5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5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5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50" s="12">
        <f ca="1">[1]!Tabel1[[#This Row],[Vægtet Honorar]]*([1]!Tabel1[[#This Row],[Sidst redigeret]]&gt;TODAY()-40)*([1]!Tabel1[[#This Row],[Er i resplan?]]&lt;&gt;"Ja")*([1]!Tabel1[[#This Row],[Status]]="Pågår")</f>
        <v>0</v>
      </c>
      <c r="AG950" s="12">
        <f ca="1">[1]!Tabel1[[#This Row],[Vægtet Honorar]]*([1]!Tabel1[[#This Row],[Sidst redigeret]]&gt;TODAY()-40)*([1]!Tabel1[[#This Row],[Status]]="Pågår")</f>
        <v>74250</v>
      </c>
      <c r="AH950" s="13"/>
      <c r="AI950" s="12"/>
      <c r="AJ950" s="12" t="s">
        <v>3413</v>
      </c>
      <c r="AK950" s="12"/>
      <c r="AL950" s="12"/>
      <c r="AM950" s="12"/>
      <c r="AN950" s="12"/>
      <c r="AO950" s="12"/>
      <c r="AP950" s="12"/>
    </row>
    <row r="951" spans="1:42">
      <c r="A951" t="s">
        <v>3414</v>
      </c>
      <c r="B951" s="8"/>
      <c r="C951" s="8" t="s">
        <v>3415</v>
      </c>
      <c r="D951" s="8" t="s">
        <v>57</v>
      </c>
      <c r="E951" s="8" t="s">
        <v>94</v>
      </c>
      <c r="F951" s="8"/>
      <c r="G951" s="8" t="s">
        <v>3416</v>
      </c>
      <c r="H951" s="9">
        <v>5950000.0000000009</v>
      </c>
      <c r="I951" s="9">
        <f>[1]!Tabel1[[#This Row],[Honorar]]*[1]!Tabel1[[#This Row],[Sandsynlighed]]</f>
        <v>315000</v>
      </c>
      <c r="J951" s="10" t="s">
        <v>1061</v>
      </c>
      <c r="K951" s="10" t="s">
        <v>1062</v>
      </c>
      <c r="L951" s="21"/>
      <c r="M951" s="11">
        <v>0.25</v>
      </c>
      <c r="N951" s="1">
        <v>5000</v>
      </c>
      <c r="O951" s="10">
        <v>46279.611145833333</v>
      </c>
      <c r="P951" s="1" t="s">
        <v>72</v>
      </c>
      <c r="Q951" s="1" t="s">
        <v>72</v>
      </c>
      <c r="R951" s="8" t="s">
        <v>49</v>
      </c>
      <c r="S95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5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5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5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5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5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5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5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5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5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5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5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5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51" s="12">
        <f ca="1">[1]!Tabel1[[#This Row],[Vægtet Honorar]]*([1]!Tabel1[[#This Row],[Sidst redigeret]]&gt;TODAY()-40)*([1]!Tabel1[[#This Row],[Er i resplan?]]&lt;&gt;"Ja")*([1]!Tabel1[[#This Row],[Status]]="Pågår")</f>
        <v>0</v>
      </c>
      <c r="AG951" s="12">
        <f ca="1">[1]!Tabel1[[#This Row],[Vægtet Honorar]]*([1]!Tabel1[[#This Row],[Sidst redigeret]]&gt;TODAY()-40)*([1]!Tabel1[[#This Row],[Status]]="Pågår")</f>
        <v>0</v>
      </c>
      <c r="AH951" s="13"/>
      <c r="AI951" s="12"/>
      <c r="AJ951" s="12" t="s">
        <v>2107</v>
      </c>
      <c r="AK951" s="12"/>
      <c r="AL951" s="12"/>
      <c r="AM951" s="12"/>
      <c r="AN951" s="12"/>
      <c r="AO951" s="12"/>
      <c r="AP951" s="12"/>
    </row>
    <row r="952" spans="1:42">
      <c r="A952" t="s">
        <v>3417</v>
      </c>
      <c r="B952" s="8"/>
      <c r="C952" s="8" t="s">
        <v>3418</v>
      </c>
      <c r="D952" s="8" t="s">
        <v>158</v>
      </c>
      <c r="E952" s="8" t="s">
        <v>167</v>
      </c>
      <c r="F952" s="8" t="s">
        <v>885</v>
      </c>
      <c r="G952" s="8" t="s">
        <v>3419</v>
      </c>
      <c r="H952" s="9">
        <v>100000</v>
      </c>
      <c r="I952" s="9">
        <f>[1]!Tabel1[[#This Row],[Honorar]]*[1]!Tabel1[[#This Row],[Sandsynlighed]]</f>
        <v>370000</v>
      </c>
      <c r="J952" s="10" t="s">
        <v>1061</v>
      </c>
      <c r="K952" s="10" t="s">
        <v>329</v>
      </c>
      <c r="L952" s="21"/>
      <c r="M952" s="11">
        <v>0.5</v>
      </c>
      <c r="N952" s="1"/>
      <c r="O952" s="10">
        <v>46279.611145833333</v>
      </c>
      <c r="P952" s="10"/>
      <c r="Q952" s="1" t="s">
        <v>46</v>
      </c>
      <c r="R952" s="8" t="s">
        <v>343</v>
      </c>
      <c r="S95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5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5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5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5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5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5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5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5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5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5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5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5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52" s="12">
        <f ca="1">[1]!Tabel1[[#This Row],[Vægtet Honorar]]*([1]!Tabel1[[#This Row],[Sidst redigeret]]&gt;TODAY()-40)*([1]!Tabel1[[#This Row],[Er i resplan?]]&lt;&gt;"Ja")*([1]!Tabel1[[#This Row],[Status]]="Pågår")</f>
        <v>0</v>
      </c>
      <c r="AG952" s="12">
        <f ca="1">[1]!Tabel1[[#This Row],[Vægtet Honorar]]*([1]!Tabel1[[#This Row],[Sidst redigeret]]&gt;TODAY()-40)*([1]!Tabel1[[#This Row],[Status]]="Pågår")</f>
        <v>0</v>
      </c>
      <c r="AH952" s="13"/>
      <c r="AI952" s="12"/>
      <c r="AJ952" s="12"/>
      <c r="AK952" s="12"/>
      <c r="AL952" s="12"/>
      <c r="AM952" s="12"/>
      <c r="AN952" s="12"/>
      <c r="AO952" s="12"/>
      <c r="AP952" s="12"/>
    </row>
    <row r="953" spans="1:42" ht="72">
      <c r="A953" t="s">
        <v>3420</v>
      </c>
      <c r="B953" s="8"/>
      <c r="C953" s="8" t="s">
        <v>3421</v>
      </c>
      <c r="D953" s="8" t="s">
        <v>720</v>
      </c>
      <c r="E953" s="8" t="s">
        <v>71</v>
      </c>
      <c r="F953" s="8" t="s">
        <v>1675</v>
      </c>
      <c r="G953" s="8" t="s">
        <v>2579</v>
      </c>
      <c r="H953" s="9">
        <v>1500000</v>
      </c>
      <c r="I953" s="9">
        <f>[1]!Tabel1[[#This Row],[Honorar]]*[1]!Tabel1[[#This Row],[Sandsynlighed]]</f>
        <v>75000</v>
      </c>
      <c r="J953" s="10" t="s">
        <v>1287</v>
      </c>
      <c r="K953" s="10" t="s">
        <v>342</v>
      </c>
      <c r="L953" s="21" t="s">
        <v>3422</v>
      </c>
      <c r="M953" s="11">
        <v>0.02</v>
      </c>
      <c r="N953" s="1">
        <v>5500</v>
      </c>
      <c r="O953" s="10">
        <v>46279.611145833333</v>
      </c>
      <c r="P953" s="10"/>
      <c r="Q953" s="1" t="s">
        <v>72</v>
      </c>
      <c r="R953" s="8" t="s">
        <v>343</v>
      </c>
      <c r="S95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5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5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5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5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5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5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5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5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5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5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5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5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53" s="12">
        <f ca="1">[1]!Tabel1[[#This Row],[Vægtet Honorar]]*([1]!Tabel1[[#This Row],[Sidst redigeret]]&gt;TODAY()-40)*([1]!Tabel1[[#This Row],[Er i resplan?]]&lt;&gt;"Ja")*([1]!Tabel1[[#This Row],[Status]]="Pågår")</f>
        <v>75000</v>
      </c>
      <c r="AG953" s="12">
        <f ca="1">[1]!Tabel1[[#This Row],[Vægtet Honorar]]*([1]!Tabel1[[#This Row],[Sidst redigeret]]&gt;TODAY()-40)*([1]!Tabel1[[#This Row],[Status]]="Pågår")</f>
        <v>75000</v>
      </c>
      <c r="AH953" s="13"/>
      <c r="AI953" s="12"/>
      <c r="AJ953" s="12"/>
      <c r="AK953" s="12"/>
      <c r="AL953" s="12"/>
      <c r="AM953" s="12"/>
      <c r="AN953" s="12"/>
      <c r="AO953" s="12"/>
      <c r="AP953" s="12"/>
    </row>
    <row r="954" spans="1:42" ht="29.25">
      <c r="A954" t="s">
        <v>3423</v>
      </c>
      <c r="B954" s="8"/>
      <c r="C954" s="8" t="s">
        <v>3421</v>
      </c>
      <c r="D954" s="8" t="s">
        <v>720</v>
      </c>
      <c r="E954" s="8" t="s">
        <v>71</v>
      </c>
      <c r="F954" s="8" t="s">
        <v>1675</v>
      </c>
      <c r="G954" s="8" t="s">
        <v>2579</v>
      </c>
      <c r="H954" s="9">
        <v>1500000</v>
      </c>
      <c r="I954" s="9">
        <f>[1]!Tabel1[[#This Row],[Honorar]]*[1]!Tabel1[[#This Row],[Sandsynlighed]]</f>
        <v>9000</v>
      </c>
      <c r="J954" s="10" t="s">
        <v>1061</v>
      </c>
      <c r="K954" s="10" t="s">
        <v>1191</v>
      </c>
      <c r="L954" s="21" t="s">
        <v>1056</v>
      </c>
      <c r="M954" s="11">
        <v>0.02</v>
      </c>
      <c r="N954" s="1">
        <v>5500</v>
      </c>
      <c r="O954" s="10">
        <v>46279.611145833333</v>
      </c>
      <c r="P954" s="10"/>
      <c r="Q954" s="1" t="s">
        <v>72</v>
      </c>
      <c r="R954" s="8" t="s">
        <v>49</v>
      </c>
      <c r="S95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5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5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5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5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5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5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5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5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5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5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5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5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54" s="12">
        <f ca="1">[1]!Tabel1[[#This Row],[Vægtet Honorar]]*([1]!Tabel1[[#This Row],[Sidst redigeret]]&gt;TODAY()-40)*([1]!Tabel1[[#This Row],[Er i resplan?]]&lt;&gt;"Ja")*([1]!Tabel1[[#This Row],[Status]]="Pågår")</f>
        <v>0</v>
      </c>
      <c r="AG954" s="12">
        <f ca="1">[1]!Tabel1[[#This Row],[Vægtet Honorar]]*([1]!Tabel1[[#This Row],[Sidst redigeret]]&gt;TODAY()-40)*([1]!Tabel1[[#This Row],[Status]]="Pågår")</f>
        <v>0</v>
      </c>
      <c r="AH954" s="13"/>
      <c r="AI954" s="12"/>
      <c r="AJ954" s="12"/>
      <c r="AK954" s="12"/>
      <c r="AL954" s="12"/>
      <c r="AM954" s="12"/>
      <c r="AN954" s="12"/>
      <c r="AO954" s="12"/>
      <c r="AP954" s="12"/>
    </row>
    <row r="955" spans="1:42" ht="72">
      <c r="A955" t="s">
        <v>3424</v>
      </c>
      <c r="B955" s="8"/>
      <c r="C955" s="8" t="s">
        <v>3425</v>
      </c>
      <c r="D955" s="8" t="s">
        <v>720</v>
      </c>
      <c r="E955" s="8" t="s">
        <v>71</v>
      </c>
      <c r="F955" s="8" t="s">
        <v>1646</v>
      </c>
      <c r="G955" s="8" t="s">
        <v>2931</v>
      </c>
      <c r="H955" s="9">
        <v>3000000</v>
      </c>
      <c r="I955" s="9">
        <f>[1]!Tabel1[[#This Row],[Honorar]]*[1]!Tabel1[[#This Row],[Sandsynlighed]]</f>
        <v>0</v>
      </c>
      <c r="J955" s="10" t="s">
        <v>1061</v>
      </c>
      <c r="K955" s="10" t="s">
        <v>1191</v>
      </c>
      <c r="L955" s="21" t="s">
        <v>3426</v>
      </c>
      <c r="M955" s="11">
        <v>0.25</v>
      </c>
      <c r="N955" s="1">
        <v>3200</v>
      </c>
      <c r="O955" s="10">
        <v>46279.611145833333</v>
      </c>
      <c r="P955" s="10"/>
      <c r="Q955" s="1" t="s">
        <v>46</v>
      </c>
      <c r="R955" s="8" t="s">
        <v>343</v>
      </c>
      <c r="S95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5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5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5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5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5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5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5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5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5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5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5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5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55" s="12">
        <f ca="1">[1]!Tabel1[[#This Row],[Vægtet Honorar]]*([1]!Tabel1[[#This Row],[Sidst redigeret]]&gt;TODAY()-40)*([1]!Tabel1[[#This Row],[Er i resplan?]]&lt;&gt;"Ja")*([1]!Tabel1[[#This Row],[Status]]="Pågår")</f>
        <v>0</v>
      </c>
      <c r="AG955" s="12">
        <f ca="1">[1]!Tabel1[[#This Row],[Vægtet Honorar]]*([1]!Tabel1[[#This Row],[Sidst redigeret]]&gt;TODAY()-40)*([1]!Tabel1[[#This Row],[Status]]="Pågår")</f>
        <v>0</v>
      </c>
      <c r="AH955" s="13"/>
      <c r="AI955" s="12"/>
      <c r="AJ955" s="12" t="s">
        <v>2005</v>
      </c>
      <c r="AK955" s="12"/>
      <c r="AL955" s="12"/>
      <c r="AM955" s="12"/>
      <c r="AN955" s="12"/>
      <c r="AO955" s="12"/>
      <c r="AP955" s="12"/>
    </row>
    <row r="956" spans="1:42" ht="57.75">
      <c r="A956" t="s">
        <v>3427</v>
      </c>
      <c r="B956" s="8"/>
      <c r="C956" s="8" t="s">
        <v>3428</v>
      </c>
      <c r="D956" s="8" t="s">
        <v>57</v>
      </c>
      <c r="E956" s="8" t="s">
        <v>167</v>
      </c>
      <c r="F956" s="8"/>
      <c r="G956" s="8"/>
      <c r="H956" s="9">
        <v>2000000</v>
      </c>
      <c r="I956" s="9">
        <f>[1]!Tabel1[[#This Row],[Honorar]]*[1]!Tabel1[[#This Row],[Sandsynlighed]]</f>
        <v>1487500.0000000002</v>
      </c>
      <c r="J956" s="10" t="s">
        <v>1061</v>
      </c>
      <c r="K956" s="10" t="s">
        <v>342</v>
      </c>
      <c r="L956" s="21" t="s">
        <v>3429</v>
      </c>
      <c r="M956" s="11">
        <v>0</v>
      </c>
      <c r="N956" s="1">
        <v>1500</v>
      </c>
      <c r="O956" s="10">
        <v>46279.611145833333</v>
      </c>
      <c r="P956" s="10"/>
      <c r="Q956" s="1" t="s">
        <v>72</v>
      </c>
      <c r="R956" s="8" t="s">
        <v>49</v>
      </c>
      <c r="S95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5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5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5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5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5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5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5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5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5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5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5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5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56" s="12">
        <f ca="1">[1]!Tabel1[[#This Row],[Vægtet Honorar]]*([1]!Tabel1[[#This Row],[Sidst redigeret]]&gt;TODAY()-40)*([1]!Tabel1[[#This Row],[Er i resplan?]]&lt;&gt;"Ja")*([1]!Tabel1[[#This Row],[Status]]="Pågår")</f>
        <v>0</v>
      </c>
      <c r="AG956" s="12">
        <f ca="1">[1]!Tabel1[[#This Row],[Vægtet Honorar]]*([1]!Tabel1[[#This Row],[Sidst redigeret]]&gt;TODAY()-40)*([1]!Tabel1[[#This Row],[Status]]="Pågår")</f>
        <v>0</v>
      </c>
      <c r="AH956" s="13"/>
      <c r="AI956" s="12"/>
      <c r="AJ956" s="12" t="s">
        <v>600</v>
      </c>
      <c r="AK956" s="12"/>
      <c r="AL956" s="12"/>
      <c r="AM956" s="12"/>
      <c r="AN956" s="12"/>
      <c r="AO956" s="12"/>
      <c r="AP956" s="12"/>
    </row>
    <row r="957" spans="1:42">
      <c r="A957" t="s">
        <v>3430</v>
      </c>
      <c r="B957" s="8"/>
      <c r="C957" s="8" t="s">
        <v>3431</v>
      </c>
      <c r="D957" s="8" t="s">
        <v>358</v>
      </c>
      <c r="E957" s="8" t="s">
        <v>102</v>
      </c>
      <c r="F957" s="8"/>
      <c r="G957" s="8" t="s">
        <v>3432</v>
      </c>
      <c r="H957" s="9">
        <v>25000</v>
      </c>
      <c r="I957" s="9">
        <f>[1]!Tabel1[[#This Row],[Honorar]]*[1]!Tabel1[[#This Row],[Sandsynlighed]]</f>
        <v>50000</v>
      </c>
      <c r="J957" s="10" t="s">
        <v>612</v>
      </c>
      <c r="K957" s="10" t="s">
        <v>612</v>
      </c>
      <c r="L957" s="21"/>
      <c r="M957" s="11">
        <v>1</v>
      </c>
      <c r="N957" s="1"/>
      <c r="O957" s="10">
        <v>46279.611145833333</v>
      </c>
      <c r="P957" s="10"/>
      <c r="Q957" s="1" t="s">
        <v>46</v>
      </c>
      <c r="R957" s="8" t="s">
        <v>47</v>
      </c>
      <c r="S95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5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5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5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5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5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5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5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5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5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5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5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5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57" s="12">
        <f ca="1">[1]!Tabel1[[#This Row],[Vægtet Honorar]]*([1]!Tabel1[[#This Row],[Sidst redigeret]]&gt;TODAY()-40)*([1]!Tabel1[[#This Row],[Er i resplan?]]&lt;&gt;"Ja")*([1]!Tabel1[[#This Row],[Status]]="Pågår")</f>
        <v>0</v>
      </c>
      <c r="AG957" s="12">
        <f ca="1">[1]!Tabel1[[#This Row],[Vægtet Honorar]]*([1]!Tabel1[[#This Row],[Sidst redigeret]]&gt;TODAY()-40)*([1]!Tabel1[[#This Row],[Status]]="Pågår")</f>
        <v>50000</v>
      </c>
      <c r="AH957" s="13"/>
      <c r="AI957" s="12"/>
      <c r="AJ957" s="12"/>
      <c r="AK957" s="12"/>
      <c r="AL957" s="12"/>
      <c r="AM957" s="12"/>
      <c r="AN957" s="12"/>
      <c r="AO957" s="12"/>
      <c r="AP957" s="12"/>
    </row>
    <row r="958" spans="1:42" ht="129">
      <c r="A958" t="s">
        <v>3433</v>
      </c>
      <c r="B958" s="8"/>
      <c r="C958" s="8" t="s">
        <v>3434</v>
      </c>
      <c r="D958" s="8" t="s">
        <v>134</v>
      </c>
      <c r="E958" s="8" t="s">
        <v>94</v>
      </c>
      <c r="F958" s="8" t="s">
        <v>3435</v>
      </c>
      <c r="G958" s="8" t="s">
        <v>3436</v>
      </c>
      <c r="H958" s="9">
        <v>7000000</v>
      </c>
      <c r="I958" s="9">
        <f>[1]!Tabel1[[#This Row],[Honorar]]*[1]!Tabel1[[#This Row],[Sandsynlighed]]</f>
        <v>30000</v>
      </c>
      <c r="J958" s="10" t="s">
        <v>1061</v>
      </c>
      <c r="K958" s="10" t="s">
        <v>342</v>
      </c>
      <c r="L958" s="21" t="s">
        <v>3437</v>
      </c>
      <c r="M958" s="11">
        <v>3.5000000000000003E-2</v>
      </c>
      <c r="N958" s="1">
        <v>11000</v>
      </c>
      <c r="O958" s="10">
        <v>46279.611145833333</v>
      </c>
      <c r="P958" s="1" t="s">
        <v>72</v>
      </c>
      <c r="Q958" s="1" t="s">
        <v>46</v>
      </c>
      <c r="R958" s="8" t="s">
        <v>47</v>
      </c>
      <c r="S95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5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5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5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5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5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5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5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5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5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5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5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5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58" s="12">
        <f ca="1">[1]!Tabel1[[#This Row],[Vægtet Honorar]]*([1]!Tabel1[[#This Row],[Sidst redigeret]]&gt;TODAY()-40)*([1]!Tabel1[[#This Row],[Er i resplan?]]&lt;&gt;"Ja")*([1]!Tabel1[[#This Row],[Status]]="Pågår")</f>
        <v>30000</v>
      </c>
      <c r="AG958" s="12">
        <f ca="1">[1]!Tabel1[[#This Row],[Vægtet Honorar]]*([1]!Tabel1[[#This Row],[Sidst redigeret]]&gt;TODAY()-40)*([1]!Tabel1[[#This Row],[Status]]="Pågår")</f>
        <v>30000</v>
      </c>
      <c r="AH958" s="13">
        <v>45658</v>
      </c>
      <c r="AI958" s="12"/>
      <c r="AJ958" s="12"/>
      <c r="AK958" s="12"/>
      <c r="AL958" s="12"/>
      <c r="AM958" s="12"/>
      <c r="AN958" s="12"/>
      <c r="AO958" s="12"/>
      <c r="AP958" s="12"/>
    </row>
    <row r="959" spans="1:42">
      <c r="A959" t="s">
        <v>3438</v>
      </c>
      <c r="B959" s="8"/>
      <c r="C959" s="8" t="s">
        <v>3439</v>
      </c>
      <c r="D959" s="8" t="s">
        <v>57</v>
      </c>
      <c r="E959" s="8" t="s">
        <v>94</v>
      </c>
      <c r="F959" s="8" t="s">
        <v>1411</v>
      </c>
      <c r="G959" s="8" t="s">
        <v>1411</v>
      </c>
      <c r="H959" s="9">
        <v>3500000</v>
      </c>
      <c r="I959" s="9">
        <f>[1]!Tabel1[[#This Row],[Honorar]]*[1]!Tabel1[[#This Row],[Sandsynlighed]]</f>
        <v>30000</v>
      </c>
      <c r="J959" s="10" t="s">
        <v>1061</v>
      </c>
      <c r="K959" s="10" t="s">
        <v>1861</v>
      </c>
      <c r="L959" s="21"/>
      <c r="M959" s="11">
        <v>0.5</v>
      </c>
      <c r="N959" s="1">
        <v>5000</v>
      </c>
      <c r="O959" s="10">
        <v>46279.611145833333</v>
      </c>
      <c r="P959" s="1" t="s">
        <v>72</v>
      </c>
      <c r="Q959" s="1" t="s">
        <v>46</v>
      </c>
      <c r="R959" s="8" t="s">
        <v>49</v>
      </c>
      <c r="S95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5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5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5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5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5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5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5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5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5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5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5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5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59" s="12">
        <f ca="1">[1]!Tabel1[[#This Row],[Vægtet Honorar]]*([1]!Tabel1[[#This Row],[Sidst redigeret]]&gt;TODAY()-40)*([1]!Tabel1[[#This Row],[Er i resplan?]]&lt;&gt;"Ja")*([1]!Tabel1[[#This Row],[Status]]="Pågår")</f>
        <v>0</v>
      </c>
      <c r="AG959" s="12">
        <f ca="1">[1]!Tabel1[[#This Row],[Vægtet Honorar]]*([1]!Tabel1[[#This Row],[Sidst redigeret]]&gt;TODAY()-40)*([1]!Tabel1[[#This Row],[Status]]="Pågår")</f>
        <v>0</v>
      </c>
      <c r="AH959" s="13"/>
      <c r="AI959" s="12"/>
      <c r="AJ959" s="12"/>
      <c r="AK959" s="12"/>
      <c r="AL959" s="12"/>
      <c r="AM959" s="12"/>
      <c r="AN959" s="12"/>
      <c r="AO959" s="12"/>
      <c r="AP959" s="12"/>
    </row>
    <row r="960" spans="1:42">
      <c r="A960" t="s">
        <v>3440</v>
      </c>
      <c r="B960" s="8"/>
      <c r="C960" s="8" t="s">
        <v>3441</v>
      </c>
      <c r="D960" s="8" t="s">
        <v>720</v>
      </c>
      <c r="E960" s="8" t="s">
        <v>71</v>
      </c>
      <c r="F960" s="8" t="s">
        <v>3442</v>
      </c>
      <c r="G960" s="8" t="s">
        <v>3443</v>
      </c>
      <c r="H960" s="9">
        <v>3500000</v>
      </c>
      <c r="I960" s="9">
        <f>[1]!Tabel1[[#This Row],[Honorar]]*[1]!Tabel1[[#This Row],[Sandsynlighed]]</f>
        <v>750000</v>
      </c>
      <c r="J960" s="10" t="s">
        <v>341</v>
      </c>
      <c r="K960" s="10" t="s">
        <v>898</v>
      </c>
      <c r="L960" s="21"/>
      <c r="M960" s="11">
        <v>0.02</v>
      </c>
      <c r="N960" s="1">
        <v>10000</v>
      </c>
      <c r="O960" s="10">
        <v>46279.611145833333</v>
      </c>
      <c r="P960" s="10"/>
      <c r="Q960" s="1" t="s">
        <v>72</v>
      </c>
      <c r="R960" s="8" t="s">
        <v>343</v>
      </c>
      <c r="S96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6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6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6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6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6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6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6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6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6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6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6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6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60" s="12">
        <f ca="1">[1]!Tabel1[[#This Row],[Vægtet Honorar]]*([1]!Tabel1[[#This Row],[Sidst redigeret]]&gt;TODAY()-40)*([1]!Tabel1[[#This Row],[Er i resplan?]]&lt;&gt;"Ja")*([1]!Tabel1[[#This Row],[Status]]="Pågår")</f>
        <v>0</v>
      </c>
      <c r="AG960" s="12">
        <f ca="1">[1]!Tabel1[[#This Row],[Vægtet Honorar]]*([1]!Tabel1[[#This Row],[Sidst redigeret]]&gt;TODAY()-40)*([1]!Tabel1[[#This Row],[Status]]="Pågår")</f>
        <v>750000</v>
      </c>
      <c r="AH960" s="13"/>
      <c r="AI960" s="12"/>
      <c r="AJ960" s="12" t="s">
        <v>402</v>
      </c>
      <c r="AK960" s="12"/>
      <c r="AL960" s="12"/>
      <c r="AM960" s="12"/>
      <c r="AN960" s="12"/>
      <c r="AO960" s="12"/>
      <c r="AP960" s="12"/>
    </row>
    <row r="961" spans="1:42" ht="29.25">
      <c r="A961" t="s">
        <v>3444</v>
      </c>
      <c r="B961" s="8"/>
      <c r="C961" s="8" t="s">
        <v>3445</v>
      </c>
      <c r="D961" s="8" t="s">
        <v>2886</v>
      </c>
      <c r="E961" s="8" t="s">
        <v>120</v>
      </c>
      <c r="F961" s="8"/>
      <c r="G961" s="8" t="s">
        <v>3446</v>
      </c>
      <c r="H961" s="9">
        <v>800000</v>
      </c>
      <c r="I961" s="9">
        <f>[1]!Tabel1[[#This Row],[Honorar]]*[1]!Tabel1[[#This Row],[Sandsynlighed]]</f>
        <v>0</v>
      </c>
      <c r="J961" s="10" t="s">
        <v>329</v>
      </c>
      <c r="K961" s="10" t="s">
        <v>1310</v>
      </c>
      <c r="L961" s="21" t="s">
        <v>3447</v>
      </c>
      <c r="M961" s="11">
        <v>0.05</v>
      </c>
      <c r="N961" s="1">
        <v>670</v>
      </c>
      <c r="O961" s="10">
        <v>46279.611145833333</v>
      </c>
      <c r="P961" s="10"/>
      <c r="Q961" s="1" t="s">
        <v>72</v>
      </c>
      <c r="R961" s="8" t="s">
        <v>75</v>
      </c>
      <c r="S96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6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6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6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6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6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6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6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6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6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6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6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6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61" s="12">
        <f ca="1">[1]!Tabel1[[#This Row],[Vægtet Honorar]]*([1]!Tabel1[[#This Row],[Sidst redigeret]]&gt;TODAY()-40)*([1]!Tabel1[[#This Row],[Er i resplan?]]&lt;&gt;"Ja")*([1]!Tabel1[[#This Row],[Status]]="Pågår")</f>
        <v>0</v>
      </c>
      <c r="AG961" s="12">
        <f ca="1">[1]!Tabel1[[#This Row],[Vægtet Honorar]]*([1]!Tabel1[[#This Row],[Sidst redigeret]]&gt;TODAY()-40)*([1]!Tabel1[[#This Row],[Status]]="Pågår")</f>
        <v>0</v>
      </c>
      <c r="AH961" s="13"/>
      <c r="AI961" s="12"/>
      <c r="AJ961" s="12" t="s">
        <v>3252</v>
      </c>
      <c r="AK961" s="12" t="s">
        <v>3446</v>
      </c>
      <c r="AL961" s="12"/>
      <c r="AM961" s="12"/>
      <c r="AN961" s="12"/>
      <c r="AO961" s="12"/>
      <c r="AP961" s="12"/>
    </row>
    <row r="962" spans="1:42">
      <c r="A962" t="s">
        <v>3448</v>
      </c>
      <c r="B962" s="8"/>
      <c r="C962" s="8" t="s">
        <v>3449</v>
      </c>
      <c r="D962" s="8" t="s">
        <v>1886</v>
      </c>
      <c r="E962" s="8" t="s">
        <v>94</v>
      </c>
      <c r="F962" s="8"/>
      <c r="G962" s="8" t="s">
        <v>460</v>
      </c>
      <c r="H962" s="9">
        <v>200000</v>
      </c>
      <c r="I962" s="9">
        <f>[1]!Tabel1[[#This Row],[Honorar]]*[1]!Tabel1[[#This Row],[Sandsynlighed]]</f>
        <v>25000</v>
      </c>
      <c r="J962" s="10" t="s">
        <v>1191</v>
      </c>
      <c r="K962" s="10" t="s">
        <v>1191</v>
      </c>
      <c r="L962" s="21"/>
      <c r="M962" s="11">
        <v>0.6</v>
      </c>
      <c r="N962" s="1"/>
      <c r="O962" s="10">
        <v>46279.611145833333</v>
      </c>
      <c r="P962" s="1" t="s">
        <v>72</v>
      </c>
      <c r="Q962" s="1" t="s">
        <v>72</v>
      </c>
      <c r="R962" s="8" t="s">
        <v>75</v>
      </c>
      <c r="S96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6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6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6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6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6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6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6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6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6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6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6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6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62" s="12">
        <f ca="1">[1]!Tabel1[[#This Row],[Vægtet Honorar]]*([1]!Tabel1[[#This Row],[Sidst redigeret]]&gt;TODAY()-40)*([1]!Tabel1[[#This Row],[Er i resplan?]]&lt;&gt;"Ja")*([1]!Tabel1[[#This Row],[Status]]="Pågår")</f>
        <v>0</v>
      </c>
      <c r="AG962" s="12">
        <f ca="1">[1]!Tabel1[[#This Row],[Vægtet Honorar]]*([1]!Tabel1[[#This Row],[Sidst redigeret]]&gt;TODAY()-40)*([1]!Tabel1[[#This Row],[Status]]="Pågår")</f>
        <v>0</v>
      </c>
      <c r="AH962" s="13"/>
      <c r="AI962" s="12"/>
      <c r="AJ962" s="12"/>
      <c r="AK962" s="12"/>
      <c r="AL962" s="12"/>
      <c r="AM962" s="12"/>
      <c r="AN962" s="12"/>
      <c r="AO962" s="12"/>
      <c r="AP962" s="12"/>
    </row>
    <row r="963" spans="1:42">
      <c r="A963" t="s">
        <v>3450</v>
      </c>
      <c r="B963" s="8"/>
      <c r="C963" s="8" t="s">
        <v>3451</v>
      </c>
      <c r="D963" s="8" t="s">
        <v>2886</v>
      </c>
      <c r="E963" s="8" t="s">
        <v>120</v>
      </c>
      <c r="F963" s="8"/>
      <c r="G963" s="8" t="s">
        <v>3452</v>
      </c>
      <c r="H963" s="9">
        <v>1500000</v>
      </c>
      <c r="I963" s="9">
        <f>[1]!Tabel1[[#This Row],[Honorar]]*[1]!Tabel1[[#This Row],[Sandsynlighed]]</f>
        <v>245000.00000000003</v>
      </c>
      <c r="J963" s="10" t="s">
        <v>1310</v>
      </c>
      <c r="K963" s="10" t="s">
        <v>898</v>
      </c>
      <c r="L963" s="21"/>
      <c r="M963" s="11">
        <v>0.05</v>
      </c>
      <c r="N963" s="1">
        <v>1200</v>
      </c>
      <c r="O963" s="10">
        <v>46279.611145833333</v>
      </c>
      <c r="P963" s="10"/>
      <c r="Q963" s="1" t="s">
        <v>72</v>
      </c>
      <c r="R963" s="8" t="s">
        <v>343</v>
      </c>
      <c r="S96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6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6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6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6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6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6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6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6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6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6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6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6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63" s="12">
        <f ca="1">[1]!Tabel1[[#This Row],[Vægtet Honorar]]*([1]!Tabel1[[#This Row],[Sidst redigeret]]&gt;TODAY()-40)*([1]!Tabel1[[#This Row],[Er i resplan?]]&lt;&gt;"Ja")*([1]!Tabel1[[#This Row],[Status]]="Pågår")</f>
        <v>0</v>
      </c>
      <c r="AG963" s="12">
        <f ca="1">[1]!Tabel1[[#This Row],[Vægtet Honorar]]*([1]!Tabel1[[#This Row],[Sidst redigeret]]&gt;TODAY()-40)*([1]!Tabel1[[#This Row],[Status]]="Pågår")</f>
        <v>0</v>
      </c>
      <c r="AH963" s="13"/>
      <c r="AI963" s="12"/>
      <c r="AJ963" s="12" t="s">
        <v>3452</v>
      </c>
      <c r="AK963" s="12"/>
      <c r="AL963" s="12"/>
      <c r="AM963" s="12"/>
      <c r="AN963" s="12"/>
      <c r="AO963" s="12"/>
      <c r="AP963" s="12"/>
    </row>
    <row r="964" spans="1:42">
      <c r="A964" t="s">
        <v>3453</v>
      </c>
      <c r="B964" s="8"/>
      <c r="C964" s="8" t="s">
        <v>3454</v>
      </c>
      <c r="D964" s="8" t="s">
        <v>720</v>
      </c>
      <c r="E964" s="8" t="s">
        <v>71</v>
      </c>
      <c r="F964" s="8"/>
      <c r="G964" s="8" t="s">
        <v>3455</v>
      </c>
      <c r="H964" s="9">
        <v>3000000</v>
      </c>
      <c r="I964" s="9">
        <f>[1]!Tabel1[[#This Row],[Honorar]]*[1]!Tabel1[[#This Row],[Sandsynlighed]]</f>
        <v>1750000</v>
      </c>
      <c r="J964" s="10" t="s">
        <v>329</v>
      </c>
      <c r="K964" s="10" t="s">
        <v>1310</v>
      </c>
      <c r="L964" s="21"/>
      <c r="M964" s="11">
        <v>0.02</v>
      </c>
      <c r="N964" s="1" t="s">
        <v>3456</v>
      </c>
      <c r="O964" s="10">
        <v>46279.611145833333</v>
      </c>
      <c r="P964" s="10"/>
      <c r="Q964" s="1" t="s">
        <v>72</v>
      </c>
      <c r="R964" s="8" t="s">
        <v>343</v>
      </c>
      <c r="S96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6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6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6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6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6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6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6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6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6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6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6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6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64" s="12">
        <f ca="1">[1]!Tabel1[[#This Row],[Vægtet Honorar]]*([1]!Tabel1[[#This Row],[Sidst redigeret]]&gt;TODAY()-40)*([1]!Tabel1[[#This Row],[Er i resplan?]]&lt;&gt;"Ja")*([1]!Tabel1[[#This Row],[Status]]="Pågår")</f>
        <v>0</v>
      </c>
      <c r="AG964" s="12">
        <f ca="1">[1]!Tabel1[[#This Row],[Vægtet Honorar]]*([1]!Tabel1[[#This Row],[Sidst redigeret]]&gt;TODAY()-40)*([1]!Tabel1[[#This Row],[Status]]="Pågår")</f>
        <v>0</v>
      </c>
      <c r="AH964" s="13"/>
      <c r="AI964" s="12"/>
      <c r="AJ964" s="12"/>
      <c r="AK964" s="12"/>
      <c r="AL964" s="12"/>
      <c r="AM964" s="12"/>
      <c r="AN964" s="12"/>
      <c r="AO964" s="12"/>
      <c r="AP964" s="12"/>
    </row>
    <row r="965" spans="1:42">
      <c r="A965" t="s">
        <v>3457</v>
      </c>
      <c r="B965" s="8"/>
      <c r="C965" s="8" t="s">
        <v>3458</v>
      </c>
      <c r="D965" s="8" t="s">
        <v>70</v>
      </c>
      <c r="E965" s="8" t="s">
        <v>102</v>
      </c>
      <c r="F965" s="8" t="s">
        <v>3459</v>
      </c>
      <c r="G965" s="8" t="s">
        <v>3460</v>
      </c>
      <c r="H965" s="9">
        <v>1000000</v>
      </c>
      <c r="I965" s="9">
        <f>[1]!Tabel1[[#This Row],[Honorar]]*[1]!Tabel1[[#This Row],[Sandsynlighed]]</f>
        <v>70000</v>
      </c>
      <c r="J965" s="10" t="s">
        <v>1191</v>
      </c>
      <c r="K965" s="10" t="s">
        <v>342</v>
      </c>
      <c r="L965" s="21"/>
      <c r="M965" s="11">
        <v>0.05</v>
      </c>
      <c r="N965" s="1" t="s">
        <v>3461</v>
      </c>
      <c r="O965" s="10">
        <v>46279.611145833333</v>
      </c>
      <c r="P965" s="10"/>
      <c r="Q965" s="1" t="s">
        <v>72</v>
      </c>
      <c r="R965" s="8" t="s">
        <v>343</v>
      </c>
      <c r="S96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6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6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6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6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6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6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6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6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6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6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6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6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65" s="12">
        <f ca="1">[1]!Tabel1[[#This Row],[Vægtet Honorar]]*([1]!Tabel1[[#This Row],[Sidst redigeret]]&gt;TODAY()-40)*([1]!Tabel1[[#This Row],[Er i resplan?]]&lt;&gt;"Ja")*([1]!Tabel1[[#This Row],[Status]]="Pågår")</f>
        <v>70000</v>
      </c>
      <c r="AG965" s="12">
        <f ca="1">[1]!Tabel1[[#This Row],[Vægtet Honorar]]*([1]!Tabel1[[#This Row],[Sidst redigeret]]&gt;TODAY()-40)*([1]!Tabel1[[#This Row],[Status]]="Pågår")</f>
        <v>70000</v>
      </c>
      <c r="AH965" s="13"/>
      <c r="AI965" s="12" t="s">
        <v>3462</v>
      </c>
      <c r="AJ965" s="12" t="s">
        <v>1691</v>
      </c>
      <c r="AK965" s="12"/>
      <c r="AL965" s="12" t="s">
        <v>601</v>
      </c>
      <c r="AM965" s="12"/>
      <c r="AN965" s="12"/>
      <c r="AO965" s="12"/>
      <c r="AP965" s="12"/>
    </row>
    <row r="966" spans="1:42" ht="29.25">
      <c r="A966" t="s">
        <v>3463</v>
      </c>
      <c r="B966" s="8"/>
      <c r="C966" s="8" t="s">
        <v>3464</v>
      </c>
      <c r="D966" s="8" t="s">
        <v>70</v>
      </c>
      <c r="E966" s="8" t="s">
        <v>102</v>
      </c>
      <c r="F966" s="8" t="s">
        <v>3465</v>
      </c>
      <c r="G966" s="8" t="s">
        <v>3466</v>
      </c>
      <c r="H966" s="9">
        <v>350000</v>
      </c>
      <c r="I966" s="9">
        <f>[1]!Tabel1[[#This Row],[Honorar]]*[1]!Tabel1[[#This Row],[Sandsynlighed]]</f>
        <v>40000</v>
      </c>
      <c r="J966" s="10" t="s">
        <v>1191</v>
      </c>
      <c r="K966" s="10" t="s">
        <v>342</v>
      </c>
      <c r="L966" s="21" t="s">
        <v>3467</v>
      </c>
      <c r="M966" s="11">
        <v>0.95</v>
      </c>
      <c r="N966" s="1">
        <v>640</v>
      </c>
      <c r="O966" s="10">
        <v>46279.611145833333</v>
      </c>
      <c r="P966" s="10"/>
      <c r="Q966" s="1" t="s">
        <v>46</v>
      </c>
      <c r="R966" s="8" t="s">
        <v>47</v>
      </c>
      <c r="S96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6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6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6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6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6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6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6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6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6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6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6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6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66" s="12">
        <f ca="1">[1]!Tabel1[[#This Row],[Vægtet Honorar]]*([1]!Tabel1[[#This Row],[Sidst redigeret]]&gt;TODAY()-40)*([1]!Tabel1[[#This Row],[Er i resplan?]]&lt;&gt;"Ja")*([1]!Tabel1[[#This Row],[Status]]="Pågår")</f>
        <v>0</v>
      </c>
      <c r="AG966" s="12">
        <f ca="1">[1]!Tabel1[[#This Row],[Vægtet Honorar]]*([1]!Tabel1[[#This Row],[Sidst redigeret]]&gt;TODAY()-40)*([1]!Tabel1[[#This Row],[Status]]="Pågår")</f>
        <v>0</v>
      </c>
      <c r="AH966" s="13"/>
      <c r="AI966" s="12"/>
      <c r="AJ966" s="12"/>
      <c r="AK966" s="12"/>
      <c r="AL966" s="12"/>
      <c r="AM966" s="12"/>
      <c r="AN966" s="12"/>
      <c r="AO966" s="12"/>
      <c r="AP966" s="12"/>
    </row>
    <row r="967" spans="1:42">
      <c r="A967" t="s">
        <v>3468</v>
      </c>
      <c r="B967" s="8"/>
      <c r="C967" s="8" t="s">
        <v>3469</v>
      </c>
      <c r="D967" s="8" t="s">
        <v>57</v>
      </c>
      <c r="E967" s="8" t="s">
        <v>167</v>
      </c>
      <c r="F967" s="8" t="s">
        <v>3470</v>
      </c>
      <c r="G967" s="8" t="s">
        <v>3470</v>
      </c>
      <c r="H967" s="9">
        <v>2500000</v>
      </c>
      <c r="I967" s="9">
        <f>[1]!Tabel1[[#This Row],[Honorar]]*[1]!Tabel1[[#This Row],[Sandsynlighed]]</f>
        <v>120000</v>
      </c>
      <c r="J967" s="10" t="s">
        <v>1191</v>
      </c>
      <c r="K967" s="10" t="s">
        <v>1861</v>
      </c>
      <c r="L967" s="21"/>
      <c r="M967" s="11">
        <v>0</v>
      </c>
      <c r="N967" s="1">
        <v>3900</v>
      </c>
      <c r="O967" s="10">
        <v>46279.611145833333</v>
      </c>
      <c r="P967" s="10"/>
      <c r="Q967" s="1" t="s">
        <v>72</v>
      </c>
      <c r="R967" s="8" t="s">
        <v>49</v>
      </c>
      <c r="S96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6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6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6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6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6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6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6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6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6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6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6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6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67" s="12">
        <f ca="1">[1]!Tabel1[[#This Row],[Vægtet Honorar]]*([1]!Tabel1[[#This Row],[Sidst redigeret]]&gt;TODAY()-40)*([1]!Tabel1[[#This Row],[Er i resplan?]]&lt;&gt;"Ja")*([1]!Tabel1[[#This Row],[Status]]="Pågår")</f>
        <v>0</v>
      </c>
      <c r="AG967" s="12">
        <f ca="1">[1]!Tabel1[[#This Row],[Vægtet Honorar]]*([1]!Tabel1[[#This Row],[Sidst redigeret]]&gt;TODAY()-40)*([1]!Tabel1[[#This Row],[Status]]="Pågår")</f>
        <v>0</v>
      </c>
      <c r="AH967" s="13"/>
      <c r="AI967" s="12"/>
      <c r="AJ967" s="12"/>
      <c r="AK967" s="12"/>
      <c r="AL967" s="12"/>
      <c r="AM967" s="12"/>
      <c r="AN967" s="12"/>
      <c r="AO967" s="12"/>
      <c r="AP967" s="12"/>
    </row>
    <row r="968" spans="1:42">
      <c r="A968" t="s">
        <v>3471</v>
      </c>
      <c r="B968" s="8"/>
      <c r="C968" s="8" t="s">
        <v>3472</v>
      </c>
      <c r="D968" s="8" t="s">
        <v>2886</v>
      </c>
      <c r="E968" s="8" t="s">
        <v>120</v>
      </c>
      <c r="F968" s="8" t="s">
        <v>3473</v>
      </c>
      <c r="G968" s="8" t="s">
        <v>3474</v>
      </c>
      <c r="H968" s="9">
        <v>4950000</v>
      </c>
      <c r="I968" s="9">
        <f>[1]!Tabel1[[#This Row],[Honorar]]*[1]!Tabel1[[#This Row],[Sandsynlighed]]</f>
        <v>75000</v>
      </c>
      <c r="J968" s="10" t="s">
        <v>341</v>
      </c>
      <c r="K968" s="10" t="s">
        <v>1430</v>
      </c>
      <c r="L968" s="21"/>
      <c r="M968" s="11">
        <v>0.05</v>
      </c>
      <c r="N968" s="1">
        <v>5950</v>
      </c>
      <c r="O968" s="10">
        <v>46279.611145833333</v>
      </c>
      <c r="P968" s="10"/>
      <c r="Q968" s="1" t="s">
        <v>72</v>
      </c>
      <c r="R968" s="8" t="s">
        <v>75</v>
      </c>
      <c r="S96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6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6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6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6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6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6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6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6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6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6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6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6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68" s="12">
        <f ca="1">[1]!Tabel1[[#This Row],[Vægtet Honorar]]*([1]!Tabel1[[#This Row],[Sidst redigeret]]&gt;TODAY()-40)*([1]!Tabel1[[#This Row],[Er i resplan?]]&lt;&gt;"Ja")*([1]!Tabel1[[#This Row],[Status]]="Pågår")</f>
        <v>75000</v>
      </c>
      <c r="AG968" s="12">
        <f ca="1">[1]!Tabel1[[#This Row],[Vægtet Honorar]]*([1]!Tabel1[[#This Row],[Sidst redigeret]]&gt;TODAY()-40)*([1]!Tabel1[[#This Row],[Status]]="Pågår")</f>
        <v>75000</v>
      </c>
      <c r="AH968" s="13"/>
      <c r="AI968" s="12" t="s">
        <v>3474</v>
      </c>
      <c r="AJ968" s="12" t="s">
        <v>2895</v>
      </c>
      <c r="AK968" s="12"/>
      <c r="AL968" s="12"/>
      <c r="AM968" s="12"/>
      <c r="AN968" s="12"/>
      <c r="AO968" s="12"/>
      <c r="AP968" s="12"/>
    </row>
    <row r="969" spans="1:42">
      <c r="A969" t="s">
        <v>3475</v>
      </c>
      <c r="B969" s="8"/>
      <c r="C969" s="8" t="s">
        <v>3476</v>
      </c>
      <c r="D969" s="8" t="s">
        <v>334</v>
      </c>
      <c r="E969" s="8" t="s">
        <v>71</v>
      </c>
      <c r="F969" s="8" t="s">
        <v>1012</v>
      </c>
      <c r="G969" s="8" t="s">
        <v>1012</v>
      </c>
      <c r="H969" s="9">
        <v>50000</v>
      </c>
      <c r="I969" s="9">
        <f>[1]!Tabel1[[#This Row],[Honorar]]*[1]!Tabel1[[#This Row],[Sandsynlighed]]</f>
        <v>60000</v>
      </c>
      <c r="J969" s="10" t="s">
        <v>612</v>
      </c>
      <c r="K969" s="10" t="s">
        <v>612</v>
      </c>
      <c r="L969" s="21"/>
      <c r="M969" s="11">
        <v>1</v>
      </c>
      <c r="N969" s="1"/>
      <c r="O969" s="10">
        <v>46279.611145833333</v>
      </c>
      <c r="P969" s="10"/>
      <c r="Q969" s="1" t="s">
        <v>46</v>
      </c>
      <c r="R969" s="8" t="s">
        <v>47</v>
      </c>
      <c r="S96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6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6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6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6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6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6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6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6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6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6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6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6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69" s="12">
        <f ca="1">[1]!Tabel1[[#This Row],[Vægtet Honorar]]*([1]!Tabel1[[#This Row],[Sidst redigeret]]&gt;TODAY()-40)*([1]!Tabel1[[#This Row],[Er i resplan?]]&lt;&gt;"Ja")*([1]!Tabel1[[#This Row],[Status]]="Pågår")</f>
        <v>60000</v>
      </c>
      <c r="AG969" s="12">
        <f ca="1">[1]!Tabel1[[#This Row],[Vægtet Honorar]]*([1]!Tabel1[[#This Row],[Sidst redigeret]]&gt;TODAY()-40)*([1]!Tabel1[[#This Row],[Status]]="Pågår")</f>
        <v>60000</v>
      </c>
      <c r="AH969" s="13"/>
      <c r="AI969" s="12"/>
      <c r="AJ969" s="12"/>
      <c r="AK969" s="12"/>
      <c r="AL969" s="12"/>
      <c r="AM969" s="12"/>
      <c r="AN969" s="12"/>
      <c r="AO969" s="12"/>
      <c r="AP969" s="12"/>
    </row>
    <row r="970" spans="1:42">
      <c r="A970" t="s">
        <v>3477</v>
      </c>
      <c r="B970" s="8"/>
      <c r="C970" s="8" t="s">
        <v>3478</v>
      </c>
      <c r="D970" s="8" t="s">
        <v>720</v>
      </c>
      <c r="E970" s="8" t="s">
        <v>71</v>
      </c>
      <c r="F970" s="8" t="s">
        <v>3479</v>
      </c>
      <c r="G970" s="8" t="s">
        <v>3480</v>
      </c>
      <c r="H970" s="9">
        <v>350000</v>
      </c>
      <c r="I970" s="9">
        <f>[1]!Tabel1[[#This Row],[Honorar]]*[1]!Tabel1[[#This Row],[Sandsynlighed]]</f>
        <v>50000</v>
      </c>
      <c r="J970" s="10" t="s">
        <v>329</v>
      </c>
      <c r="K970" s="10" t="s">
        <v>341</v>
      </c>
      <c r="L970" s="21"/>
      <c r="M970" s="11">
        <v>0</v>
      </c>
      <c r="N970" s="1">
        <v>2200</v>
      </c>
      <c r="O970" s="10">
        <v>46279.611145833333</v>
      </c>
      <c r="P970" s="10"/>
      <c r="Q970" s="1" t="s">
        <v>46</v>
      </c>
      <c r="R970" s="8" t="s">
        <v>75</v>
      </c>
      <c r="S97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7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7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7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7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7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7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7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7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7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7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7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7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70" s="12">
        <f ca="1">[1]!Tabel1[[#This Row],[Vægtet Honorar]]*([1]!Tabel1[[#This Row],[Sidst redigeret]]&gt;TODAY()-40)*([1]!Tabel1[[#This Row],[Er i resplan?]]&lt;&gt;"Ja")*([1]!Tabel1[[#This Row],[Status]]="Pågår")</f>
        <v>50000</v>
      </c>
      <c r="AG970" s="12">
        <f ca="1">[1]!Tabel1[[#This Row],[Vægtet Honorar]]*([1]!Tabel1[[#This Row],[Sidst redigeret]]&gt;TODAY()-40)*([1]!Tabel1[[#This Row],[Status]]="Pågår")</f>
        <v>50000</v>
      </c>
      <c r="AH970" s="13"/>
      <c r="AI970" s="12"/>
      <c r="AJ970" s="12"/>
      <c r="AK970" s="12"/>
      <c r="AL970" s="12"/>
      <c r="AM970" s="12"/>
      <c r="AN970" s="12"/>
      <c r="AO970" s="12"/>
      <c r="AP970" s="12"/>
    </row>
    <row r="971" spans="1:42">
      <c r="A971" t="s">
        <v>3481</v>
      </c>
      <c r="B971" s="8"/>
      <c r="C971" s="8" t="s">
        <v>3482</v>
      </c>
      <c r="D971" s="8" t="s">
        <v>1886</v>
      </c>
      <c r="E971" s="8" t="s">
        <v>94</v>
      </c>
      <c r="F971" s="8" t="s">
        <v>3482</v>
      </c>
      <c r="G971" s="8" t="s">
        <v>3483</v>
      </c>
      <c r="H971" s="9">
        <v>15000</v>
      </c>
      <c r="I971" s="9">
        <f>[1]!Tabel1[[#This Row],[Honorar]]*[1]!Tabel1[[#This Row],[Sandsynlighed]]</f>
        <v>332500</v>
      </c>
      <c r="J971" s="10" t="s">
        <v>612</v>
      </c>
      <c r="K971" s="10" t="s">
        <v>1191</v>
      </c>
      <c r="L971" s="21"/>
      <c r="M971" s="11">
        <v>0.5</v>
      </c>
      <c r="N971" s="1">
        <v>150</v>
      </c>
      <c r="O971" s="10">
        <v>46279.611145833333</v>
      </c>
      <c r="P971" s="1" t="s">
        <v>72</v>
      </c>
      <c r="Q971" s="1" t="s">
        <v>72</v>
      </c>
      <c r="R971" s="8" t="s">
        <v>47</v>
      </c>
      <c r="S97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7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7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7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7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7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7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7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7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7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7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7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7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71" s="12">
        <f ca="1">[1]!Tabel1[[#This Row],[Vægtet Honorar]]*([1]!Tabel1[[#This Row],[Sidst redigeret]]&gt;TODAY()-40)*([1]!Tabel1[[#This Row],[Er i resplan?]]&lt;&gt;"Ja")*([1]!Tabel1[[#This Row],[Status]]="Pågår")</f>
        <v>0</v>
      </c>
      <c r="AG971" s="12">
        <f ca="1">[1]!Tabel1[[#This Row],[Vægtet Honorar]]*([1]!Tabel1[[#This Row],[Sidst redigeret]]&gt;TODAY()-40)*([1]!Tabel1[[#This Row],[Status]]="Pågår")</f>
        <v>0</v>
      </c>
      <c r="AH971" s="13"/>
      <c r="AI971" s="12"/>
      <c r="AJ971" s="12"/>
      <c r="AK971" s="12"/>
      <c r="AL971" s="12"/>
      <c r="AM971" s="12"/>
      <c r="AN971" s="12"/>
      <c r="AO971" s="12"/>
      <c r="AP971" s="12"/>
    </row>
    <row r="972" spans="1:42" ht="43.5">
      <c r="A972" t="s">
        <v>3484</v>
      </c>
      <c r="B972" s="8"/>
      <c r="C972" s="8" t="s">
        <v>3485</v>
      </c>
      <c r="D972" s="8" t="s">
        <v>896</v>
      </c>
      <c r="E972" s="8" t="s">
        <v>94</v>
      </c>
      <c r="F972" s="8" t="s">
        <v>1735</v>
      </c>
      <c r="G972" s="8" t="s">
        <v>1735</v>
      </c>
      <c r="H972" s="9">
        <v>3000000</v>
      </c>
      <c r="I972" s="9">
        <f>[1]!Tabel1[[#This Row],[Honorar]]*[1]!Tabel1[[#This Row],[Sandsynlighed]]</f>
        <v>0</v>
      </c>
      <c r="J972" s="10" t="s">
        <v>329</v>
      </c>
      <c r="K972" s="10" t="s">
        <v>1323</v>
      </c>
      <c r="L972" s="21" t="s">
        <v>3486</v>
      </c>
      <c r="M972" s="11">
        <v>0.02</v>
      </c>
      <c r="N972" s="1">
        <v>60000</v>
      </c>
      <c r="O972" s="10">
        <v>46279.611145833333</v>
      </c>
      <c r="P972" s="1" t="s">
        <v>72</v>
      </c>
      <c r="Q972" s="1" t="s">
        <v>72</v>
      </c>
      <c r="R972" s="8" t="s">
        <v>75</v>
      </c>
      <c r="S97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7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7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7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7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7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7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7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7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7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7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7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7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72" s="12">
        <f ca="1">[1]!Tabel1[[#This Row],[Vægtet Honorar]]*([1]!Tabel1[[#This Row],[Sidst redigeret]]&gt;TODAY()-40)*([1]!Tabel1[[#This Row],[Er i resplan?]]&lt;&gt;"Ja")*([1]!Tabel1[[#This Row],[Status]]="Pågår")</f>
        <v>0</v>
      </c>
      <c r="AG972" s="12">
        <f ca="1">[1]!Tabel1[[#This Row],[Vægtet Honorar]]*([1]!Tabel1[[#This Row],[Sidst redigeret]]&gt;TODAY()-40)*([1]!Tabel1[[#This Row],[Status]]="Pågår")</f>
        <v>0</v>
      </c>
      <c r="AH972" s="13"/>
      <c r="AI972" s="12"/>
      <c r="AJ972" s="12" t="s">
        <v>1693</v>
      </c>
      <c r="AK972" s="12"/>
      <c r="AL972" s="12"/>
      <c r="AM972" s="12"/>
      <c r="AN972" s="12"/>
      <c r="AO972" s="12"/>
      <c r="AP972" s="12"/>
    </row>
    <row r="973" spans="1:42" ht="43.5">
      <c r="A973" t="s">
        <v>3487</v>
      </c>
      <c r="B973" s="8"/>
      <c r="C973" s="8" t="s">
        <v>3488</v>
      </c>
      <c r="D973" s="8" t="s">
        <v>70</v>
      </c>
      <c r="E973" s="8" t="s">
        <v>102</v>
      </c>
      <c r="F973" s="8"/>
      <c r="G973" s="8" t="s">
        <v>3489</v>
      </c>
      <c r="H973" s="9">
        <v>500000</v>
      </c>
      <c r="I973" s="9">
        <f>[1]!Tabel1[[#This Row],[Honorar]]*[1]!Tabel1[[#This Row],[Sandsynlighed]]</f>
        <v>247500</v>
      </c>
      <c r="J973" s="10" t="s">
        <v>341</v>
      </c>
      <c r="K973" s="10" t="s">
        <v>585</v>
      </c>
      <c r="L973" s="21" t="s">
        <v>3490</v>
      </c>
      <c r="M973" s="11">
        <v>0.05</v>
      </c>
      <c r="N973" s="1" t="s">
        <v>3491</v>
      </c>
      <c r="O973" s="10">
        <v>46279.611145833333</v>
      </c>
      <c r="P973" s="10"/>
      <c r="Q973" s="1" t="s">
        <v>72</v>
      </c>
      <c r="R973" s="8" t="s">
        <v>343</v>
      </c>
      <c r="S97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7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7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7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7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7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7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7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7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7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7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7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7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73" s="12">
        <f ca="1">[1]!Tabel1[[#This Row],[Vægtet Honorar]]*([1]!Tabel1[[#This Row],[Sidst redigeret]]&gt;TODAY()-40)*([1]!Tabel1[[#This Row],[Er i resplan?]]&lt;&gt;"Ja")*([1]!Tabel1[[#This Row],[Status]]="Pågår")</f>
        <v>0</v>
      </c>
      <c r="AG973" s="12">
        <f ca="1">[1]!Tabel1[[#This Row],[Vægtet Honorar]]*([1]!Tabel1[[#This Row],[Sidst redigeret]]&gt;TODAY()-40)*([1]!Tabel1[[#This Row],[Status]]="Pågår")</f>
        <v>0</v>
      </c>
      <c r="AH973" s="13"/>
      <c r="AI973" s="12"/>
      <c r="AJ973" s="12"/>
      <c r="AK973" s="12"/>
      <c r="AL973" s="12"/>
      <c r="AM973" s="12"/>
      <c r="AN973" s="12"/>
      <c r="AO973" s="12"/>
      <c r="AP973" s="12"/>
    </row>
    <row r="974" spans="1:42">
      <c r="A974" t="s">
        <v>3492</v>
      </c>
      <c r="B974" s="8"/>
      <c r="C974" s="8" t="s">
        <v>3493</v>
      </c>
      <c r="D974" s="8" t="s">
        <v>70</v>
      </c>
      <c r="E974" s="8" t="s">
        <v>102</v>
      </c>
      <c r="F974" s="8"/>
      <c r="G974" s="8" t="s">
        <v>3494</v>
      </c>
      <c r="H974" s="9"/>
      <c r="I974" s="9">
        <f>[1]!Tabel1[[#This Row],[Honorar]]*[1]!Tabel1[[#This Row],[Sandsynlighed]]</f>
        <v>50000</v>
      </c>
      <c r="J974" s="10" t="s">
        <v>1287</v>
      </c>
      <c r="K974" s="10" t="s">
        <v>342</v>
      </c>
      <c r="L974" s="21"/>
      <c r="M974" s="11">
        <v>0.02</v>
      </c>
      <c r="N974" s="1"/>
      <c r="O974" s="10">
        <v>46279.611145833333</v>
      </c>
      <c r="P974" s="10"/>
      <c r="Q974" s="1" t="s">
        <v>72</v>
      </c>
      <c r="R974" s="8" t="s">
        <v>343</v>
      </c>
      <c r="S97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7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7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7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7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7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7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7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7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7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7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7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7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74" s="12">
        <f ca="1">[1]!Tabel1[[#This Row],[Vægtet Honorar]]*([1]!Tabel1[[#This Row],[Sidst redigeret]]&gt;TODAY()-40)*([1]!Tabel1[[#This Row],[Er i resplan?]]&lt;&gt;"Ja")*([1]!Tabel1[[#This Row],[Status]]="Pågår")</f>
        <v>0</v>
      </c>
      <c r="AG974" s="12">
        <f ca="1">[1]!Tabel1[[#This Row],[Vægtet Honorar]]*([1]!Tabel1[[#This Row],[Sidst redigeret]]&gt;TODAY()-40)*([1]!Tabel1[[#This Row],[Status]]="Pågår")</f>
        <v>0</v>
      </c>
      <c r="AH974" s="13"/>
      <c r="AI974" s="12"/>
      <c r="AJ974" s="12"/>
      <c r="AK974" s="12"/>
      <c r="AL974" s="12"/>
      <c r="AM974" s="12"/>
      <c r="AN974" s="12"/>
      <c r="AO974" s="12"/>
      <c r="AP974" s="12"/>
    </row>
    <row r="975" spans="1:42">
      <c r="A975" t="s">
        <v>3495</v>
      </c>
      <c r="B975" s="8"/>
      <c r="C975" s="8" t="s">
        <v>3496</v>
      </c>
      <c r="D975" s="8" t="s">
        <v>2633</v>
      </c>
      <c r="E975" s="8" t="s">
        <v>71</v>
      </c>
      <c r="F975" s="8"/>
      <c r="G975" s="8" t="s">
        <v>1012</v>
      </c>
      <c r="H975" s="9">
        <v>200000</v>
      </c>
      <c r="I975" s="9">
        <f>[1]!Tabel1[[#This Row],[Honorar]]*[1]!Tabel1[[#This Row],[Sandsynlighed]]</f>
        <v>0</v>
      </c>
      <c r="J975" s="10" t="s">
        <v>329</v>
      </c>
      <c r="K975" s="10" t="s">
        <v>1191</v>
      </c>
      <c r="L975" s="21"/>
      <c r="M975" s="11">
        <v>0</v>
      </c>
      <c r="N975" s="1">
        <v>150</v>
      </c>
      <c r="O975" s="10">
        <v>46279.611145833333</v>
      </c>
      <c r="P975" s="10"/>
      <c r="Q975" s="1" t="s">
        <v>72</v>
      </c>
      <c r="R975" s="8" t="s">
        <v>75</v>
      </c>
      <c r="S97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7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7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7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7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7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7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7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7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7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7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7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7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75" s="12">
        <f ca="1">[1]!Tabel1[[#This Row],[Vægtet Honorar]]*([1]!Tabel1[[#This Row],[Sidst redigeret]]&gt;TODAY()-40)*([1]!Tabel1[[#This Row],[Er i resplan?]]&lt;&gt;"Ja")*([1]!Tabel1[[#This Row],[Status]]="Pågår")</f>
        <v>0</v>
      </c>
      <c r="AG975" s="12">
        <f ca="1">[1]!Tabel1[[#This Row],[Vægtet Honorar]]*([1]!Tabel1[[#This Row],[Sidst redigeret]]&gt;TODAY()-40)*([1]!Tabel1[[#This Row],[Status]]="Pågår")</f>
        <v>0</v>
      </c>
      <c r="AH975" s="13"/>
      <c r="AI975" s="12"/>
      <c r="AJ975" s="12"/>
      <c r="AK975" s="12"/>
      <c r="AL975" s="12"/>
      <c r="AM975" s="12"/>
      <c r="AN975" s="12"/>
      <c r="AO975" s="12"/>
      <c r="AP975" s="12"/>
    </row>
    <row r="976" spans="1:42" ht="29.25">
      <c r="A976" t="s">
        <v>3497</v>
      </c>
      <c r="B976" s="8"/>
      <c r="C976" s="8" t="s">
        <v>3496</v>
      </c>
      <c r="D976" s="8" t="s">
        <v>2633</v>
      </c>
      <c r="E976" s="8" t="s">
        <v>71</v>
      </c>
      <c r="F976" s="8"/>
      <c r="G976" s="8" t="s">
        <v>1012</v>
      </c>
      <c r="H976" s="9">
        <v>0</v>
      </c>
      <c r="I976" s="9">
        <f>[1]!Tabel1[[#This Row],[Honorar]]*[1]!Tabel1[[#This Row],[Sandsynlighed]]</f>
        <v>7500</v>
      </c>
      <c r="J976" s="10" t="s">
        <v>329</v>
      </c>
      <c r="K976" s="10" t="s">
        <v>1191</v>
      </c>
      <c r="L976" s="21" t="s">
        <v>1056</v>
      </c>
      <c r="M976" s="11">
        <v>0</v>
      </c>
      <c r="N976" s="1">
        <v>150</v>
      </c>
      <c r="O976" s="10">
        <v>46279.611145833333</v>
      </c>
      <c r="P976" s="10"/>
      <c r="Q976" s="1" t="s">
        <v>46</v>
      </c>
      <c r="R976" s="8" t="s">
        <v>343</v>
      </c>
      <c r="S97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7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7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7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7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7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7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7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7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7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7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7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7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76" s="12">
        <f ca="1">[1]!Tabel1[[#This Row],[Vægtet Honorar]]*([1]!Tabel1[[#This Row],[Sidst redigeret]]&gt;TODAY()-40)*([1]!Tabel1[[#This Row],[Er i resplan?]]&lt;&gt;"Ja")*([1]!Tabel1[[#This Row],[Status]]="Pågår")</f>
        <v>0</v>
      </c>
      <c r="AG976" s="12">
        <f ca="1">[1]!Tabel1[[#This Row],[Vægtet Honorar]]*([1]!Tabel1[[#This Row],[Sidst redigeret]]&gt;TODAY()-40)*([1]!Tabel1[[#This Row],[Status]]="Pågår")</f>
        <v>0</v>
      </c>
      <c r="AH976" s="13"/>
      <c r="AI976" s="12"/>
      <c r="AJ976" s="12"/>
      <c r="AK976" s="12"/>
      <c r="AL976" s="12"/>
      <c r="AM976" s="12"/>
      <c r="AN976" s="12"/>
      <c r="AO976" s="12"/>
      <c r="AP976" s="12"/>
    </row>
    <row r="977" spans="1:42">
      <c r="A977" t="s">
        <v>3498</v>
      </c>
      <c r="B977" s="8"/>
      <c r="C977" s="8" t="s">
        <v>3499</v>
      </c>
      <c r="D977" s="8" t="s">
        <v>2633</v>
      </c>
      <c r="E977" s="8" t="s">
        <v>71</v>
      </c>
      <c r="F977" s="8" t="s">
        <v>1012</v>
      </c>
      <c r="G977" s="8" t="s">
        <v>1012</v>
      </c>
      <c r="H977" s="9">
        <v>150000</v>
      </c>
      <c r="I977" s="9">
        <f>[1]!Tabel1[[#This Row],[Honorar]]*[1]!Tabel1[[#This Row],[Sandsynlighed]]</f>
        <v>60000</v>
      </c>
      <c r="J977" s="10" t="s">
        <v>329</v>
      </c>
      <c r="K977" s="10" t="s">
        <v>1191</v>
      </c>
      <c r="L977" s="21"/>
      <c r="M977" s="11">
        <v>0</v>
      </c>
      <c r="N977" s="1">
        <v>150</v>
      </c>
      <c r="O977" s="10">
        <v>46279.611145833333</v>
      </c>
      <c r="P977" s="10"/>
      <c r="Q977" s="1" t="s">
        <v>46</v>
      </c>
      <c r="R977" s="8" t="s">
        <v>75</v>
      </c>
      <c r="S97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7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7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7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7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7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7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7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7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7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7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7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7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77" s="12">
        <f ca="1">[1]!Tabel1[[#This Row],[Vægtet Honorar]]*([1]!Tabel1[[#This Row],[Sidst redigeret]]&gt;TODAY()-40)*([1]!Tabel1[[#This Row],[Er i resplan?]]&lt;&gt;"Ja")*([1]!Tabel1[[#This Row],[Status]]="Pågår")</f>
        <v>0</v>
      </c>
      <c r="AG977" s="12">
        <f ca="1">[1]!Tabel1[[#This Row],[Vægtet Honorar]]*([1]!Tabel1[[#This Row],[Sidst redigeret]]&gt;TODAY()-40)*([1]!Tabel1[[#This Row],[Status]]="Pågår")</f>
        <v>0</v>
      </c>
      <c r="AH977" s="13"/>
      <c r="AI977" s="12"/>
      <c r="AJ977" s="12"/>
      <c r="AK977" s="12"/>
      <c r="AL977" s="12"/>
      <c r="AM977" s="12"/>
      <c r="AN977" s="12"/>
      <c r="AO977" s="12"/>
      <c r="AP977" s="12"/>
    </row>
    <row r="978" spans="1:42">
      <c r="A978" t="s">
        <v>3500</v>
      </c>
      <c r="B978" s="8"/>
      <c r="C978" s="8" t="s">
        <v>3501</v>
      </c>
      <c r="D978" s="8" t="s">
        <v>2886</v>
      </c>
      <c r="E978" s="8" t="s">
        <v>120</v>
      </c>
      <c r="F978" s="8"/>
      <c r="G978" s="8" t="s">
        <v>3502</v>
      </c>
      <c r="H978" s="9">
        <v>1500000</v>
      </c>
      <c r="I978" s="9">
        <f>[1]!Tabel1[[#This Row],[Honorar]]*[1]!Tabel1[[#This Row],[Sandsynlighed]]</f>
        <v>25000</v>
      </c>
      <c r="J978" s="10" t="s">
        <v>329</v>
      </c>
      <c r="K978" s="10" t="s">
        <v>1310</v>
      </c>
      <c r="L978" s="21"/>
      <c r="M978" s="11">
        <v>0.05</v>
      </c>
      <c r="N978" s="1"/>
      <c r="O978" s="10">
        <v>46279.611145833333</v>
      </c>
      <c r="P978" s="10"/>
      <c r="Q978" s="1" t="s">
        <v>72</v>
      </c>
      <c r="R978" s="8" t="s">
        <v>47</v>
      </c>
      <c r="S97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7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7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7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7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7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7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7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7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7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7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7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7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78" s="12">
        <f ca="1">[1]!Tabel1[[#This Row],[Vægtet Honorar]]*([1]!Tabel1[[#This Row],[Sidst redigeret]]&gt;TODAY()-40)*([1]!Tabel1[[#This Row],[Er i resplan?]]&lt;&gt;"Ja")*([1]!Tabel1[[#This Row],[Status]]="Pågår")</f>
        <v>25000</v>
      </c>
      <c r="AG978" s="12">
        <f ca="1">[1]!Tabel1[[#This Row],[Vægtet Honorar]]*([1]!Tabel1[[#This Row],[Sidst redigeret]]&gt;TODAY()-40)*([1]!Tabel1[[#This Row],[Status]]="Pågår")</f>
        <v>25000</v>
      </c>
      <c r="AH978" s="13">
        <v>46269.492893518516</v>
      </c>
      <c r="AI978" s="12" t="s">
        <v>3502</v>
      </c>
      <c r="AJ978" s="12"/>
      <c r="AK978" s="12"/>
      <c r="AL978" s="12"/>
      <c r="AM978" s="12"/>
      <c r="AN978" s="12" t="s">
        <v>3502</v>
      </c>
      <c r="AO978" s="12"/>
      <c r="AP978" s="12"/>
    </row>
    <row r="979" spans="1:42" ht="43.5">
      <c r="A979" t="s">
        <v>3503</v>
      </c>
      <c r="B979" s="8"/>
      <c r="C979" s="8" t="s">
        <v>3504</v>
      </c>
      <c r="D979" s="8" t="s">
        <v>57</v>
      </c>
      <c r="E979" s="8" t="s">
        <v>167</v>
      </c>
      <c r="F979" s="8" t="s">
        <v>460</v>
      </c>
      <c r="G979" s="8" t="s">
        <v>460</v>
      </c>
      <c r="H979" s="9">
        <v>20000000</v>
      </c>
      <c r="I979" s="9">
        <f>[1]!Tabel1[[#This Row],[Honorar]]*[1]!Tabel1[[#This Row],[Sandsynlighed]]</f>
        <v>0</v>
      </c>
      <c r="J979" s="10" t="s">
        <v>329</v>
      </c>
      <c r="K979" s="10" t="s">
        <v>2405</v>
      </c>
      <c r="L979" s="21" t="s">
        <v>3505</v>
      </c>
      <c r="M979" s="11">
        <v>0.01</v>
      </c>
      <c r="N979" s="1">
        <v>26000</v>
      </c>
      <c r="O979" s="10">
        <v>46279.611145833333</v>
      </c>
      <c r="P979" s="10"/>
      <c r="Q979" s="1" t="s">
        <v>46</v>
      </c>
      <c r="R979" s="8" t="s">
        <v>49</v>
      </c>
      <c r="S97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7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7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7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7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7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7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7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7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7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7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7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7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79" s="12">
        <f ca="1">[1]!Tabel1[[#This Row],[Vægtet Honorar]]*([1]!Tabel1[[#This Row],[Sidst redigeret]]&gt;TODAY()-40)*([1]!Tabel1[[#This Row],[Er i resplan?]]&lt;&gt;"Ja")*([1]!Tabel1[[#This Row],[Status]]="Pågår")</f>
        <v>0</v>
      </c>
      <c r="AG979" s="12">
        <f ca="1">[1]!Tabel1[[#This Row],[Vægtet Honorar]]*([1]!Tabel1[[#This Row],[Sidst redigeret]]&gt;TODAY()-40)*([1]!Tabel1[[#This Row],[Status]]="Pågår")</f>
        <v>0</v>
      </c>
      <c r="AH979" s="13"/>
      <c r="AI979" s="12"/>
      <c r="AJ979" s="12"/>
      <c r="AK979" s="12" t="s">
        <v>1100</v>
      </c>
      <c r="AL979" s="12"/>
      <c r="AM979" s="12"/>
      <c r="AN979" s="12"/>
      <c r="AO979" s="12"/>
      <c r="AP979" s="12"/>
    </row>
    <row r="980" spans="1:42" ht="43.5">
      <c r="A980" t="s">
        <v>3506</v>
      </c>
      <c r="B980" s="8"/>
      <c r="C980" s="8" t="s">
        <v>3507</v>
      </c>
      <c r="D980" s="8" t="s">
        <v>720</v>
      </c>
      <c r="E980" s="8" t="s">
        <v>71</v>
      </c>
      <c r="F980" s="8" t="s">
        <v>3508</v>
      </c>
      <c r="G980" s="8" t="s">
        <v>3509</v>
      </c>
      <c r="H980" s="9">
        <v>500000</v>
      </c>
      <c r="I980" s="9">
        <f>[1]!Tabel1[[#This Row],[Honorar]]*[1]!Tabel1[[#This Row],[Sandsynlighed]]</f>
        <v>0</v>
      </c>
      <c r="J980" s="10" t="s">
        <v>1061</v>
      </c>
      <c r="K980" s="10" t="s">
        <v>342</v>
      </c>
      <c r="L980" s="21" t="s">
        <v>3510</v>
      </c>
      <c r="M980" s="11">
        <v>0.05</v>
      </c>
      <c r="N980" s="1">
        <v>1550</v>
      </c>
      <c r="O980" s="10">
        <v>46279.611145833333</v>
      </c>
      <c r="P980" s="10"/>
      <c r="Q980" s="1" t="s">
        <v>72</v>
      </c>
      <c r="R980" s="8" t="s">
        <v>343</v>
      </c>
      <c r="S98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8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8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8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8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8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8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8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8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8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8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8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8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80" s="12">
        <f ca="1">[1]!Tabel1[[#This Row],[Vægtet Honorar]]*([1]!Tabel1[[#This Row],[Sidst redigeret]]&gt;TODAY()-40)*([1]!Tabel1[[#This Row],[Er i resplan?]]&lt;&gt;"Ja")*([1]!Tabel1[[#This Row],[Status]]="Pågår")</f>
        <v>0</v>
      </c>
      <c r="AG980" s="12">
        <f ca="1">[1]!Tabel1[[#This Row],[Vægtet Honorar]]*([1]!Tabel1[[#This Row],[Sidst redigeret]]&gt;TODAY()-40)*([1]!Tabel1[[#This Row],[Status]]="Pågår")</f>
        <v>0</v>
      </c>
      <c r="AH980" s="13"/>
      <c r="AI980" s="12"/>
      <c r="AJ980" s="12"/>
      <c r="AK980" s="12" t="s">
        <v>3511</v>
      </c>
      <c r="AL980" s="12"/>
      <c r="AM980" s="12"/>
      <c r="AN980" s="12"/>
      <c r="AO980" s="12"/>
      <c r="AP980" s="12"/>
    </row>
    <row r="981" spans="1:42">
      <c r="A981" t="s">
        <v>3512</v>
      </c>
      <c r="B981" s="8"/>
      <c r="C981" s="8" t="s">
        <v>3513</v>
      </c>
      <c r="D981" s="8" t="s">
        <v>859</v>
      </c>
      <c r="E981" s="8" t="s">
        <v>71</v>
      </c>
      <c r="F981" s="8" t="s">
        <v>1190</v>
      </c>
      <c r="G981" s="8" t="s">
        <v>1190</v>
      </c>
      <c r="H981" s="9">
        <v>150000</v>
      </c>
      <c r="I981" s="9">
        <f>[1]!Tabel1[[#This Row],[Honorar]]*[1]!Tabel1[[#This Row],[Sandsynlighed]]</f>
        <v>0</v>
      </c>
      <c r="J981" s="10" t="s">
        <v>1061</v>
      </c>
      <c r="K981" s="10" t="s">
        <v>329</v>
      </c>
      <c r="L981" s="21"/>
      <c r="M981" s="11">
        <v>0.5</v>
      </c>
      <c r="N981" s="1"/>
      <c r="O981" s="10">
        <v>46279.611145833333</v>
      </c>
      <c r="P981" s="10"/>
      <c r="Q981" s="1" t="s">
        <v>72</v>
      </c>
      <c r="R981" s="8" t="s">
        <v>47</v>
      </c>
      <c r="S98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8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8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8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8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8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8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8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8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8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8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8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8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81" s="12">
        <f ca="1">[1]!Tabel1[[#This Row],[Vægtet Honorar]]*([1]!Tabel1[[#This Row],[Sidst redigeret]]&gt;TODAY()-40)*([1]!Tabel1[[#This Row],[Er i resplan?]]&lt;&gt;"Ja")*([1]!Tabel1[[#This Row],[Status]]="Pågår")</f>
        <v>0</v>
      </c>
      <c r="AG981" s="12">
        <f ca="1">[1]!Tabel1[[#This Row],[Vægtet Honorar]]*([1]!Tabel1[[#This Row],[Sidst redigeret]]&gt;TODAY()-40)*([1]!Tabel1[[#This Row],[Status]]="Pågår")</f>
        <v>0</v>
      </c>
      <c r="AH981" s="13"/>
      <c r="AI981" s="12"/>
      <c r="AJ981" s="12"/>
      <c r="AK981" s="12"/>
      <c r="AL981" s="12"/>
      <c r="AM981" s="12"/>
      <c r="AN981" s="12"/>
      <c r="AO981" s="12"/>
      <c r="AP981" s="12"/>
    </row>
    <row r="982" spans="1:42">
      <c r="A982" t="s">
        <v>3514</v>
      </c>
      <c r="B982" s="8"/>
      <c r="C982" s="8" t="s">
        <v>3515</v>
      </c>
      <c r="D982" s="8" t="s">
        <v>158</v>
      </c>
      <c r="E982" s="8" t="s">
        <v>167</v>
      </c>
      <c r="F982" s="8" t="s">
        <v>1357</v>
      </c>
      <c r="G982" s="8" t="s">
        <v>1357</v>
      </c>
      <c r="H982" s="9">
        <v>170000</v>
      </c>
      <c r="I982" s="9">
        <f>[1]!Tabel1[[#This Row],[Honorar]]*[1]!Tabel1[[#This Row],[Sandsynlighed]]</f>
        <v>0</v>
      </c>
      <c r="J982" s="10" t="s">
        <v>329</v>
      </c>
      <c r="K982" s="10" t="s">
        <v>1191</v>
      </c>
      <c r="L982" s="21"/>
      <c r="M982" s="11">
        <v>0.5</v>
      </c>
      <c r="N982" s="1"/>
      <c r="O982" s="10">
        <v>46279.611145833333</v>
      </c>
      <c r="P982" s="10"/>
      <c r="Q982" s="1" t="s">
        <v>46</v>
      </c>
      <c r="R982" s="8" t="s">
        <v>343</v>
      </c>
      <c r="S98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8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8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8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8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8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8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8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8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8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8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8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8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82" s="12">
        <f ca="1">[1]!Tabel1[[#This Row],[Vægtet Honorar]]*([1]!Tabel1[[#This Row],[Sidst redigeret]]&gt;TODAY()-40)*([1]!Tabel1[[#This Row],[Er i resplan?]]&lt;&gt;"Ja")*([1]!Tabel1[[#This Row],[Status]]="Pågår")</f>
        <v>0</v>
      </c>
      <c r="AG982" s="12">
        <f ca="1">[1]!Tabel1[[#This Row],[Vægtet Honorar]]*([1]!Tabel1[[#This Row],[Sidst redigeret]]&gt;TODAY()-40)*([1]!Tabel1[[#This Row],[Status]]="Pågår")</f>
        <v>0</v>
      </c>
      <c r="AH982" s="13"/>
      <c r="AI982" s="12"/>
      <c r="AJ982" s="12"/>
      <c r="AK982" s="12"/>
      <c r="AL982" s="12"/>
      <c r="AM982" s="12"/>
      <c r="AN982" s="12"/>
      <c r="AO982" s="12"/>
      <c r="AP982" s="12"/>
    </row>
    <row r="983" spans="1:42">
      <c r="A983" t="s">
        <v>3516</v>
      </c>
      <c r="B983" s="8"/>
      <c r="C983" s="8" t="s">
        <v>3517</v>
      </c>
      <c r="D983" s="8" t="s">
        <v>720</v>
      </c>
      <c r="E983" s="8" t="s">
        <v>71</v>
      </c>
      <c r="F983" s="8" t="s">
        <v>1833</v>
      </c>
      <c r="G983" s="8" t="s">
        <v>3518</v>
      </c>
      <c r="H983" s="9">
        <v>3000000</v>
      </c>
      <c r="I983" s="9">
        <f>[1]!Tabel1[[#This Row],[Honorar]]*[1]!Tabel1[[#This Row],[Sandsynlighed]]</f>
        <v>75000</v>
      </c>
      <c r="J983" s="10" t="s">
        <v>1287</v>
      </c>
      <c r="K983" s="10" t="s">
        <v>1861</v>
      </c>
      <c r="L983" s="21"/>
      <c r="M983" s="11">
        <v>0.01</v>
      </c>
      <c r="N983" s="1"/>
      <c r="O983" s="10">
        <v>46279.611157407409</v>
      </c>
      <c r="P983" s="10"/>
      <c r="Q983" s="1" t="s">
        <v>72</v>
      </c>
      <c r="R983" s="8" t="s">
        <v>343</v>
      </c>
      <c r="S98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8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8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8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8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8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8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8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8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8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8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8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8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83" s="12">
        <f ca="1">[1]!Tabel1[[#This Row],[Vægtet Honorar]]*([1]!Tabel1[[#This Row],[Sidst redigeret]]&gt;TODAY()-40)*([1]!Tabel1[[#This Row],[Er i resplan?]]&lt;&gt;"Ja")*([1]!Tabel1[[#This Row],[Status]]="Pågår")</f>
        <v>0</v>
      </c>
      <c r="AG983" s="12">
        <f ca="1">[1]!Tabel1[[#This Row],[Vægtet Honorar]]*([1]!Tabel1[[#This Row],[Sidst redigeret]]&gt;TODAY()-40)*([1]!Tabel1[[#This Row],[Status]]="Pågår")</f>
        <v>0</v>
      </c>
      <c r="AH983" s="13"/>
      <c r="AI983" s="12" t="s">
        <v>1170</v>
      </c>
      <c r="AJ983" s="12" t="s">
        <v>3519</v>
      </c>
      <c r="AK983" s="12" t="s">
        <v>1170</v>
      </c>
      <c r="AL983" s="12"/>
      <c r="AM983" s="12"/>
      <c r="AN983" s="12"/>
      <c r="AO983" s="12"/>
      <c r="AP983" s="12"/>
    </row>
    <row r="984" spans="1:42">
      <c r="A984" t="s">
        <v>3520</v>
      </c>
      <c r="B984" s="8"/>
      <c r="C984" s="8" t="s">
        <v>3521</v>
      </c>
      <c r="D984" s="8" t="s">
        <v>720</v>
      </c>
      <c r="E984" s="8" t="s">
        <v>71</v>
      </c>
      <c r="F984" s="8" t="s">
        <v>2165</v>
      </c>
      <c r="G984" s="8" t="s">
        <v>3522</v>
      </c>
      <c r="H984" s="9">
        <v>1500000</v>
      </c>
      <c r="I984" s="9">
        <f>[1]!Tabel1[[#This Row],[Honorar]]*[1]!Tabel1[[#This Row],[Sandsynlighed]]</f>
        <v>200000</v>
      </c>
      <c r="J984" s="10" t="s">
        <v>1287</v>
      </c>
      <c r="K984" s="10" t="s">
        <v>1861</v>
      </c>
      <c r="L984" s="21"/>
      <c r="M984" s="11">
        <v>0.01</v>
      </c>
      <c r="N984" s="1">
        <v>2800</v>
      </c>
      <c r="O984" s="10">
        <v>46279.611157407409</v>
      </c>
      <c r="P984" s="10"/>
      <c r="Q984" s="1" t="s">
        <v>72</v>
      </c>
      <c r="R984" s="8" t="s">
        <v>343</v>
      </c>
      <c r="S98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8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8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8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8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8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8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8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8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8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8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8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8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84" s="12">
        <f ca="1">[1]!Tabel1[[#This Row],[Vægtet Honorar]]*([1]!Tabel1[[#This Row],[Sidst redigeret]]&gt;TODAY()-40)*([1]!Tabel1[[#This Row],[Er i resplan?]]&lt;&gt;"Ja")*([1]!Tabel1[[#This Row],[Status]]="Pågår")</f>
        <v>0</v>
      </c>
      <c r="AG984" s="12">
        <f ca="1">[1]!Tabel1[[#This Row],[Vægtet Honorar]]*([1]!Tabel1[[#This Row],[Sidst redigeret]]&gt;TODAY()-40)*([1]!Tabel1[[#This Row],[Status]]="Pågår")</f>
        <v>0</v>
      </c>
      <c r="AH984" s="13"/>
      <c r="AI984" s="12"/>
      <c r="AJ984" s="12" t="s">
        <v>3523</v>
      </c>
      <c r="AK984" s="12"/>
      <c r="AL984" s="12"/>
      <c r="AM984" s="12"/>
      <c r="AN984" s="12"/>
      <c r="AO984" s="12"/>
      <c r="AP984" s="12"/>
    </row>
    <row r="985" spans="1:42">
      <c r="A985" t="s">
        <v>3524</v>
      </c>
      <c r="B985" s="8"/>
      <c r="C985" s="8" t="s">
        <v>3525</v>
      </c>
      <c r="D985" s="8" t="s">
        <v>720</v>
      </c>
      <c r="E985" s="8" t="s">
        <v>71</v>
      </c>
      <c r="F985" s="8" t="s">
        <v>2165</v>
      </c>
      <c r="G985" s="8" t="s">
        <v>3522</v>
      </c>
      <c r="H985" s="9">
        <v>1500000</v>
      </c>
      <c r="I985" s="9">
        <f>[1]!Tabel1[[#This Row],[Honorar]]*[1]!Tabel1[[#This Row],[Sandsynlighed]]</f>
        <v>25000</v>
      </c>
      <c r="J985" s="10" t="s">
        <v>1287</v>
      </c>
      <c r="K985" s="10" t="s">
        <v>1861</v>
      </c>
      <c r="L985" s="21"/>
      <c r="M985" s="11">
        <v>0.01</v>
      </c>
      <c r="N985" s="1">
        <v>2800</v>
      </c>
      <c r="O985" s="10">
        <v>46279.611157407409</v>
      </c>
      <c r="P985" s="10"/>
      <c r="Q985" s="1" t="s">
        <v>72</v>
      </c>
      <c r="R985" s="8" t="s">
        <v>343</v>
      </c>
      <c r="S98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8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8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8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8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8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8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8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8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8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8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8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8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85" s="12">
        <f ca="1">[1]!Tabel1[[#This Row],[Vægtet Honorar]]*([1]!Tabel1[[#This Row],[Sidst redigeret]]&gt;TODAY()-40)*([1]!Tabel1[[#This Row],[Er i resplan?]]&lt;&gt;"Ja")*([1]!Tabel1[[#This Row],[Status]]="Pågår")</f>
        <v>25000</v>
      </c>
      <c r="AG985" s="12">
        <f ca="1">[1]!Tabel1[[#This Row],[Vægtet Honorar]]*([1]!Tabel1[[#This Row],[Sidst redigeret]]&gt;TODAY()-40)*([1]!Tabel1[[#This Row],[Status]]="Pågår")</f>
        <v>25000</v>
      </c>
      <c r="AH985" s="13"/>
      <c r="AI985" s="12"/>
      <c r="AJ985" s="12" t="s">
        <v>3523</v>
      </c>
      <c r="AK985" s="12"/>
      <c r="AL985" s="12"/>
      <c r="AM985" s="12"/>
      <c r="AN985" s="12"/>
      <c r="AO985" s="12"/>
      <c r="AP985" s="12"/>
    </row>
    <row r="986" spans="1:42" ht="43.5">
      <c r="A986" t="s">
        <v>3526</v>
      </c>
      <c r="B986" s="8"/>
      <c r="C986" s="8" t="s">
        <v>3527</v>
      </c>
      <c r="D986" s="8" t="s">
        <v>134</v>
      </c>
      <c r="E986" s="8" t="s">
        <v>94</v>
      </c>
      <c r="F986" s="8" t="s">
        <v>3528</v>
      </c>
      <c r="G986" s="8" t="s">
        <v>3528</v>
      </c>
      <c r="H986" s="9">
        <v>275000</v>
      </c>
      <c r="I986" s="9">
        <f>[1]!Tabel1[[#This Row],[Honorar]]*[1]!Tabel1[[#This Row],[Sandsynlighed]]</f>
        <v>75000</v>
      </c>
      <c r="J986" s="10" t="s">
        <v>1061</v>
      </c>
      <c r="K986" s="10" t="s">
        <v>1191</v>
      </c>
      <c r="L986" s="21" t="s">
        <v>3529</v>
      </c>
      <c r="M986" s="11">
        <v>1</v>
      </c>
      <c r="N986" s="1" t="s">
        <v>777</v>
      </c>
      <c r="O986" s="10">
        <v>46279.611157407409</v>
      </c>
      <c r="P986" s="1" t="s">
        <v>72</v>
      </c>
      <c r="Q986" s="1" t="s">
        <v>46</v>
      </c>
      <c r="R986" s="8" t="s">
        <v>47</v>
      </c>
      <c r="S98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8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8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8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8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8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8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8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8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8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8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8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8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86" s="12">
        <f ca="1">[1]!Tabel1[[#This Row],[Vægtet Honorar]]*([1]!Tabel1[[#This Row],[Sidst redigeret]]&gt;TODAY()-40)*([1]!Tabel1[[#This Row],[Er i resplan?]]&lt;&gt;"Ja")*([1]!Tabel1[[#This Row],[Status]]="Pågår")</f>
        <v>0</v>
      </c>
      <c r="AG986" s="12">
        <f ca="1">[1]!Tabel1[[#This Row],[Vægtet Honorar]]*([1]!Tabel1[[#This Row],[Sidst redigeret]]&gt;TODAY()-40)*([1]!Tabel1[[#This Row],[Status]]="Pågår")</f>
        <v>0</v>
      </c>
      <c r="AH986" s="13">
        <v>45717</v>
      </c>
      <c r="AI986" s="12"/>
      <c r="AJ986" s="12"/>
      <c r="AK986" s="12"/>
      <c r="AL986" s="12"/>
      <c r="AM986" s="12"/>
      <c r="AN986" s="12"/>
      <c r="AO986" s="12"/>
      <c r="AP986" s="12"/>
    </row>
    <row r="987" spans="1:42" ht="100.5">
      <c r="A987" t="s">
        <v>3530</v>
      </c>
      <c r="B987" s="8"/>
      <c r="C987" s="8" t="s">
        <v>3531</v>
      </c>
      <c r="D987" s="8" t="s">
        <v>707</v>
      </c>
      <c r="E987" s="8" t="s">
        <v>94</v>
      </c>
      <c r="F987" s="8" t="s">
        <v>2948</v>
      </c>
      <c r="G987" s="8" t="s">
        <v>3532</v>
      </c>
      <c r="H987" s="9">
        <v>750000</v>
      </c>
      <c r="I987" s="9">
        <f>[1]!Tabel1[[#This Row],[Honorar]]*[1]!Tabel1[[#This Row],[Sandsynlighed]]</f>
        <v>85000</v>
      </c>
      <c r="J987" s="10" t="s">
        <v>341</v>
      </c>
      <c r="K987" s="10" t="s">
        <v>342</v>
      </c>
      <c r="L987" s="21" t="s">
        <v>3533</v>
      </c>
      <c r="M987" s="11">
        <v>0.5</v>
      </c>
      <c r="N987" s="1" t="s">
        <v>3534</v>
      </c>
      <c r="O987" s="10">
        <v>46279.611157407409</v>
      </c>
      <c r="P987" s="1" t="s">
        <v>72</v>
      </c>
      <c r="Q987" s="1" t="s">
        <v>46</v>
      </c>
      <c r="R987" s="8" t="s">
        <v>49</v>
      </c>
      <c r="S98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8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8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8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8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8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8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8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8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8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8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8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8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87" s="12">
        <f ca="1">[1]!Tabel1[[#This Row],[Vægtet Honorar]]*([1]!Tabel1[[#This Row],[Sidst redigeret]]&gt;TODAY()-40)*([1]!Tabel1[[#This Row],[Er i resplan?]]&lt;&gt;"Ja")*([1]!Tabel1[[#This Row],[Status]]="Pågår")</f>
        <v>0</v>
      </c>
      <c r="AG987" s="12">
        <f ca="1">[1]!Tabel1[[#This Row],[Vægtet Honorar]]*([1]!Tabel1[[#This Row],[Sidst redigeret]]&gt;TODAY()-40)*([1]!Tabel1[[#This Row],[Status]]="Pågår")</f>
        <v>85000</v>
      </c>
      <c r="AH987" s="13"/>
      <c r="AI987" s="12"/>
      <c r="AJ987" s="12"/>
      <c r="AK987" s="12"/>
      <c r="AL987" s="12"/>
      <c r="AM987" s="12"/>
      <c r="AN987" s="12"/>
      <c r="AO987" s="12"/>
      <c r="AP987" s="12"/>
    </row>
    <row r="988" spans="1:42">
      <c r="A988" t="s">
        <v>3535</v>
      </c>
      <c r="B988" s="8"/>
      <c r="C988" s="8" t="s">
        <v>3536</v>
      </c>
      <c r="D988" s="8" t="s">
        <v>2886</v>
      </c>
      <c r="E988" s="8" t="s">
        <v>120</v>
      </c>
      <c r="F988" s="8" t="s">
        <v>3537</v>
      </c>
      <c r="G988" s="8" t="s">
        <v>3538</v>
      </c>
      <c r="H988" s="9">
        <v>1000000</v>
      </c>
      <c r="I988" s="9">
        <f>[1]!Tabel1[[#This Row],[Honorar]]*[1]!Tabel1[[#This Row],[Sandsynlighed]]</f>
        <v>30000</v>
      </c>
      <c r="J988" s="10" t="s">
        <v>1061</v>
      </c>
      <c r="K988" s="10" t="s">
        <v>1062</v>
      </c>
      <c r="L988" s="21"/>
      <c r="M988" s="11">
        <v>0.05</v>
      </c>
      <c r="N988" s="1"/>
      <c r="O988" s="10">
        <v>46279.611157407409</v>
      </c>
      <c r="P988" s="10"/>
      <c r="Q988" s="1" t="s">
        <v>46</v>
      </c>
      <c r="R988" s="8" t="s">
        <v>75</v>
      </c>
      <c r="S98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8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8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8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8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8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8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8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8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8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8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8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8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88" s="12">
        <f ca="1">[1]!Tabel1[[#This Row],[Vægtet Honorar]]*([1]!Tabel1[[#This Row],[Sidst redigeret]]&gt;TODAY()-40)*([1]!Tabel1[[#This Row],[Er i resplan?]]&lt;&gt;"Ja")*([1]!Tabel1[[#This Row],[Status]]="Pågår")</f>
        <v>30000</v>
      </c>
      <c r="AG988" s="12">
        <f ca="1">[1]!Tabel1[[#This Row],[Vægtet Honorar]]*([1]!Tabel1[[#This Row],[Sidst redigeret]]&gt;TODAY()-40)*([1]!Tabel1[[#This Row],[Status]]="Pågår")</f>
        <v>30000</v>
      </c>
      <c r="AH988" s="13"/>
      <c r="AI988" s="12"/>
      <c r="AJ988" s="12" t="s">
        <v>3538</v>
      </c>
      <c r="AK988" s="12" t="s">
        <v>777</v>
      </c>
      <c r="AL988" s="12"/>
      <c r="AM988" s="12"/>
      <c r="AN988" s="12"/>
      <c r="AO988" s="12"/>
      <c r="AP988" s="12"/>
    </row>
    <row r="989" spans="1:42">
      <c r="A989" t="s">
        <v>3539</v>
      </c>
      <c r="B989" s="8"/>
      <c r="C989" s="8" t="s">
        <v>3536</v>
      </c>
      <c r="D989" s="8" t="s">
        <v>2886</v>
      </c>
      <c r="E989" s="8" t="s">
        <v>120</v>
      </c>
      <c r="F989" s="8" t="s">
        <v>3537</v>
      </c>
      <c r="G989" s="8" t="s">
        <v>3538</v>
      </c>
      <c r="H989" s="9">
        <v>1000000</v>
      </c>
      <c r="I989" s="9">
        <f>[1]!Tabel1[[#This Row],[Honorar]]*[1]!Tabel1[[#This Row],[Sandsynlighed]]</f>
        <v>15000</v>
      </c>
      <c r="J989" s="10" t="s">
        <v>1061</v>
      </c>
      <c r="K989" s="10" t="s">
        <v>1062</v>
      </c>
      <c r="L989" s="21"/>
      <c r="M989" s="11">
        <v>0.05</v>
      </c>
      <c r="N989" s="1"/>
      <c r="O989" s="10">
        <v>46279.611157407409</v>
      </c>
      <c r="P989" s="10"/>
      <c r="Q989" s="1" t="s">
        <v>46</v>
      </c>
      <c r="R989" s="8" t="s">
        <v>75</v>
      </c>
      <c r="S98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8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8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8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8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8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8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8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8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8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8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8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8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89" s="12">
        <f ca="1">[1]!Tabel1[[#This Row],[Vægtet Honorar]]*([1]!Tabel1[[#This Row],[Sidst redigeret]]&gt;TODAY()-40)*([1]!Tabel1[[#This Row],[Er i resplan?]]&lt;&gt;"Ja")*([1]!Tabel1[[#This Row],[Status]]="Pågår")</f>
        <v>15000</v>
      </c>
      <c r="AG989" s="12">
        <f ca="1">[1]!Tabel1[[#This Row],[Vægtet Honorar]]*([1]!Tabel1[[#This Row],[Sidst redigeret]]&gt;TODAY()-40)*([1]!Tabel1[[#This Row],[Status]]="Pågår")</f>
        <v>15000</v>
      </c>
      <c r="AH989" s="13"/>
      <c r="AI989" s="12"/>
      <c r="AJ989" s="12" t="s">
        <v>3538</v>
      </c>
      <c r="AK989" s="12" t="s">
        <v>777</v>
      </c>
      <c r="AL989" s="12"/>
      <c r="AM989" s="12"/>
      <c r="AN989" s="12"/>
      <c r="AO989" s="12"/>
      <c r="AP989" s="12"/>
    </row>
    <row r="990" spans="1:42" ht="100.5">
      <c r="A990" t="s">
        <v>3540</v>
      </c>
      <c r="B990" s="8"/>
      <c r="C990" s="8" t="s">
        <v>3541</v>
      </c>
      <c r="D990" s="8" t="s">
        <v>707</v>
      </c>
      <c r="E990" s="8" t="s">
        <v>94</v>
      </c>
      <c r="F990" s="8" t="s">
        <v>2948</v>
      </c>
      <c r="G990" s="8" t="s">
        <v>3542</v>
      </c>
      <c r="H990" s="9">
        <v>65000</v>
      </c>
      <c r="I990" s="9">
        <f>[1]!Tabel1[[#This Row],[Honorar]]*[1]!Tabel1[[#This Row],[Sandsynlighed]]</f>
        <v>15000</v>
      </c>
      <c r="J990" s="10" t="s">
        <v>341</v>
      </c>
      <c r="K990" s="10" t="s">
        <v>341</v>
      </c>
      <c r="L990" s="21" t="s">
        <v>3543</v>
      </c>
      <c r="M990" s="11">
        <v>0.15</v>
      </c>
      <c r="N990" s="1">
        <v>300</v>
      </c>
      <c r="O990" s="10">
        <v>46279.611157407409</v>
      </c>
      <c r="P990" s="1" t="s">
        <v>72</v>
      </c>
      <c r="Q990" s="1" t="s">
        <v>72</v>
      </c>
      <c r="R990" s="8" t="s">
        <v>49</v>
      </c>
      <c r="S99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9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9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9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9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9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9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9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9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9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9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9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9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90" s="12">
        <f ca="1">[1]!Tabel1[[#This Row],[Vægtet Honorar]]*([1]!Tabel1[[#This Row],[Sidst redigeret]]&gt;TODAY()-40)*([1]!Tabel1[[#This Row],[Er i resplan?]]&lt;&gt;"Ja")*([1]!Tabel1[[#This Row],[Status]]="Pågår")</f>
        <v>15000</v>
      </c>
      <c r="AG990" s="12">
        <f ca="1">[1]!Tabel1[[#This Row],[Vægtet Honorar]]*([1]!Tabel1[[#This Row],[Sidst redigeret]]&gt;TODAY()-40)*([1]!Tabel1[[#This Row],[Status]]="Pågår")</f>
        <v>15000</v>
      </c>
      <c r="AH990" s="13"/>
      <c r="AI990" s="12"/>
      <c r="AJ990" s="12"/>
      <c r="AK990" s="12"/>
      <c r="AL990" s="12"/>
      <c r="AM990" s="12"/>
      <c r="AN990" s="12"/>
      <c r="AO990" s="12"/>
      <c r="AP990" s="12"/>
    </row>
    <row r="991" spans="1:42" ht="43.5">
      <c r="A991" t="s">
        <v>3544</v>
      </c>
      <c r="B991" s="8"/>
      <c r="C991" s="8" t="s">
        <v>3545</v>
      </c>
      <c r="D991" s="8" t="s">
        <v>1623</v>
      </c>
      <c r="E991" s="8" t="s">
        <v>102</v>
      </c>
      <c r="F991" s="8" t="s">
        <v>3545</v>
      </c>
      <c r="G991" s="8" t="s">
        <v>3545</v>
      </c>
      <c r="H991" s="9">
        <v>86000</v>
      </c>
      <c r="I991" s="9">
        <f>[1]!Tabel1[[#This Row],[Honorar]]*[1]!Tabel1[[#This Row],[Sandsynlighed]]</f>
        <v>275000</v>
      </c>
      <c r="J991" s="10" t="s">
        <v>612</v>
      </c>
      <c r="K991" s="10" t="s">
        <v>1062</v>
      </c>
      <c r="L991" s="21" t="s">
        <v>3546</v>
      </c>
      <c r="M991" s="11">
        <v>0.25</v>
      </c>
      <c r="N991" s="1">
        <v>300</v>
      </c>
      <c r="O991" s="10">
        <v>46279.611157407409</v>
      </c>
      <c r="P991" s="10"/>
      <c r="Q991" s="1" t="s">
        <v>72</v>
      </c>
      <c r="R991" s="8" t="s">
        <v>343</v>
      </c>
      <c r="S99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9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9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9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9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9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9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9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9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9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9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9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9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91" s="12">
        <f ca="1">[1]!Tabel1[[#This Row],[Vægtet Honorar]]*([1]!Tabel1[[#This Row],[Sidst redigeret]]&gt;TODAY()-40)*([1]!Tabel1[[#This Row],[Er i resplan?]]&lt;&gt;"Ja")*([1]!Tabel1[[#This Row],[Status]]="Pågår")</f>
        <v>0</v>
      </c>
      <c r="AG991" s="12">
        <f ca="1">[1]!Tabel1[[#This Row],[Vægtet Honorar]]*([1]!Tabel1[[#This Row],[Sidst redigeret]]&gt;TODAY()-40)*([1]!Tabel1[[#This Row],[Status]]="Pågår")</f>
        <v>0</v>
      </c>
      <c r="AH991" s="13"/>
      <c r="AI991" s="12"/>
      <c r="AJ991" s="12"/>
      <c r="AK991" s="12"/>
      <c r="AL991" s="12"/>
      <c r="AM991" s="12"/>
      <c r="AN991" s="12"/>
      <c r="AO991" s="12"/>
      <c r="AP991" s="12"/>
    </row>
    <row r="992" spans="1:42">
      <c r="A992" t="s">
        <v>3547</v>
      </c>
      <c r="B992" s="8"/>
      <c r="C992" s="8" t="s">
        <v>3548</v>
      </c>
      <c r="D992" s="8" t="s">
        <v>2886</v>
      </c>
      <c r="E992" s="8" t="s">
        <v>120</v>
      </c>
      <c r="F992" s="8" t="s">
        <v>3549</v>
      </c>
      <c r="G992" s="8" t="s">
        <v>3550</v>
      </c>
      <c r="H992" s="9">
        <v>4000000</v>
      </c>
      <c r="I992" s="9">
        <f>[1]!Tabel1[[#This Row],[Honorar]]*[1]!Tabel1[[#This Row],[Sandsynlighed]]</f>
        <v>375000</v>
      </c>
      <c r="J992" s="10" t="s">
        <v>329</v>
      </c>
      <c r="K992" s="10" t="s">
        <v>1323</v>
      </c>
      <c r="L992" s="21"/>
      <c r="M992" s="11">
        <v>0.05</v>
      </c>
      <c r="N992" s="1"/>
      <c r="O992" s="10">
        <v>46279.611157407409</v>
      </c>
      <c r="P992" s="10"/>
      <c r="Q992" s="1" t="s">
        <v>72</v>
      </c>
      <c r="R992" s="8" t="s">
        <v>343</v>
      </c>
      <c r="S99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9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9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9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9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9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9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9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9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9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9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9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9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92" s="12">
        <f ca="1">[1]!Tabel1[[#This Row],[Vægtet Honorar]]*([1]!Tabel1[[#This Row],[Sidst redigeret]]&gt;TODAY()-40)*([1]!Tabel1[[#This Row],[Er i resplan?]]&lt;&gt;"Ja")*([1]!Tabel1[[#This Row],[Status]]="Pågår")</f>
        <v>0</v>
      </c>
      <c r="AG992" s="12">
        <f ca="1">[1]!Tabel1[[#This Row],[Vægtet Honorar]]*([1]!Tabel1[[#This Row],[Sidst redigeret]]&gt;TODAY()-40)*([1]!Tabel1[[#This Row],[Status]]="Pågår")</f>
        <v>0</v>
      </c>
      <c r="AH992" s="13"/>
      <c r="AI992" s="12"/>
      <c r="AJ992" s="12" t="s">
        <v>3551</v>
      </c>
      <c r="AK992" s="12" t="s">
        <v>777</v>
      </c>
      <c r="AL992" s="12"/>
      <c r="AM992" s="12"/>
      <c r="AN992" s="12" t="s">
        <v>3552</v>
      </c>
      <c r="AO992" s="12"/>
      <c r="AP992" s="12"/>
    </row>
    <row r="993" spans="1:42">
      <c r="A993" t="s">
        <v>3553</v>
      </c>
      <c r="B993" s="8"/>
      <c r="C993" s="8" t="s">
        <v>3554</v>
      </c>
      <c r="D993" s="8" t="s">
        <v>2722</v>
      </c>
      <c r="E993" s="8" t="s">
        <v>71</v>
      </c>
      <c r="F993" s="8" t="s">
        <v>940</v>
      </c>
      <c r="G993" s="8" t="s">
        <v>940</v>
      </c>
      <c r="H993" s="9">
        <v>50000</v>
      </c>
      <c r="I993" s="9">
        <f>[1]!Tabel1[[#This Row],[Honorar]]*[1]!Tabel1[[#This Row],[Sandsynlighed]]</f>
        <v>50000</v>
      </c>
      <c r="J993" s="10" t="s">
        <v>612</v>
      </c>
      <c r="K993" s="10" t="s">
        <v>1061</v>
      </c>
      <c r="L993" s="21"/>
      <c r="M993" s="11">
        <v>0.95</v>
      </c>
      <c r="N993" s="1"/>
      <c r="O993" s="10">
        <v>46279.611157407409</v>
      </c>
      <c r="P993" s="10"/>
      <c r="Q993" s="1" t="s">
        <v>46</v>
      </c>
      <c r="R993" s="8" t="s">
        <v>47</v>
      </c>
      <c r="S99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9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9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9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9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9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9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9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9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9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9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9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9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93" s="12">
        <f ca="1">[1]!Tabel1[[#This Row],[Vægtet Honorar]]*([1]!Tabel1[[#This Row],[Sidst redigeret]]&gt;TODAY()-40)*([1]!Tabel1[[#This Row],[Er i resplan?]]&lt;&gt;"Ja")*([1]!Tabel1[[#This Row],[Status]]="Pågår")</f>
        <v>0</v>
      </c>
      <c r="AG993" s="12">
        <f ca="1">[1]!Tabel1[[#This Row],[Vægtet Honorar]]*([1]!Tabel1[[#This Row],[Sidst redigeret]]&gt;TODAY()-40)*([1]!Tabel1[[#This Row],[Status]]="Pågår")</f>
        <v>0</v>
      </c>
      <c r="AH993" s="13"/>
      <c r="AI993" s="12"/>
      <c r="AJ993" s="12"/>
      <c r="AK993" s="12"/>
      <c r="AL993" s="12"/>
      <c r="AM993" s="12"/>
      <c r="AN993" s="12"/>
      <c r="AO993" s="12"/>
      <c r="AP993" s="12"/>
    </row>
    <row r="994" spans="1:42">
      <c r="A994" t="s">
        <v>3555</v>
      </c>
      <c r="B994" s="8"/>
      <c r="C994" s="8" t="s">
        <v>3556</v>
      </c>
      <c r="D994" s="8" t="s">
        <v>57</v>
      </c>
      <c r="E994" s="8" t="s">
        <v>94</v>
      </c>
      <c r="F994" s="8" t="s">
        <v>3556</v>
      </c>
      <c r="G994" s="8" t="s">
        <v>3557</v>
      </c>
      <c r="H994" s="9">
        <v>2500000</v>
      </c>
      <c r="I994" s="9">
        <f>[1]!Tabel1[[#This Row],[Honorar]]*[1]!Tabel1[[#This Row],[Sandsynlighed]]</f>
        <v>50000</v>
      </c>
      <c r="J994" s="10" t="s">
        <v>1191</v>
      </c>
      <c r="K994" s="10" t="s">
        <v>2039</v>
      </c>
      <c r="L994" s="21"/>
      <c r="M994" s="11">
        <v>0.01</v>
      </c>
      <c r="N994" s="1"/>
      <c r="O994" s="10">
        <v>46279.611157407409</v>
      </c>
      <c r="P994" s="1" t="s">
        <v>72</v>
      </c>
      <c r="Q994" s="1" t="s">
        <v>72</v>
      </c>
      <c r="R994" s="8" t="s">
        <v>49</v>
      </c>
      <c r="S99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9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9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9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9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9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9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9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9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9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9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9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9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94" s="12">
        <f ca="1">[1]!Tabel1[[#This Row],[Vægtet Honorar]]*([1]!Tabel1[[#This Row],[Sidst redigeret]]&gt;TODAY()-40)*([1]!Tabel1[[#This Row],[Er i resplan?]]&lt;&gt;"Ja")*([1]!Tabel1[[#This Row],[Status]]="Pågår")</f>
        <v>0</v>
      </c>
      <c r="AG994" s="12">
        <f ca="1">[1]!Tabel1[[#This Row],[Vægtet Honorar]]*([1]!Tabel1[[#This Row],[Sidst redigeret]]&gt;TODAY()-40)*([1]!Tabel1[[#This Row],[Status]]="Pågår")</f>
        <v>0</v>
      </c>
      <c r="AH994" s="13"/>
      <c r="AI994" s="12"/>
      <c r="AJ994" s="12" t="s">
        <v>213</v>
      </c>
      <c r="AK994" s="12" t="s">
        <v>3558</v>
      </c>
      <c r="AL994" s="12"/>
      <c r="AM994" s="12"/>
      <c r="AN994" s="12"/>
      <c r="AO994" s="12"/>
      <c r="AP994" s="12"/>
    </row>
    <row r="995" spans="1:42">
      <c r="A995" t="s">
        <v>3559</v>
      </c>
      <c r="B995" s="8"/>
      <c r="C995" s="8" t="s">
        <v>3560</v>
      </c>
      <c r="D995" s="8" t="s">
        <v>2886</v>
      </c>
      <c r="E995" s="8" t="s">
        <v>120</v>
      </c>
      <c r="F995" s="8" t="s">
        <v>3561</v>
      </c>
      <c r="G995" s="8" t="s">
        <v>3257</v>
      </c>
      <c r="H995" s="9">
        <v>7000000</v>
      </c>
      <c r="I995" s="9">
        <f>[1]!Tabel1[[#This Row],[Honorar]]*[1]!Tabel1[[#This Row],[Sandsynlighed]]</f>
        <v>9750</v>
      </c>
      <c r="J995" s="10" t="s">
        <v>1191</v>
      </c>
      <c r="K995" s="10" t="s">
        <v>898</v>
      </c>
      <c r="L995" s="21"/>
      <c r="M995" s="11">
        <v>0.05</v>
      </c>
      <c r="N995" s="1"/>
      <c r="O995" s="10">
        <v>46279.611157407409</v>
      </c>
      <c r="P995" s="10"/>
      <c r="Q995" s="1" t="s">
        <v>72</v>
      </c>
      <c r="R995" s="8" t="s">
        <v>343</v>
      </c>
      <c r="S99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9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9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9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9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9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9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9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9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9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9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9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9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95" s="12">
        <f ca="1">[1]!Tabel1[[#This Row],[Vægtet Honorar]]*([1]!Tabel1[[#This Row],[Sidst redigeret]]&gt;TODAY()-40)*([1]!Tabel1[[#This Row],[Er i resplan?]]&lt;&gt;"Ja")*([1]!Tabel1[[#This Row],[Status]]="Pågår")</f>
        <v>0</v>
      </c>
      <c r="AG995" s="12">
        <f ca="1">[1]!Tabel1[[#This Row],[Vægtet Honorar]]*([1]!Tabel1[[#This Row],[Sidst redigeret]]&gt;TODAY()-40)*([1]!Tabel1[[#This Row],[Status]]="Pågår")</f>
        <v>0</v>
      </c>
      <c r="AH995" s="13"/>
      <c r="AI995" s="12"/>
      <c r="AJ995" s="12" t="s">
        <v>1109</v>
      </c>
      <c r="AK995" s="12" t="s">
        <v>3257</v>
      </c>
      <c r="AL995" s="12"/>
      <c r="AM995" s="12"/>
      <c r="AN995" s="12"/>
      <c r="AO995" s="12"/>
      <c r="AP995" s="12"/>
    </row>
    <row r="996" spans="1:42">
      <c r="A996" t="s">
        <v>3562</v>
      </c>
      <c r="B996" s="8"/>
      <c r="C996" s="8" t="s">
        <v>3563</v>
      </c>
      <c r="D996" s="8" t="s">
        <v>57</v>
      </c>
      <c r="E996" s="8" t="s">
        <v>94</v>
      </c>
      <c r="F996" s="8" t="s">
        <v>3564</v>
      </c>
      <c r="G996" s="8" t="s">
        <v>3564</v>
      </c>
      <c r="H996" s="9">
        <v>2400000</v>
      </c>
      <c r="I996" s="9">
        <f>[1]!Tabel1[[#This Row],[Honorar]]*[1]!Tabel1[[#This Row],[Sandsynlighed]]</f>
        <v>21500</v>
      </c>
      <c r="J996" s="10" t="s">
        <v>1191</v>
      </c>
      <c r="K996" s="10" t="s">
        <v>898</v>
      </c>
      <c r="L996" s="21"/>
      <c r="M996" s="11">
        <v>0.01</v>
      </c>
      <c r="N996" s="1" t="s">
        <v>3565</v>
      </c>
      <c r="O996" s="10">
        <v>46279.611157407409</v>
      </c>
      <c r="P996" s="1" t="s">
        <v>72</v>
      </c>
      <c r="Q996" s="1" t="s">
        <v>72</v>
      </c>
      <c r="R996" s="8" t="s">
        <v>49</v>
      </c>
      <c r="S99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9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9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9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9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9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9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9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9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9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9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9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9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96" s="12">
        <f ca="1">[1]!Tabel1[[#This Row],[Vægtet Honorar]]*([1]!Tabel1[[#This Row],[Sidst redigeret]]&gt;TODAY()-40)*([1]!Tabel1[[#This Row],[Er i resplan?]]&lt;&gt;"Ja")*([1]!Tabel1[[#This Row],[Status]]="Pågår")</f>
        <v>21500</v>
      </c>
      <c r="AG996" s="12">
        <f ca="1">[1]!Tabel1[[#This Row],[Vægtet Honorar]]*([1]!Tabel1[[#This Row],[Sidst redigeret]]&gt;TODAY()-40)*([1]!Tabel1[[#This Row],[Status]]="Pågår")</f>
        <v>21500</v>
      </c>
      <c r="AH996" s="13"/>
      <c r="AI996" s="12"/>
      <c r="AJ996" s="12" t="s">
        <v>2775</v>
      </c>
      <c r="AK996" s="12"/>
      <c r="AL996" s="12"/>
      <c r="AM996" s="12"/>
      <c r="AN996" s="12"/>
      <c r="AO996" s="12"/>
      <c r="AP996" s="12"/>
    </row>
    <row r="997" spans="1:42">
      <c r="A997" t="s">
        <v>3566</v>
      </c>
      <c r="B997" s="8"/>
      <c r="C997" s="8" t="s">
        <v>3567</v>
      </c>
      <c r="D997" s="8" t="s">
        <v>720</v>
      </c>
      <c r="E997" s="8" t="s">
        <v>71</v>
      </c>
      <c r="F997" s="8" t="s">
        <v>3567</v>
      </c>
      <c r="G997" s="8" t="s">
        <v>2135</v>
      </c>
      <c r="H997" s="9">
        <v>600000</v>
      </c>
      <c r="I997" s="9">
        <f>[1]!Tabel1[[#This Row],[Honorar]]*[1]!Tabel1[[#This Row],[Sandsynlighed]]</f>
        <v>200000</v>
      </c>
      <c r="J997" s="10" t="s">
        <v>612</v>
      </c>
      <c r="K997" s="10" t="s">
        <v>1310</v>
      </c>
      <c r="L997" s="21"/>
      <c r="M997" s="11">
        <v>1</v>
      </c>
      <c r="N997" s="1">
        <v>300</v>
      </c>
      <c r="O997" s="10">
        <v>46279.611157407409</v>
      </c>
      <c r="P997" s="10"/>
      <c r="Q997" s="1" t="s">
        <v>46</v>
      </c>
      <c r="R997" s="8" t="s">
        <v>47</v>
      </c>
      <c r="S99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9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9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9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9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9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9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9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9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9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9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9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9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97" s="12">
        <f ca="1">[1]!Tabel1[[#This Row],[Vægtet Honorar]]*([1]!Tabel1[[#This Row],[Sidst redigeret]]&gt;TODAY()-40)*([1]!Tabel1[[#This Row],[Er i resplan?]]&lt;&gt;"Ja")*([1]!Tabel1[[#This Row],[Status]]="Pågår")</f>
        <v>200000</v>
      </c>
      <c r="AG997" s="12">
        <f ca="1">[1]!Tabel1[[#This Row],[Vægtet Honorar]]*([1]!Tabel1[[#This Row],[Sidst redigeret]]&gt;TODAY()-40)*([1]!Tabel1[[#This Row],[Status]]="Pågår")</f>
        <v>200000</v>
      </c>
      <c r="AH997" s="13"/>
      <c r="AI997" s="12"/>
      <c r="AJ997" s="12"/>
      <c r="AK997" s="12"/>
      <c r="AL997" s="12"/>
      <c r="AM997" s="12"/>
      <c r="AN997" s="12"/>
      <c r="AO997" s="12"/>
      <c r="AP997" s="12"/>
    </row>
    <row r="998" spans="1:42">
      <c r="A998" t="s">
        <v>3568</v>
      </c>
      <c r="B998" s="8"/>
      <c r="C998" s="8" t="s">
        <v>3569</v>
      </c>
      <c r="D998" s="8" t="s">
        <v>200</v>
      </c>
      <c r="E998" s="8" t="s">
        <v>120</v>
      </c>
      <c r="F998" s="8"/>
      <c r="G998" s="8" t="s">
        <v>3570</v>
      </c>
      <c r="H998" s="9">
        <v>225000</v>
      </c>
      <c r="I998" s="9">
        <f>[1]!Tabel1[[#This Row],[Honorar]]*[1]!Tabel1[[#This Row],[Sandsynlighed]]</f>
        <v>47500</v>
      </c>
      <c r="J998" s="10" t="s">
        <v>612</v>
      </c>
      <c r="K998" s="10" t="s">
        <v>1191</v>
      </c>
      <c r="L998" s="21"/>
      <c r="M998" s="11">
        <v>0.95</v>
      </c>
      <c r="N998" s="1">
        <v>300</v>
      </c>
      <c r="O998" s="10">
        <v>46279.611157407409</v>
      </c>
      <c r="P998" s="10"/>
      <c r="Q998" s="1" t="s">
        <v>46</v>
      </c>
      <c r="R998" s="8" t="s">
        <v>47</v>
      </c>
      <c r="S99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9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9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9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9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9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9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9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9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9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9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9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9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98" s="12">
        <f ca="1">[1]!Tabel1[[#This Row],[Vægtet Honorar]]*([1]!Tabel1[[#This Row],[Sidst redigeret]]&gt;TODAY()-40)*([1]!Tabel1[[#This Row],[Er i resplan?]]&lt;&gt;"Ja")*([1]!Tabel1[[#This Row],[Status]]="Pågår")</f>
        <v>0</v>
      </c>
      <c r="AG998" s="12">
        <f ca="1">[1]!Tabel1[[#This Row],[Vægtet Honorar]]*([1]!Tabel1[[#This Row],[Sidst redigeret]]&gt;TODAY()-40)*([1]!Tabel1[[#This Row],[Status]]="Pågår")</f>
        <v>0</v>
      </c>
      <c r="AH998" s="13"/>
      <c r="AI998" s="12"/>
      <c r="AJ998" s="12"/>
      <c r="AK998" s="12"/>
      <c r="AL998" s="12"/>
      <c r="AM998" s="12"/>
      <c r="AN998" s="12"/>
      <c r="AO998" s="12"/>
      <c r="AP998" s="12"/>
    </row>
    <row r="999" spans="1:42">
      <c r="A999" t="s">
        <v>3571</v>
      </c>
      <c r="B999" s="8"/>
      <c r="C999" s="8" t="s">
        <v>3572</v>
      </c>
      <c r="D999" s="8" t="s">
        <v>70</v>
      </c>
      <c r="E999" s="8" t="s">
        <v>102</v>
      </c>
      <c r="F999" s="8" t="s">
        <v>1538</v>
      </c>
      <c r="G999" s="8" t="s">
        <v>3573</v>
      </c>
      <c r="H999" s="9">
        <v>250000</v>
      </c>
      <c r="I999" s="9">
        <f>[1]!Tabel1[[#This Row],[Honorar]]*[1]!Tabel1[[#This Row],[Sandsynlighed]]</f>
        <v>25000</v>
      </c>
      <c r="J999" s="10" t="s">
        <v>612</v>
      </c>
      <c r="K999" s="10" t="s">
        <v>1287</v>
      </c>
      <c r="L999" s="21"/>
      <c r="M999" s="11">
        <v>0.25</v>
      </c>
      <c r="N999" s="1">
        <v>500</v>
      </c>
      <c r="O999" s="10">
        <v>46279.611157407409</v>
      </c>
      <c r="P999" s="10"/>
      <c r="Q999" s="1" t="s">
        <v>72</v>
      </c>
      <c r="R999" s="8" t="s">
        <v>49</v>
      </c>
      <c r="S99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99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99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99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99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99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99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99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99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99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99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99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99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999" s="12">
        <f ca="1">[1]!Tabel1[[#This Row],[Vægtet Honorar]]*([1]!Tabel1[[#This Row],[Sidst redigeret]]&gt;TODAY()-40)*([1]!Tabel1[[#This Row],[Er i resplan?]]&lt;&gt;"Ja")*([1]!Tabel1[[#This Row],[Status]]="Pågår")</f>
        <v>0</v>
      </c>
      <c r="AG999" s="12">
        <f ca="1">[1]!Tabel1[[#This Row],[Vægtet Honorar]]*([1]!Tabel1[[#This Row],[Sidst redigeret]]&gt;TODAY()-40)*([1]!Tabel1[[#This Row],[Status]]="Pågår")</f>
        <v>0</v>
      </c>
      <c r="AH999" s="13"/>
      <c r="AI999" s="12" t="s">
        <v>3574</v>
      </c>
      <c r="AJ999" s="12"/>
      <c r="AK999" s="12"/>
      <c r="AL999" s="12" t="s">
        <v>601</v>
      </c>
      <c r="AM999" s="12"/>
      <c r="AN999" s="12" t="s">
        <v>3575</v>
      </c>
      <c r="AO999" s="12"/>
      <c r="AP999" s="12"/>
    </row>
    <row r="1000" spans="1:42" ht="29.25">
      <c r="A1000" t="s">
        <v>3576</v>
      </c>
      <c r="B1000" s="8"/>
      <c r="C1000" s="8" t="s">
        <v>3577</v>
      </c>
      <c r="D1000" s="8" t="s">
        <v>1886</v>
      </c>
      <c r="E1000" s="8" t="s">
        <v>94</v>
      </c>
      <c r="F1000" s="8" t="s">
        <v>3578</v>
      </c>
      <c r="G1000" s="8" t="s">
        <v>3578</v>
      </c>
      <c r="H1000" s="9">
        <v>50000</v>
      </c>
      <c r="I1000" s="9">
        <f>[1]!Tabel1[[#This Row],[Honorar]]*[1]!Tabel1[[#This Row],[Sandsynlighed]]</f>
        <v>350000</v>
      </c>
      <c r="J1000" s="10" t="s">
        <v>452</v>
      </c>
      <c r="K1000" s="10" t="s">
        <v>452</v>
      </c>
      <c r="L1000" s="21" t="s">
        <v>3579</v>
      </c>
      <c r="M1000" s="11">
        <v>0.25</v>
      </c>
      <c r="N1000" s="1">
        <v>60</v>
      </c>
      <c r="O1000" s="10">
        <v>46279.611157407409</v>
      </c>
      <c r="P1000" s="1" t="s">
        <v>72</v>
      </c>
      <c r="Q1000" s="1" t="s">
        <v>72</v>
      </c>
      <c r="R1000" s="8" t="s">
        <v>75</v>
      </c>
      <c r="S100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0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0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0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0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0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0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0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0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0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0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0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0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00" s="12">
        <f ca="1">[1]!Tabel1[[#This Row],[Vægtet Honorar]]*([1]!Tabel1[[#This Row],[Sidst redigeret]]&gt;TODAY()-40)*([1]!Tabel1[[#This Row],[Er i resplan?]]&lt;&gt;"Ja")*([1]!Tabel1[[#This Row],[Status]]="Pågår")</f>
        <v>350000</v>
      </c>
      <c r="AG1000" s="12">
        <f ca="1">[1]!Tabel1[[#This Row],[Vægtet Honorar]]*([1]!Tabel1[[#This Row],[Sidst redigeret]]&gt;TODAY()-40)*([1]!Tabel1[[#This Row],[Status]]="Pågår")</f>
        <v>350000</v>
      </c>
      <c r="AH1000" s="13"/>
      <c r="AI1000" s="12"/>
      <c r="AJ1000" s="12"/>
      <c r="AK1000" s="12"/>
      <c r="AL1000" s="12"/>
      <c r="AM1000" s="12"/>
      <c r="AN1000" s="12"/>
      <c r="AO1000" s="12"/>
      <c r="AP1000" s="12"/>
    </row>
    <row r="1001" spans="1:42" ht="29.25">
      <c r="A1001" t="s">
        <v>3580</v>
      </c>
      <c r="B1001" s="8"/>
      <c r="C1001" s="8" t="s">
        <v>3581</v>
      </c>
      <c r="D1001" s="8" t="s">
        <v>1886</v>
      </c>
      <c r="E1001" s="8" t="s">
        <v>94</v>
      </c>
      <c r="F1001" s="8" t="s">
        <v>2527</v>
      </c>
      <c r="G1001" s="8" t="s">
        <v>1970</v>
      </c>
      <c r="H1001" s="9">
        <v>12000</v>
      </c>
      <c r="I1001" s="9">
        <f>[1]!Tabel1[[#This Row],[Honorar]]*[1]!Tabel1[[#This Row],[Sandsynlighed]]</f>
        <v>24000</v>
      </c>
      <c r="J1001" s="10" t="s">
        <v>1088</v>
      </c>
      <c r="K1001" s="10" t="s">
        <v>2974</v>
      </c>
      <c r="L1001" s="21" t="s">
        <v>3579</v>
      </c>
      <c r="M1001" s="11">
        <v>0.8</v>
      </c>
      <c r="N1001" s="1">
        <v>50</v>
      </c>
      <c r="O1001" s="10">
        <v>46279.611157407409</v>
      </c>
      <c r="P1001" s="1" t="s">
        <v>46</v>
      </c>
      <c r="Q1001" s="1" t="s">
        <v>72</v>
      </c>
      <c r="R1001" s="8" t="s">
        <v>49</v>
      </c>
      <c r="S100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0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0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0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0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0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0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0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0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0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0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0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0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01" s="12">
        <f ca="1">[1]!Tabel1[[#This Row],[Vægtet Honorar]]*([1]!Tabel1[[#This Row],[Sidst redigeret]]&gt;TODAY()-40)*([1]!Tabel1[[#This Row],[Er i resplan?]]&lt;&gt;"Ja")*([1]!Tabel1[[#This Row],[Status]]="Pågår")</f>
        <v>0</v>
      </c>
      <c r="AG1001" s="12">
        <f ca="1">[1]!Tabel1[[#This Row],[Vægtet Honorar]]*([1]!Tabel1[[#This Row],[Sidst redigeret]]&gt;TODAY()-40)*([1]!Tabel1[[#This Row],[Status]]="Pågår")</f>
        <v>0</v>
      </c>
      <c r="AH1001" s="13"/>
      <c r="AI1001" s="12"/>
      <c r="AJ1001" s="12"/>
      <c r="AK1001" s="12"/>
      <c r="AL1001" s="12"/>
      <c r="AM1001" s="12"/>
      <c r="AN1001" s="12"/>
      <c r="AO1001" s="12"/>
      <c r="AP1001" s="12"/>
    </row>
    <row r="1002" spans="1:42">
      <c r="A1002" t="s">
        <v>3582</v>
      </c>
      <c r="B1002" s="8"/>
      <c r="C1002" s="8" t="s">
        <v>3583</v>
      </c>
      <c r="D1002" s="8" t="s">
        <v>3101</v>
      </c>
      <c r="E1002" s="8" t="s">
        <v>71</v>
      </c>
      <c r="F1002" s="8" t="s">
        <v>3102</v>
      </c>
      <c r="G1002" s="8" t="s">
        <v>3102</v>
      </c>
      <c r="H1002" s="9">
        <v>1000000</v>
      </c>
      <c r="I1002" s="9">
        <f>[1]!Tabel1[[#This Row],[Honorar]]*[1]!Tabel1[[#This Row],[Sandsynlighed]]</f>
        <v>600000</v>
      </c>
      <c r="J1002" s="10" t="s">
        <v>1287</v>
      </c>
      <c r="K1002" s="10" t="s">
        <v>1430</v>
      </c>
      <c r="L1002" s="21"/>
      <c r="M1002" s="11">
        <v>1</v>
      </c>
      <c r="N1002" s="1" t="s">
        <v>972</v>
      </c>
      <c r="O1002" s="10">
        <v>46279.611157407409</v>
      </c>
      <c r="P1002" s="10"/>
      <c r="Q1002" s="1" t="s">
        <v>46</v>
      </c>
      <c r="R1002" s="8" t="s">
        <v>47</v>
      </c>
      <c r="S100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0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0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0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0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0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0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0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0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0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0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0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0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02" s="12">
        <f ca="1">[1]!Tabel1[[#This Row],[Vægtet Honorar]]*([1]!Tabel1[[#This Row],[Sidst redigeret]]&gt;TODAY()-40)*([1]!Tabel1[[#This Row],[Er i resplan?]]&lt;&gt;"Ja")*([1]!Tabel1[[#This Row],[Status]]="Pågår")</f>
        <v>0</v>
      </c>
      <c r="AG1002" s="12">
        <f ca="1">[1]!Tabel1[[#This Row],[Vægtet Honorar]]*([1]!Tabel1[[#This Row],[Sidst redigeret]]&gt;TODAY()-40)*([1]!Tabel1[[#This Row],[Status]]="Pågår")</f>
        <v>0</v>
      </c>
      <c r="AH1002" s="13">
        <v>46078.553819444445</v>
      </c>
      <c r="AI1002" s="12"/>
      <c r="AJ1002" s="12"/>
      <c r="AK1002" s="12"/>
      <c r="AL1002" s="12"/>
      <c r="AM1002" s="12"/>
      <c r="AN1002" s="12"/>
      <c r="AO1002" s="12"/>
      <c r="AP1002" s="12"/>
    </row>
    <row r="1003" spans="1:42" ht="72">
      <c r="A1003" t="s">
        <v>3584</v>
      </c>
      <c r="B1003" s="8">
        <v>250064</v>
      </c>
      <c r="C1003" s="8" t="s">
        <v>3585</v>
      </c>
      <c r="D1003" s="8" t="s">
        <v>134</v>
      </c>
      <c r="E1003" s="8" t="s">
        <v>94</v>
      </c>
      <c r="F1003" s="8" t="s">
        <v>3283</v>
      </c>
      <c r="G1003" s="8" t="s">
        <v>1693</v>
      </c>
      <c r="H1003" s="9">
        <v>25000</v>
      </c>
      <c r="I1003" s="9">
        <f>[1]!Tabel1[[#This Row],[Honorar]]*[1]!Tabel1[[#This Row],[Sandsynlighed]]</f>
        <v>213750</v>
      </c>
      <c r="J1003" s="10" t="s">
        <v>612</v>
      </c>
      <c r="K1003" s="10" t="s">
        <v>1061</v>
      </c>
      <c r="L1003" s="21" t="s">
        <v>3586</v>
      </c>
      <c r="M1003" s="11">
        <v>1</v>
      </c>
      <c r="N1003" s="1"/>
      <c r="O1003" s="10">
        <v>46279.611157407409</v>
      </c>
      <c r="P1003" s="1" t="s">
        <v>46</v>
      </c>
      <c r="Q1003" s="1" t="s">
        <v>72</v>
      </c>
      <c r="R1003" s="8" t="s">
        <v>47</v>
      </c>
      <c r="S100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0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0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0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0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0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0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0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0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0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0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0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0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03" s="12">
        <f ca="1">[1]!Tabel1[[#This Row],[Vægtet Honorar]]*([1]!Tabel1[[#This Row],[Sidst redigeret]]&gt;TODAY()-40)*([1]!Tabel1[[#This Row],[Er i resplan?]]&lt;&gt;"Ja")*([1]!Tabel1[[#This Row],[Status]]="Pågår")</f>
        <v>0</v>
      </c>
      <c r="AG1003" s="12">
        <f ca="1">[1]!Tabel1[[#This Row],[Vægtet Honorar]]*([1]!Tabel1[[#This Row],[Sidst redigeret]]&gt;TODAY()-40)*([1]!Tabel1[[#This Row],[Status]]="Pågår")</f>
        <v>0</v>
      </c>
      <c r="AH1003" s="13">
        <v>45689</v>
      </c>
      <c r="AI1003" s="12"/>
      <c r="AJ1003" s="12"/>
      <c r="AK1003" s="12"/>
      <c r="AL1003" s="12"/>
      <c r="AM1003" s="12"/>
      <c r="AN1003" s="12"/>
      <c r="AO1003" s="12"/>
      <c r="AP1003" s="12"/>
    </row>
    <row r="1004" spans="1:42">
      <c r="A1004" t="s">
        <v>3587</v>
      </c>
      <c r="B1004" s="8"/>
      <c r="C1004" s="8" t="s">
        <v>3588</v>
      </c>
      <c r="D1004" s="8" t="s">
        <v>720</v>
      </c>
      <c r="E1004" s="8" t="s">
        <v>71</v>
      </c>
      <c r="F1004" s="8" t="s">
        <v>1333</v>
      </c>
      <c r="G1004" s="8" t="s">
        <v>1100</v>
      </c>
      <c r="H1004" s="9">
        <v>1500000</v>
      </c>
      <c r="I1004" s="9">
        <f>[1]!Tabel1[[#This Row],[Honorar]]*[1]!Tabel1[[#This Row],[Sandsynlighed]]</f>
        <v>62500</v>
      </c>
      <c r="J1004" s="10" t="s">
        <v>1287</v>
      </c>
      <c r="K1004" s="10" t="s">
        <v>585</v>
      </c>
      <c r="L1004" s="21" t="s">
        <v>3589</v>
      </c>
      <c r="M1004" s="11">
        <v>0.01</v>
      </c>
      <c r="N1004" s="1">
        <v>3600</v>
      </c>
      <c r="O1004" s="10">
        <v>46279.611157407409</v>
      </c>
      <c r="P1004" s="10"/>
      <c r="Q1004" s="1" t="s">
        <v>72</v>
      </c>
      <c r="R1004" s="8" t="s">
        <v>343</v>
      </c>
      <c r="S100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0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0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0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0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0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0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0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0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0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0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0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0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04" s="12">
        <f ca="1">[1]!Tabel1[[#This Row],[Vægtet Honorar]]*([1]!Tabel1[[#This Row],[Sidst redigeret]]&gt;TODAY()-40)*([1]!Tabel1[[#This Row],[Er i resplan?]]&lt;&gt;"Ja")*([1]!Tabel1[[#This Row],[Status]]="Pågår")</f>
        <v>0</v>
      </c>
      <c r="AG1004" s="12">
        <f ca="1">[1]!Tabel1[[#This Row],[Vægtet Honorar]]*([1]!Tabel1[[#This Row],[Sidst redigeret]]&gt;TODAY()-40)*([1]!Tabel1[[#This Row],[Status]]="Pågår")</f>
        <v>0</v>
      </c>
      <c r="AH1004" s="13"/>
      <c r="AI1004" s="12" t="s">
        <v>1100</v>
      </c>
      <c r="AJ1004" s="12" t="s">
        <v>3590</v>
      </c>
      <c r="AK1004" s="12" t="s">
        <v>2931</v>
      </c>
      <c r="AL1004" s="12" t="s">
        <v>601</v>
      </c>
      <c r="AM1004" s="12"/>
      <c r="AN1004" s="12"/>
      <c r="AO1004" s="12"/>
      <c r="AP1004" s="12"/>
    </row>
    <row r="1005" spans="1:42" ht="57.75">
      <c r="A1005" t="s">
        <v>3591</v>
      </c>
      <c r="B1005" s="8"/>
      <c r="C1005" s="8" t="s">
        <v>3592</v>
      </c>
      <c r="D1005" s="8" t="s">
        <v>896</v>
      </c>
      <c r="E1005" s="8" t="s">
        <v>94</v>
      </c>
      <c r="F1005" s="8" t="s">
        <v>3593</v>
      </c>
      <c r="G1005" s="8" t="s">
        <v>213</v>
      </c>
      <c r="H1005" s="9">
        <v>500000</v>
      </c>
      <c r="I1005" s="9">
        <f>[1]!Tabel1[[#This Row],[Honorar]]*[1]!Tabel1[[#This Row],[Sandsynlighed]]</f>
        <v>12500</v>
      </c>
      <c r="J1005" s="10" t="s">
        <v>585</v>
      </c>
      <c r="K1005" s="10" t="s">
        <v>2093</v>
      </c>
      <c r="L1005" s="21" t="s">
        <v>3594</v>
      </c>
      <c r="M1005" s="11">
        <v>0.01</v>
      </c>
      <c r="N1005" s="1">
        <v>55000</v>
      </c>
      <c r="O1005" s="10">
        <v>46279.611157407409</v>
      </c>
      <c r="P1005" s="1" t="s">
        <v>72</v>
      </c>
      <c r="Q1005" s="1" t="s">
        <v>72</v>
      </c>
      <c r="R1005" s="8" t="s">
        <v>343</v>
      </c>
      <c r="S100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0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0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0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0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0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0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0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0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0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0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0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0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05" s="12">
        <f ca="1">[1]!Tabel1[[#This Row],[Vægtet Honorar]]*([1]!Tabel1[[#This Row],[Sidst redigeret]]&gt;TODAY()-40)*([1]!Tabel1[[#This Row],[Er i resplan?]]&lt;&gt;"Ja")*([1]!Tabel1[[#This Row],[Status]]="Pågår")</f>
        <v>0</v>
      </c>
      <c r="AG1005" s="12">
        <f ca="1">[1]!Tabel1[[#This Row],[Vægtet Honorar]]*([1]!Tabel1[[#This Row],[Sidst redigeret]]&gt;TODAY()-40)*([1]!Tabel1[[#This Row],[Status]]="Pågår")</f>
        <v>0</v>
      </c>
      <c r="AH1005" s="13"/>
      <c r="AI1005" s="12"/>
      <c r="AJ1005" s="12" t="s">
        <v>213</v>
      </c>
      <c r="AK1005" s="12"/>
      <c r="AL1005" s="12"/>
      <c r="AM1005" s="12"/>
      <c r="AN1005" s="12"/>
      <c r="AO1005" s="12"/>
      <c r="AP1005" s="12"/>
    </row>
    <row r="1006" spans="1:42" ht="57.75">
      <c r="A1006" t="s">
        <v>3595</v>
      </c>
      <c r="B1006" s="8"/>
      <c r="C1006" s="8" t="s">
        <v>3596</v>
      </c>
      <c r="D1006" s="8" t="s">
        <v>134</v>
      </c>
      <c r="E1006" s="8" t="s">
        <v>94</v>
      </c>
      <c r="F1006" s="8" t="s">
        <v>3597</v>
      </c>
      <c r="G1006" s="8" t="s">
        <v>3597</v>
      </c>
      <c r="H1006" s="9">
        <v>25000</v>
      </c>
      <c r="I1006" s="9">
        <f>[1]!Tabel1[[#This Row],[Honorar]]*[1]!Tabel1[[#This Row],[Sandsynlighed]]</f>
        <v>9600</v>
      </c>
      <c r="J1006" s="10" t="s">
        <v>1061</v>
      </c>
      <c r="K1006" s="10" t="s">
        <v>1061</v>
      </c>
      <c r="L1006" s="21" t="s">
        <v>3598</v>
      </c>
      <c r="M1006" s="11">
        <v>0.9</v>
      </c>
      <c r="N1006" s="1" t="s">
        <v>777</v>
      </c>
      <c r="O1006" s="10">
        <v>46279.611157407409</v>
      </c>
      <c r="P1006" s="1" t="s">
        <v>72</v>
      </c>
      <c r="Q1006" s="1" t="s">
        <v>46</v>
      </c>
      <c r="R1006" s="8" t="s">
        <v>49</v>
      </c>
      <c r="S100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0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0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0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0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0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0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0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0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0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0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0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0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06" s="12">
        <f ca="1">[1]!Tabel1[[#This Row],[Vægtet Honorar]]*([1]!Tabel1[[#This Row],[Sidst redigeret]]&gt;TODAY()-40)*([1]!Tabel1[[#This Row],[Er i resplan?]]&lt;&gt;"Ja")*([1]!Tabel1[[#This Row],[Status]]="Pågår")</f>
        <v>0</v>
      </c>
      <c r="AG1006" s="12">
        <f ca="1">[1]!Tabel1[[#This Row],[Vægtet Honorar]]*([1]!Tabel1[[#This Row],[Sidst redigeret]]&gt;TODAY()-40)*([1]!Tabel1[[#This Row],[Status]]="Pågår")</f>
        <v>0</v>
      </c>
      <c r="AH1006" s="13"/>
      <c r="AI1006" s="12"/>
      <c r="AJ1006" s="12"/>
      <c r="AK1006" s="12"/>
      <c r="AL1006" s="12"/>
      <c r="AM1006" s="12"/>
      <c r="AN1006" s="12"/>
      <c r="AO1006" s="12"/>
      <c r="AP1006" s="12"/>
    </row>
    <row r="1007" spans="1:42" ht="86.25">
      <c r="A1007" t="s">
        <v>3599</v>
      </c>
      <c r="B1007" s="8"/>
      <c r="C1007" s="8" t="s">
        <v>3600</v>
      </c>
      <c r="D1007" s="8" t="s">
        <v>93</v>
      </c>
      <c r="E1007" s="8" t="s">
        <v>94</v>
      </c>
      <c r="F1007" s="8" t="s">
        <v>3071</v>
      </c>
      <c r="G1007" s="8" t="s">
        <v>3071</v>
      </c>
      <c r="H1007" s="9">
        <v>2000000</v>
      </c>
      <c r="I1007" s="9">
        <f>[1]!Tabel1[[#This Row],[Honorar]]*[1]!Tabel1[[#This Row],[Sandsynlighed]]</f>
        <v>1000000</v>
      </c>
      <c r="J1007" s="10" t="s">
        <v>1061</v>
      </c>
      <c r="K1007" s="10" t="s">
        <v>3601</v>
      </c>
      <c r="L1007" s="21" t="s">
        <v>3602</v>
      </c>
      <c r="M1007" s="11">
        <v>0.01</v>
      </c>
      <c r="N1007" s="1">
        <v>5000</v>
      </c>
      <c r="O1007" s="10">
        <v>46279.611157407409</v>
      </c>
      <c r="P1007" s="1" t="s">
        <v>72</v>
      </c>
      <c r="Q1007" s="1" t="s">
        <v>72</v>
      </c>
      <c r="R1007" s="8" t="s">
        <v>49</v>
      </c>
      <c r="S100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0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0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0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0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0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0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0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0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0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0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0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0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07" s="12">
        <f ca="1">[1]!Tabel1[[#This Row],[Vægtet Honorar]]*([1]!Tabel1[[#This Row],[Sidst redigeret]]&gt;TODAY()-40)*([1]!Tabel1[[#This Row],[Er i resplan?]]&lt;&gt;"Ja")*([1]!Tabel1[[#This Row],[Status]]="Pågår")</f>
        <v>0</v>
      </c>
      <c r="AG1007" s="12">
        <f ca="1">[1]!Tabel1[[#This Row],[Vægtet Honorar]]*([1]!Tabel1[[#This Row],[Sidst redigeret]]&gt;TODAY()-40)*([1]!Tabel1[[#This Row],[Status]]="Pågår")</f>
        <v>0</v>
      </c>
      <c r="AH1007" s="13"/>
      <c r="AI1007" s="12"/>
      <c r="AJ1007" s="12" t="s">
        <v>213</v>
      </c>
      <c r="AK1007" s="12"/>
      <c r="AL1007" s="12"/>
      <c r="AM1007" s="12"/>
      <c r="AN1007" s="12"/>
      <c r="AO1007" s="12" t="s">
        <v>3603</v>
      </c>
      <c r="AP1007" s="12"/>
    </row>
    <row r="1008" spans="1:42">
      <c r="A1008" t="s">
        <v>3604</v>
      </c>
      <c r="B1008" s="8"/>
      <c r="C1008" s="8" t="s">
        <v>3605</v>
      </c>
      <c r="D1008" s="8" t="s">
        <v>2719</v>
      </c>
      <c r="E1008" s="8" t="s">
        <v>71</v>
      </c>
      <c r="F1008" s="8" t="s">
        <v>749</v>
      </c>
      <c r="G1008" s="8" t="s">
        <v>749</v>
      </c>
      <c r="H1008" s="9">
        <v>500000</v>
      </c>
      <c r="I1008" s="9">
        <f>[1]!Tabel1[[#This Row],[Honorar]]*[1]!Tabel1[[#This Row],[Sandsynlighed]]</f>
        <v>25000</v>
      </c>
      <c r="J1008" s="10" t="s">
        <v>612</v>
      </c>
      <c r="K1008" s="10" t="s">
        <v>1061</v>
      </c>
      <c r="L1008" s="21"/>
      <c r="M1008" s="11">
        <v>1</v>
      </c>
      <c r="N1008" s="1"/>
      <c r="O1008" s="10">
        <v>46279.611157407409</v>
      </c>
      <c r="P1008" s="10"/>
      <c r="Q1008" s="1" t="s">
        <v>46</v>
      </c>
      <c r="R1008" s="8" t="s">
        <v>47</v>
      </c>
      <c r="S100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0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0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0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0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0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0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0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0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0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0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0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0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08" s="12">
        <f ca="1">[1]!Tabel1[[#This Row],[Vægtet Honorar]]*([1]!Tabel1[[#This Row],[Sidst redigeret]]&gt;TODAY()-40)*([1]!Tabel1[[#This Row],[Er i resplan?]]&lt;&gt;"Ja")*([1]!Tabel1[[#This Row],[Status]]="Pågår")</f>
        <v>0</v>
      </c>
      <c r="AG1008" s="12">
        <f ca="1">[1]!Tabel1[[#This Row],[Vægtet Honorar]]*([1]!Tabel1[[#This Row],[Sidst redigeret]]&gt;TODAY()-40)*([1]!Tabel1[[#This Row],[Status]]="Pågår")</f>
        <v>0</v>
      </c>
      <c r="AH1008" s="13"/>
      <c r="AI1008" s="12"/>
      <c r="AJ1008" s="12"/>
      <c r="AK1008" s="12"/>
      <c r="AL1008" s="12"/>
      <c r="AM1008" s="12"/>
      <c r="AN1008" s="12"/>
      <c r="AO1008" s="12"/>
      <c r="AP1008" s="12"/>
    </row>
    <row r="1009" spans="1:42">
      <c r="A1009" t="s">
        <v>3606</v>
      </c>
      <c r="B1009" s="8"/>
      <c r="C1009" s="8" t="s">
        <v>3607</v>
      </c>
      <c r="D1009" s="8" t="s">
        <v>2886</v>
      </c>
      <c r="E1009" s="8" t="s">
        <v>120</v>
      </c>
      <c r="F1009" s="8" t="s">
        <v>3608</v>
      </c>
      <c r="G1009" s="8" t="s">
        <v>1100</v>
      </c>
      <c r="H1009" s="9">
        <v>1500000</v>
      </c>
      <c r="I1009" s="9">
        <f>[1]!Tabel1[[#This Row],[Honorar]]*[1]!Tabel1[[#This Row],[Sandsynlighed]]</f>
        <v>15000</v>
      </c>
      <c r="J1009" s="10" t="s">
        <v>1061</v>
      </c>
      <c r="K1009" s="10" t="s">
        <v>1062</v>
      </c>
      <c r="L1009" s="21"/>
      <c r="M1009" s="11">
        <v>0.05</v>
      </c>
      <c r="N1009" s="1">
        <v>4000</v>
      </c>
      <c r="O1009" s="10">
        <v>46279.611157407409</v>
      </c>
      <c r="P1009" s="10"/>
      <c r="Q1009" s="1" t="s">
        <v>72</v>
      </c>
      <c r="R1009" s="8" t="s">
        <v>47</v>
      </c>
      <c r="S100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0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0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0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0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0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0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0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0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0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0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0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0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09" s="12">
        <f ca="1">[1]!Tabel1[[#This Row],[Vægtet Honorar]]*([1]!Tabel1[[#This Row],[Sidst redigeret]]&gt;TODAY()-40)*([1]!Tabel1[[#This Row],[Er i resplan?]]&lt;&gt;"Ja")*([1]!Tabel1[[#This Row],[Status]]="Pågår")</f>
        <v>15000</v>
      </c>
      <c r="AG1009" s="12">
        <f ca="1">[1]!Tabel1[[#This Row],[Vægtet Honorar]]*([1]!Tabel1[[#This Row],[Sidst redigeret]]&gt;TODAY()-40)*([1]!Tabel1[[#This Row],[Status]]="Pågår")</f>
        <v>15000</v>
      </c>
      <c r="AH1009" s="13">
        <v>46269.493194444447</v>
      </c>
      <c r="AI1009" s="12"/>
      <c r="AJ1009" s="12"/>
      <c r="AK1009" s="12"/>
      <c r="AL1009" s="12"/>
      <c r="AM1009" s="12"/>
      <c r="AN1009" s="12"/>
      <c r="AO1009" s="12"/>
      <c r="AP1009" s="12"/>
    </row>
    <row r="1010" spans="1:42">
      <c r="A1010" t="s">
        <v>3609</v>
      </c>
      <c r="B1010" s="8"/>
      <c r="C1010" s="8" t="s">
        <v>3610</v>
      </c>
      <c r="D1010" s="8" t="s">
        <v>2886</v>
      </c>
      <c r="E1010" s="8" t="s">
        <v>120</v>
      </c>
      <c r="F1010" s="8" t="s">
        <v>749</v>
      </c>
      <c r="G1010" s="8" t="s">
        <v>3538</v>
      </c>
      <c r="H1010" s="9">
        <v>2000000</v>
      </c>
      <c r="I1010" s="9">
        <f>[1]!Tabel1[[#This Row],[Honorar]]*[1]!Tabel1[[#This Row],[Sandsynlighed]]</f>
        <v>5000</v>
      </c>
      <c r="J1010" s="10" t="s">
        <v>1287</v>
      </c>
      <c r="K1010" s="10" t="s">
        <v>1323</v>
      </c>
      <c r="L1010" s="21"/>
      <c r="M1010" s="11">
        <v>0.05</v>
      </c>
      <c r="N1010" s="1"/>
      <c r="O1010" s="10">
        <v>46279.611157407409</v>
      </c>
      <c r="P1010" s="10"/>
      <c r="Q1010" s="1" t="s">
        <v>72</v>
      </c>
      <c r="R1010" s="8" t="s">
        <v>343</v>
      </c>
      <c r="S101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1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1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1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1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1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1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1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1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1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1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1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1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10" s="12">
        <f ca="1">[1]!Tabel1[[#This Row],[Vægtet Honorar]]*([1]!Tabel1[[#This Row],[Sidst redigeret]]&gt;TODAY()-40)*([1]!Tabel1[[#This Row],[Er i resplan?]]&lt;&gt;"Ja")*([1]!Tabel1[[#This Row],[Status]]="Pågår")</f>
        <v>5000</v>
      </c>
      <c r="AG1010" s="12">
        <f ca="1">[1]!Tabel1[[#This Row],[Vægtet Honorar]]*([1]!Tabel1[[#This Row],[Sidst redigeret]]&gt;TODAY()-40)*([1]!Tabel1[[#This Row],[Status]]="Pågår")</f>
        <v>5000</v>
      </c>
      <c r="AH1010" s="13"/>
      <c r="AI1010" s="12"/>
      <c r="AJ1010" s="12" t="s">
        <v>3538</v>
      </c>
      <c r="AK1010" s="12"/>
      <c r="AL1010" s="12"/>
      <c r="AM1010" s="12"/>
      <c r="AN1010" s="12"/>
      <c r="AO1010" s="12"/>
      <c r="AP1010" s="12"/>
    </row>
    <row r="1011" spans="1:42">
      <c r="A1011" t="s">
        <v>3611</v>
      </c>
      <c r="B1011" s="8"/>
      <c r="C1011" s="8" t="s">
        <v>3612</v>
      </c>
      <c r="D1011" s="8" t="s">
        <v>3613</v>
      </c>
      <c r="E1011" s="8" t="s">
        <v>167</v>
      </c>
      <c r="F1011" s="8" t="s">
        <v>3614</v>
      </c>
      <c r="G1011" s="8" t="s">
        <v>3615</v>
      </c>
      <c r="H1011" s="9">
        <v>500000</v>
      </c>
      <c r="I1011" s="9">
        <f>[1]!Tabel1[[#This Row],[Honorar]]*[1]!Tabel1[[#This Row],[Sandsynlighed]]</f>
        <v>22500</v>
      </c>
      <c r="J1011" s="10" t="s">
        <v>1287</v>
      </c>
      <c r="K1011" s="10" t="s">
        <v>1323</v>
      </c>
      <c r="L1011" s="21"/>
      <c r="M1011" s="11">
        <v>0.05</v>
      </c>
      <c r="N1011" s="1"/>
      <c r="O1011" s="10">
        <v>46279.611157407409</v>
      </c>
      <c r="P1011" s="10"/>
      <c r="Q1011" s="1" t="s">
        <v>72</v>
      </c>
      <c r="R1011" s="8" t="s">
        <v>343</v>
      </c>
      <c r="S101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1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1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1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1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1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1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1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1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1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1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1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1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11" s="12">
        <f ca="1">[1]!Tabel1[[#This Row],[Vægtet Honorar]]*([1]!Tabel1[[#This Row],[Sidst redigeret]]&gt;TODAY()-40)*([1]!Tabel1[[#This Row],[Er i resplan?]]&lt;&gt;"Ja")*([1]!Tabel1[[#This Row],[Status]]="Pågår")</f>
        <v>0</v>
      </c>
      <c r="AG1011" s="12">
        <f ca="1">[1]!Tabel1[[#This Row],[Vægtet Honorar]]*([1]!Tabel1[[#This Row],[Sidst redigeret]]&gt;TODAY()-40)*([1]!Tabel1[[#This Row],[Status]]="Pågår")</f>
        <v>0</v>
      </c>
      <c r="AH1011" s="13"/>
      <c r="AI1011" s="12"/>
      <c r="AJ1011" s="12"/>
      <c r="AK1011" s="12"/>
      <c r="AL1011" s="12"/>
      <c r="AM1011" s="12"/>
      <c r="AN1011" s="12"/>
      <c r="AO1011" s="12"/>
      <c r="AP1011" s="12"/>
    </row>
    <row r="1012" spans="1:42" ht="86.25">
      <c r="A1012" t="s">
        <v>3616</v>
      </c>
      <c r="B1012" s="8"/>
      <c r="C1012" s="8" t="s">
        <v>3617</v>
      </c>
      <c r="D1012" s="8" t="s">
        <v>57</v>
      </c>
      <c r="E1012" s="8" t="s">
        <v>94</v>
      </c>
      <c r="F1012" s="8" t="s">
        <v>1735</v>
      </c>
      <c r="G1012" s="8" t="s">
        <v>3618</v>
      </c>
      <c r="H1012" s="9">
        <v>2700000</v>
      </c>
      <c r="I1012" s="9">
        <f>[1]!Tabel1[[#This Row],[Honorar]]*[1]!Tabel1[[#This Row],[Sandsynlighed]]</f>
        <v>20000</v>
      </c>
      <c r="J1012" s="10" t="s">
        <v>329</v>
      </c>
      <c r="K1012" s="10" t="s">
        <v>1323</v>
      </c>
      <c r="L1012" s="21" t="s">
        <v>3619</v>
      </c>
      <c r="M1012" s="11">
        <v>0.05</v>
      </c>
      <c r="N1012" s="1"/>
      <c r="O1012" s="10">
        <v>46279.611157407409</v>
      </c>
      <c r="P1012" s="1" t="s">
        <v>72</v>
      </c>
      <c r="Q1012" s="1" t="s">
        <v>72</v>
      </c>
      <c r="R1012" s="8" t="s">
        <v>49</v>
      </c>
      <c r="S101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1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1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1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1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1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1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1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1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1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1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1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1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12" s="12">
        <f ca="1">[1]!Tabel1[[#This Row],[Vægtet Honorar]]*([1]!Tabel1[[#This Row],[Sidst redigeret]]&gt;TODAY()-40)*([1]!Tabel1[[#This Row],[Er i resplan?]]&lt;&gt;"Ja")*([1]!Tabel1[[#This Row],[Status]]="Pågår")</f>
        <v>0</v>
      </c>
      <c r="AG1012" s="12">
        <f ca="1">[1]!Tabel1[[#This Row],[Vægtet Honorar]]*([1]!Tabel1[[#This Row],[Sidst redigeret]]&gt;TODAY()-40)*([1]!Tabel1[[#This Row],[Status]]="Pågår")</f>
        <v>0</v>
      </c>
      <c r="AH1012" s="13"/>
      <c r="AI1012" s="12"/>
      <c r="AJ1012" s="12" t="s">
        <v>3620</v>
      </c>
      <c r="AK1012" s="12"/>
      <c r="AL1012" s="12"/>
      <c r="AM1012" s="12"/>
      <c r="AN1012" s="12"/>
      <c r="AO1012" s="12"/>
      <c r="AP1012" s="12"/>
    </row>
    <row r="1013" spans="1:42">
      <c r="A1013" t="s">
        <v>3621</v>
      </c>
      <c r="B1013" s="8"/>
      <c r="C1013" s="8" t="s">
        <v>3622</v>
      </c>
      <c r="D1013" s="8" t="s">
        <v>298</v>
      </c>
      <c r="E1013" s="8" t="s">
        <v>167</v>
      </c>
      <c r="F1013" s="8" t="s">
        <v>1497</v>
      </c>
      <c r="G1013" s="8" t="s">
        <v>1497</v>
      </c>
      <c r="H1013" s="9">
        <v>150000</v>
      </c>
      <c r="I1013" s="9">
        <f>[1]!Tabel1[[#This Row],[Honorar]]*[1]!Tabel1[[#This Row],[Sandsynlighed]]</f>
        <v>500000</v>
      </c>
      <c r="J1013" s="10" t="s">
        <v>1061</v>
      </c>
      <c r="K1013" s="10" t="s">
        <v>1191</v>
      </c>
      <c r="L1013" s="21"/>
      <c r="M1013" s="11">
        <v>0.8</v>
      </c>
      <c r="N1013" s="1"/>
      <c r="O1013" s="10">
        <v>46279.611157407409</v>
      </c>
      <c r="P1013" s="10"/>
      <c r="Q1013" s="1" t="s">
        <v>46</v>
      </c>
      <c r="R1013" s="8" t="s">
        <v>343</v>
      </c>
      <c r="S101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1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1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1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1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1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1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1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1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1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1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1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1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13" s="12">
        <f ca="1">[1]!Tabel1[[#This Row],[Vægtet Honorar]]*([1]!Tabel1[[#This Row],[Sidst redigeret]]&gt;TODAY()-40)*([1]!Tabel1[[#This Row],[Er i resplan?]]&lt;&gt;"Ja")*([1]!Tabel1[[#This Row],[Status]]="Pågår")</f>
        <v>0</v>
      </c>
      <c r="AG1013" s="12">
        <f ca="1">[1]!Tabel1[[#This Row],[Vægtet Honorar]]*([1]!Tabel1[[#This Row],[Sidst redigeret]]&gt;TODAY()-40)*([1]!Tabel1[[#This Row],[Status]]="Pågår")</f>
        <v>0</v>
      </c>
      <c r="AH1013" s="13"/>
      <c r="AI1013" s="12"/>
      <c r="AJ1013" s="12"/>
      <c r="AK1013" s="12"/>
      <c r="AL1013" s="12"/>
      <c r="AM1013" s="12"/>
      <c r="AN1013" s="12"/>
      <c r="AO1013" s="12"/>
      <c r="AP1013" s="12"/>
    </row>
    <row r="1014" spans="1:42">
      <c r="A1014" t="s">
        <v>3623</v>
      </c>
      <c r="B1014" s="8"/>
      <c r="C1014" s="8" t="s">
        <v>3624</v>
      </c>
      <c r="D1014" s="8" t="s">
        <v>57</v>
      </c>
      <c r="E1014" s="8" t="s">
        <v>167</v>
      </c>
      <c r="F1014" s="8" t="s">
        <v>3624</v>
      </c>
      <c r="G1014" s="8" t="s">
        <v>3624</v>
      </c>
      <c r="H1014" s="9">
        <v>150000</v>
      </c>
      <c r="I1014" s="9">
        <f>[1]!Tabel1[[#This Row],[Honorar]]*[1]!Tabel1[[#This Row],[Sandsynlighed]]</f>
        <v>75000</v>
      </c>
      <c r="J1014" s="10" t="s">
        <v>1061</v>
      </c>
      <c r="K1014" s="10" t="s">
        <v>1191</v>
      </c>
      <c r="L1014" s="21"/>
      <c r="M1014" s="11">
        <v>0.01</v>
      </c>
      <c r="N1014" s="1"/>
      <c r="O1014" s="10">
        <v>46279.611157407409</v>
      </c>
      <c r="P1014" s="10"/>
      <c r="Q1014" s="1" t="s">
        <v>46</v>
      </c>
      <c r="R1014" s="8" t="s">
        <v>49</v>
      </c>
      <c r="S101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1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1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1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1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1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1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1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1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1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1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1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1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14" s="12">
        <f ca="1">[1]!Tabel1[[#This Row],[Vægtet Honorar]]*([1]!Tabel1[[#This Row],[Sidst redigeret]]&gt;TODAY()-40)*([1]!Tabel1[[#This Row],[Er i resplan?]]&lt;&gt;"Ja")*([1]!Tabel1[[#This Row],[Status]]="Pågår")</f>
        <v>0</v>
      </c>
      <c r="AG1014" s="12">
        <f ca="1">[1]!Tabel1[[#This Row],[Vægtet Honorar]]*([1]!Tabel1[[#This Row],[Sidst redigeret]]&gt;TODAY()-40)*([1]!Tabel1[[#This Row],[Status]]="Pågår")</f>
        <v>0</v>
      </c>
      <c r="AH1014" s="13"/>
      <c r="AI1014" s="12"/>
      <c r="AJ1014" s="12"/>
      <c r="AK1014" s="12"/>
      <c r="AL1014" s="12"/>
      <c r="AM1014" s="12"/>
      <c r="AN1014" s="12"/>
      <c r="AO1014" s="12"/>
      <c r="AP1014" s="12"/>
    </row>
    <row r="1015" spans="1:42">
      <c r="A1015" t="s">
        <v>3625</v>
      </c>
      <c r="B1015" s="8"/>
      <c r="C1015" s="8" t="s">
        <v>3626</v>
      </c>
      <c r="D1015" s="8" t="s">
        <v>1886</v>
      </c>
      <c r="E1015" s="8" t="s">
        <v>94</v>
      </c>
      <c r="F1015" s="8" t="s">
        <v>3627</v>
      </c>
      <c r="G1015" s="8" t="s">
        <v>3627</v>
      </c>
      <c r="H1015" s="9">
        <v>25000</v>
      </c>
      <c r="I1015" s="9">
        <f>[1]!Tabel1[[#This Row],[Honorar]]*[1]!Tabel1[[#This Row],[Sandsynlighed]]</f>
        <v>100000</v>
      </c>
      <c r="J1015" s="10" t="s">
        <v>612</v>
      </c>
      <c r="K1015" s="10" t="s">
        <v>1061</v>
      </c>
      <c r="L1015" s="21"/>
      <c r="M1015" s="11">
        <v>0.8</v>
      </c>
      <c r="N1015" s="1"/>
      <c r="O1015" s="10">
        <v>46279.611157407409</v>
      </c>
      <c r="P1015" s="1" t="s">
        <v>72</v>
      </c>
      <c r="Q1015" s="1" t="s">
        <v>72</v>
      </c>
      <c r="R1015" s="8" t="s">
        <v>47</v>
      </c>
      <c r="S101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1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1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1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1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1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1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1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1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1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1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1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1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15" s="12">
        <f ca="1">[1]!Tabel1[[#This Row],[Vægtet Honorar]]*([1]!Tabel1[[#This Row],[Sidst redigeret]]&gt;TODAY()-40)*([1]!Tabel1[[#This Row],[Er i resplan?]]&lt;&gt;"Ja")*([1]!Tabel1[[#This Row],[Status]]="Pågår")</f>
        <v>100000</v>
      </c>
      <c r="AG1015" s="12">
        <f ca="1">[1]!Tabel1[[#This Row],[Vægtet Honorar]]*([1]!Tabel1[[#This Row],[Sidst redigeret]]&gt;TODAY()-40)*([1]!Tabel1[[#This Row],[Status]]="Pågår")</f>
        <v>100000</v>
      </c>
      <c r="AH1015" s="13"/>
      <c r="AI1015" s="12"/>
      <c r="AJ1015" s="12"/>
      <c r="AK1015" s="12"/>
      <c r="AL1015" s="12"/>
      <c r="AM1015" s="12"/>
      <c r="AN1015" s="12"/>
      <c r="AO1015" s="12"/>
      <c r="AP1015" s="12"/>
    </row>
    <row r="1016" spans="1:42">
      <c r="A1016" t="s">
        <v>3628</v>
      </c>
      <c r="B1016" s="8"/>
      <c r="C1016" s="8" t="s">
        <v>3629</v>
      </c>
      <c r="D1016" s="8" t="s">
        <v>70</v>
      </c>
      <c r="E1016" s="8" t="s">
        <v>102</v>
      </c>
      <c r="F1016" s="8" t="s">
        <v>111</v>
      </c>
      <c r="G1016" s="8" t="s">
        <v>111</v>
      </c>
      <c r="H1016" s="9">
        <v>0</v>
      </c>
      <c r="I1016" s="9">
        <f>[1]!Tabel1[[#This Row],[Honorar]]*[1]!Tabel1[[#This Row],[Sandsynlighed]]</f>
        <v>25000</v>
      </c>
      <c r="J1016" s="10" t="s">
        <v>341</v>
      </c>
      <c r="K1016" s="10" t="s">
        <v>1310</v>
      </c>
      <c r="L1016" s="21"/>
      <c r="M1016" s="11">
        <v>0.95</v>
      </c>
      <c r="N1016" s="1"/>
      <c r="O1016" s="10">
        <v>46279.611157407409</v>
      </c>
      <c r="P1016" s="10"/>
      <c r="Q1016" s="1" t="s">
        <v>46</v>
      </c>
      <c r="R1016" s="8" t="s">
        <v>343</v>
      </c>
      <c r="S101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1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1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1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1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1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1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1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1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1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1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1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1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16" s="12">
        <f ca="1">[1]!Tabel1[[#This Row],[Vægtet Honorar]]*([1]!Tabel1[[#This Row],[Sidst redigeret]]&gt;TODAY()-40)*([1]!Tabel1[[#This Row],[Er i resplan?]]&lt;&gt;"Ja")*([1]!Tabel1[[#This Row],[Status]]="Pågår")</f>
        <v>25000</v>
      </c>
      <c r="AG1016" s="12">
        <f ca="1">[1]!Tabel1[[#This Row],[Vægtet Honorar]]*([1]!Tabel1[[#This Row],[Sidst redigeret]]&gt;TODAY()-40)*([1]!Tabel1[[#This Row],[Status]]="Pågår")</f>
        <v>25000</v>
      </c>
      <c r="AH1016" s="13"/>
      <c r="AI1016" s="12"/>
      <c r="AJ1016" s="12"/>
      <c r="AK1016" s="12"/>
      <c r="AL1016" s="12"/>
      <c r="AM1016" s="12"/>
      <c r="AN1016" s="12"/>
      <c r="AO1016" s="12"/>
      <c r="AP1016" s="12"/>
    </row>
    <row r="1017" spans="1:42">
      <c r="A1017" t="s">
        <v>3630</v>
      </c>
      <c r="B1017" s="8"/>
      <c r="C1017" s="8" t="s">
        <v>3631</v>
      </c>
      <c r="D1017" s="8" t="s">
        <v>70</v>
      </c>
      <c r="E1017" s="8" t="s">
        <v>102</v>
      </c>
      <c r="F1017" s="8" t="s">
        <v>111</v>
      </c>
      <c r="G1017" s="8" t="s">
        <v>111</v>
      </c>
      <c r="H1017" s="9">
        <v>225000</v>
      </c>
      <c r="I1017" s="9">
        <f>[1]!Tabel1[[#This Row],[Honorar]]*[1]!Tabel1[[#This Row],[Sandsynlighed]]</f>
        <v>135000</v>
      </c>
      <c r="J1017" s="10" t="s">
        <v>1061</v>
      </c>
      <c r="K1017" s="10" t="s">
        <v>329</v>
      </c>
      <c r="L1017" s="21"/>
      <c r="M1017" s="11">
        <v>1</v>
      </c>
      <c r="N1017" s="1"/>
      <c r="O1017" s="10">
        <v>46279.611157407409</v>
      </c>
      <c r="P1017" s="10"/>
      <c r="Q1017" s="1" t="s">
        <v>46</v>
      </c>
      <c r="R1017" s="8" t="s">
        <v>47</v>
      </c>
      <c r="S101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1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1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1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1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1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1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1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1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1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1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1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1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17" s="12">
        <f ca="1">[1]!Tabel1[[#This Row],[Vægtet Honorar]]*([1]!Tabel1[[#This Row],[Sidst redigeret]]&gt;TODAY()-40)*([1]!Tabel1[[#This Row],[Er i resplan?]]&lt;&gt;"Ja")*([1]!Tabel1[[#This Row],[Status]]="Pågår")</f>
        <v>0</v>
      </c>
      <c r="AG1017" s="12">
        <f ca="1">[1]!Tabel1[[#This Row],[Vægtet Honorar]]*([1]!Tabel1[[#This Row],[Sidst redigeret]]&gt;TODAY()-40)*([1]!Tabel1[[#This Row],[Status]]="Pågår")</f>
        <v>0</v>
      </c>
      <c r="AH1017" s="13"/>
      <c r="AI1017" s="12"/>
      <c r="AJ1017" s="12"/>
      <c r="AK1017" s="12"/>
      <c r="AL1017" s="12"/>
      <c r="AM1017" s="12"/>
      <c r="AN1017" s="12"/>
      <c r="AO1017" s="12"/>
      <c r="AP1017" s="12"/>
    </row>
    <row r="1018" spans="1:42">
      <c r="A1018" t="s">
        <v>3632</v>
      </c>
      <c r="B1018" s="8"/>
      <c r="C1018" s="8" t="s">
        <v>3633</v>
      </c>
      <c r="D1018" s="8" t="s">
        <v>720</v>
      </c>
      <c r="E1018" s="8" t="s">
        <v>71</v>
      </c>
      <c r="F1018" s="8" t="s">
        <v>940</v>
      </c>
      <c r="G1018" s="8" t="s">
        <v>2135</v>
      </c>
      <c r="H1018" s="9">
        <v>600000</v>
      </c>
      <c r="I1018" s="9">
        <f>[1]!Tabel1[[#This Row],[Honorar]]*[1]!Tabel1[[#This Row],[Sandsynlighed]]</f>
        <v>120000</v>
      </c>
      <c r="J1018" s="10" t="s">
        <v>329</v>
      </c>
      <c r="K1018" s="10" t="s">
        <v>1191</v>
      </c>
      <c r="L1018" s="21"/>
      <c r="M1018" s="11">
        <v>0.05</v>
      </c>
      <c r="N1018" s="1"/>
      <c r="O1018" s="10">
        <v>46279.611157407409</v>
      </c>
      <c r="P1018" s="10"/>
      <c r="Q1018" s="1" t="s">
        <v>46</v>
      </c>
      <c r="R1018" s="8" t="s">
        <v>343</v>
      </c>
      <c r="S101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1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1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1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1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1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1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1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1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1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1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1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1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18" s="12">
        <f ca="1">[1]!Tabel1[[#This Row],[Vægtet Honorar]]*([1]!Tabel1[[#This Row],[Sidst redigeret]]&gt;TODAY()-40)*([1]!Tabel1[[#This Row],[Er i resplan?]]&lt;&gt;"Ja")*([1]!Tabel1[[#This Row],[Status]]="Pågår")</f>
        <v>0</v>
      </c>
      <c r="AG1018" s="12">
        <f ca="1">[1]!Tabel1[[#This Row],[Vægtet Honorar]]*([1]!Tabel1[[#This Row],[Sidst redigeret]]&gt;TODAY()-40)*([1]!Tabel1[[#This Row],[Status]]="Pågår")</f>
        <v>120000</v>
      </c>
      <c r="AH1018" s="13"/>
      <c r="AI1018" s="12"/>
      <c r="AJ1018" s="12"/>
      <c r="AK1018" s="12"/>
      <c r="AL1018" s="12"/>
      <c r="AM1018" s="12"/>
      <c r="AN1018" s="12"/>
      <c r="AO1018" s="12"/>
      <c r="AP1018" s="12"/>
    </row>
    <row r="1019" spans="1:42" ht="43.5">
      <c r="A1019" t="s">
        <v>3634</v>
      </c>
      <c r="B1019" s="8"/>
      <c r="C1019" s="8" t="s">
        <v>3635</v>
      </c>
      <c r="D1019" s="8" t="s">
        <v>720</v>
      </c>
      <c r="E1019" s="8" t="s">
        <v>71</v>
      </c>
      <c r="F1019" s="8" t="s">
        <v>3066</v>
      </c>
      <c r="G1019" s="8" t="s">
        <v>3636</v>
      </c>
      <c r="H1019" s="9">
        <v>3000000</v>
      </c>
      <c r="I1019" s="9">
        <f>[1]!Tabel1[[#This Row],[Honorar]]*[1]!Tabel1[[#This Row],[Sandsynlighed]]</f>
        <v>1500</v>
      </c>
      <c r="J1019" s="10" t="s">
        <v>329</v>
      </c>
      <c r="K1019" s="10" t="s">
        <v>342</v>
      </c>
      <c r="L1019" s="21" t="s">
        <v>3637</v>
      </c>
      <c r="M1019" s="11">
        <v>0.05</v>
      </c>
      <c r="N1019" s="1"/>
      <c r="O1019" s="10">
        <v>46279.611157407409</v>
      </c>
      <c r="P1019" s="10"/>
      <c r="Q1019" s="1" t="s">
        <v>72</v>
      </c>
      <c r="R1019" s="8" t="s">
        <v>343</v>
      </c>
      <c r="S101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1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1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1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1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1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1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1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1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1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1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1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1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19" s="12">
        <f ca="1">[1]!Tabel1[[#This Row],[Vægtet Honorar]]*([1]!Tabel1[[#This Row],[Sidst redigeret]]&gt;TODAY()-40)*([1]!Tabel1[[#This Row],[Er i resplan?]]&lt;&gt;"Ja")*([1]!Tabel1[[#This Row],[Status]]="Pågår")</f>
        <v>0</v>
      </c>
      <c r="AG1019" s="12">
        <f ca="1">[1]!Tabel1[[#This Row],[Vægtet Honorar]]*([1]!Tabel1[[#This Row],[Sidst redigeret]]&gt;TODAY()-40)*([1]!Tabel1[[#This Row],[Status]]="Pågår")</f>
        <v>0</v>
      </c>
      <c r="AH1019" s="13"/>
      <c r="AI1019" s="12"/>
      <c r="AJ1019" s="12" t="s">
        <v>3636</v>
      </c>
      <c r="AK1019" s="12"/>
      <c r="AL1019" s="12" t="s">
        <v>3638</v>
      </c>
      <c r="AM1019" s="12"/>
      <c r="AN1019" s="12"/>
      <c r="AO1019" s="12"/>
      <c r="AP1019" s="12"/>
    </row>
    <row r="1020" spans="1:42">
      <c r="A1020" t="s">
        <v>3639</v>
      </c>
      <c r="B1020" s="8"/>
      <c r="C1020" s="8" t="s">
        <v>3640</v>
      </c>
      <c r="D1020" s="8" t="s">
        <v>720</v>
      </c>
      <c r="E1020" s="8" t="s">
        <v>71</v>
      </c>
      <c r="F1020" s="8" t="s">
        <v>3641</v>
      </c>
      <c r="G1020" s="8" t="s">
        <v>3641</v>
      </c>
      <c r="H1020" s="9">
        <v>75000</v>
      </c>
      <c r="I1020" s="9">
        <f>[1]!Tabel1[[#This Row],[Honorar]]*[1]!Tabel1[[#This Row],[Sandsynlighed]]</f>
        <v>20000</v>
      </c>
      <c r="J1020" s="10" t="s">
        <v>1061</v>
      </c>
      <c r="K1020" s="10" t="s">
        <v>1061</v>
      </c>
      <c r="L1020" s="21"/>
      <c r="M1020" s="11">
        <v>0</v>
      </c>
      <c r="N1020" s="1"/>
      <c r="O1020" s="10">
        <v>46279.611157407409</v>
      </c>
      <c r="P1020" s="10"/>
      <c r="Q1020" s="1" t="s">
        <v>72</v>
      </c>
      <c r="R1020" s="8" t="s">
        <v>75</v>
      </c>
      <c r="S102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2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2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2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2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2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2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2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2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2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2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2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2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20" s="12">
        <f ca="1">[1]!Tabel1[[#This Row],[Vægtet Honorar]]*([1]!Tabel1[[#This Row],[Sidst redigeret]]&gt;TODAY()-40)*([1]!Tabel1[[#This Row],[Er i resplan?]]&lt;&gt;"Ja")*([1]!Tabel1[[#This Row],[Status]]="Pågår")</f>
        <v>0</v>
      </c>
      <c r="AG1020" s="12">
        <f ca="1">[1]!Tabel1[[#This Row],[Vægtet Honorar]]*([1]!Tabel1[[#This Row],[Sidst redigeret]]&gt;TODAY()-40)*([1]!Tabel1[[#This Row],[Status]]="Pågår")</f>
        <v>0</v>
      </c>
      <c r="AH1020" s="13"/>
      <c r="AI1020" s="12"/>
      <c r="AJ1020" s="12"/>
      <c r="AK1020" s="12"/>
      <c r="AL1020" s="12"/>
      <c r="AM1020" s="12"/>
      <c r="AN1020" s="12"/>
      <c r="AO1020" s="12"/>
      <c r="AP1020" s="12"/>
    </row>
    <row r="1021" spans="1:42">
      <c r="A1021" t="s">
        <v>3642</v>
      </c>
      <c r="B1021" s="8"/>
      <c r="C1021" s="8" t="s">
        <v>3643</v>
      </c>
      <c r="D1021" s="8" t="s">
        <v>720</v>
      </c>
      <c r="E1021" s="8" t="s">
        <v>71</v>
      </c>
      <c r="F1021" s="8" t="s">
        <v>3644</v>
      </c>
      <c r="G1021" s="8" t="s">
        <v>3643</v>
      </c>
      <c r="H1021" s="9">
        <v>5000</v>
      </c>
      <c r="I1021" s="9">
        <f>[1]!Tabel1[[#This Row],[Honorar]]*[1]!Tabel1[[#This Row],[Sandsynlighed]]</f>
        <v>0</v>
      </c>
      <c r="J1021" s="10" t="s">
        <v>612</v>
      </c>
      <c r="K1021" s="10" t="s">
        <v>1061</v>
      </c>
      <c r="L1021" s="21"/>
      <c r="M1021" s="11">
        <v>1</v>
      </c>
      <c r="N1021" s="1"/>
      <c r="O1021" s="10">
        <v>46279.611157407409</v>
      </c>
      <c r="P1021" s="10"/>
      <c r="Q1021" s="1" t="s">
        <v>46</v>
      </c>
      <c r="R1021" s="8" t="s">
        <v>47</v>
      </c>
      <c r="S102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2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2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2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2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2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2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2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2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2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2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2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2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21" s="12">
        <f ca="1">[1]!Tabel1[[#This Row],[Vægtet Honorar]]*([1]!Tabel1[[#This Row],[Sidst redigeret]]&gt;TODAY()-40)*([1]!Tabel1[[#This Row],[Er i resplan?]]&lt;&gt;"Ja")*([1]!Tabel1[[#This Row],[Status]]="Pågår")</f>
        <v>0</v>
      </c>
      <c r="AG1021" s="12">
        <f ca="1">[1]!Tabel1[[#This Row],[Vægtet Honorar]]*([1]!Tabel1[[#This Row],[Sidst redigeret]]&gt;TODAY()-40)*([1]!Tabel1[[#This Row],[Status]]="Pågår")</f>
        <v>0</v>
      </c>
      <c r="AH1021" s="13"/>
      <c r="AI1021" s="12"/>
      <c r="AJ1021" s="12"/>
      <c r="AK1021" s="12"/>
      <c r="AL1021" s="12"/>
      <c r="AM1021" s="12"/>
      <c r="AN1021" s="12"/>
      <c r="AO1021" s="12"/>
      <c r="AP1021" s="12"/>
    </row>
    <row r="1022" spans="1:42">
      <c r="A1022" t="s">
        <v>3645</v>
      </c>
      <c r="B1022" s="8"/>
      <c r="C1022" s="8" t="s">
        <v>3646</v>
      </c>
      <c r="D1022" s="8" t="s">
        <v>358</v>
      </c>
      <c r="E1022" s="8" t="s">
        <v>102</v>
      </c>
      <c r="F1022" s="8" t="s">
        <v>3647</v>
      </c>
      <c r="G1022" s="8" t="s">
        <v>3648</v>
      </c>
      <c r="H1022" s="9">
        <v>25000</v>
      </c>
      <c r="I1022" s="9">
        <f>[1]!Tabel1[[#This Row],[Honorar]]*[1]!Tabel1[[#This Row],[Sandsynlighed]]</f>
        <v>225000</v>
      </c>
      <c r="J1022" s="10" t="s">
        <v>1061</v>
      </c>
      <c r="K1022" s="10" t="s">
        <v>1191</v>
      </c>
      <c r="L1022" s="21"/>
      <c r="M1022" s="11">
        <v>1</v>
      </c>
      <c r="N1022" s="1"/>
      <c r="O1022" s="10">
        <v>46279.611157407409</v>
      </c>
      <c r="P1022" s="10"/>
      <c r="Q1022" s="1" t="s">
        <v>46</v>
      </c>
      <c r="R1022" s="8" t="s">
        <v>47</v>
      </c>
      <c r="S102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2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2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2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2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2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2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2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2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2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2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2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2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22" s="12">
        <f ca="1">[1]!Tabel1[[#This Row],[Vægtet Honorar]]*([1]!Tabel1[[#This Row],[Sidst redigeret]]&gt;TODAY()-40)*([1]!Tabel1[[#This Row],[Er i resplan?]]&lt;&gt;"Ja")*([1]!Tabel1[[#This Row],[Status]]="Pågår")</f>
        <v>0</v>
      </c>
      <c r="AG1022" s="12">
        <f ca="1">[1]!Tabel1[[#This Row],[Vægtet Honorar]]*([1]!Tabel1[[#This Row],[Sidst redigeret]]&gt;TODAY()-40)*([1]!Tabel1[[#This Row],[Status]]="Pågår")</f>
        <v>0</v>
      </c>
      <c r="AH1022" s="13"/>
      <c r="AI1022" s="12"/>
      <c r="AJ1022" s="12"/>
      <c r="AK1022" s="12"/>
      <c r="AL1022" s="12"/>
      <c r="AM1022" s="12"/>
      <c r="AN1022" s="12"/>
      <c r="AO1022" s="12"/>
      <c r="AP1022" s="12"/>
    </row>
    <row r="1023" spans="1:42" ht="86.25">
      <c r="A1023" t="s">
        <v>3649</v>
      </c>
      <c r="B1023" s="8"/>
      <c r="C1023" s="8" t="s">
        <v>3650</v>
      </c>
      <c r="D1023" s="8" t="s">
        <v>720</v>
      </c>
      <c r="E1023" s="8" t="s">
        <v>71</v>
      </c>
      <c r="F1023" s="8" t="s">
        <v>3650</v>
      </c>
      <c r="G1023" s="8" t="s">
        <v>3650</v>
      </c>
      <c r="H1023" s="9">
        <v>5000000</v>
      </c>
      <c r="I1023" s="9">
        <f>[1]!Tabel1[[#This Row],[Honorar]]*[1]!Tabel1[[#This Row],[Sandsynlighed]]</f>
        <v>30000</v>
      </c>
      <c r="J1023" s="10" t="s">
        <v>341</v>
      </c>
      <c r="K1023" s="10" t="s">
        <v>1861</v>
      </c>
      <c r="L1023" s="21" t="s">
        <v>3651</v>
      </c>
      <c r="M1023" s="11">
        <v>0.01</v>
      </c>
      <c r="N1023" s="1"/>
      <c r="O1023" s="10">
        <v>46279.611157407409</v>
      </c>
      <c r="P1023" s="10"/>
      <c r="Q1023" s="1" t="s">
        <v>72</v>
      </c>
      <c r="R1023" s="8" t="s">
        <v>343</v>
      </c>
      <c r="S102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2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2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2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2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2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2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2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2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2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2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2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2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23" s="12">
        <f ca="1">[1]!Tabel1[[#This Row],[Vægtet Honorar]]*([1]!Tabel1[[#This Row],[Sidst redigeret]]&gt;TODAY()-40)*([1]!Tabel1[[#This Row],[Er i resplan?]]&lt;&gt;"Ja")*([1]!Tabel1[[#This Row],[Status]]="Pågår")</f>
        <v>0</v>
      </c>
      <c r="AG1023" s="12">
        <f ca="1">[1]!Tabel1[[#This Row],[Vægtet Honorar]]*([1]!Tabel1[[#This Row],[Sidst redigeret]]&gt;TODAY()-40)*([1]!Tabel1[[#This Row],[Status]]="Pågår")</f>
        <v>30000</v>
      </c>
      <c r="AH1023" s="13"/>
      <c r="AI1023" s="12"/>
      <c r="AJ1023" s="12" t="s">
        <v>3082</v>
      </c>
      <c r="AK1023" s="12"/>
      <c r="AL1023" s="12"/>
      <c r="AM1023" s="12"/>
      <c r="AN1023" s="12"/>
      <c r="AO1023" s="12"/>
      <c r="AP1023" s="12"/>
    </row>
    <row r="1024" spans="1:42">
      <c r="A1024" t="s">
        <v>3652</v>
      </c>
      <c r="B1024" s="8"/>
      <c r="C1024" s="8" t="s">
        <v>3653</v>
      </c>
      <c r="D1024" s="8" t="s">
        <v>2886</v>
      </c>
      <c r="E1024" s="8" t="s">
        <v>120</v>
      </c>
      <c r="F1024" s="8" t="s">
        <v>3654</v>
      </c>
      <c r="G1024" s="8" t="s">
        <v>2895</v>
      </c>
      <c r="H1024" s="9">
        <v>1000000</v>
      </c>
      <c r="I1024" s="9">
        <f>[1]!Tabel1[[#This Row],[Honorar]]*[1]!Tabel1[[#This Row],[Sandsynlighed]]</f>
        <v>150000</v>
      </c>
      <c r="J1024" s="10" t="s">
        <v>329</v>
      </c>
      <c r="K1024" s="10" t="s">
        <v>2580</v>
      </c>
      <c r="L1024" s="21"/>
      <c r="M1024" s="11">
        <v>0.05</v>
      </c>
      <c r="N1024" s="1"/>
      <c r="O1024" s="10">
        <v>46279.611157407409</v>
      </c>
      <c r="P1024" s="10"/>
      <c r="Q1024" s="1" t="s">
        <v>72</v>
      </c>
      <c r="R1024" s="8" t="s">
        <v>47</v>
      </c>
      <c r="S102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2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2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2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2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2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2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2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2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2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2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2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2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24" s="12">
        <f ca="1">[1]!Tabel1[[#This Row],[Vægtet Honorar]]*([1]!Tabel1[[#This Row],[Sidst redigeret]]&gt;TODAY()-40)*([1]!Tabel1[[#This Row],[Er i resplan?]]&lt;&gt;"Ja")*([1]!Tabel1[[#This Row],[Status]]="Pågår")</f>
        <v>150000</v>
      </c>
      <c r="AG1024" s="12">
        <f ca="1">[1]!Tabel1[[#This Row],[Vægtet Honorar]]*([1]!Tabel1[[#This Row],[Sidst redigeret]]&gt;TODAY()-40)*([1]!Tabel1[[#This Row],[Status]]="Pågår")</f>
        <v>150000</v>
      </c>
      <c r="AH1024" s="13">
        <v>46269.493414351855</v>
      </c>
      <c r="AI1024" s="12"/>
      <c r="AJ1024" s="12" t="s">
        <v>2895</v>
      </c>
      <c r="AK1024" s="12"/>
      <c r="AL1024" s="12"/>
      <c r="AM1024" s="12"/>
      <c r="AN1024" s="12"/>
      <c r="AO1024" s="12"/>
      <c r="AP1024" s="12"/>
    </row>
    <row r="1025" spans="1:42">
      <c r="A1025" t="s">
        <v>3655</v>
      </c>
      <c r="B1025" s="8"/>
      <c r="C1025" s="8" t="s">
        <v>3656</v>
      </c>
      <c r="D1025" s="8" t="s">
        <v>70</v>
      </c>
      <c r="E1025" s="8" t="s">
        <v>102</v>
      </c>
      <c r="F1025" s="8" t="s">
        <v>3489</v>
      </c>
      <c r="G1025" s="8" t="s">
        <v>3489</v>
      </c>
      <c r="H1025" s="9">
        <v>200000</v>
      </c>
      <c r="I1025" s="9">
        <f>[1]!Tabel1[[#This Row],[Honorar]]*[1]!Tabel1[[#This Row],[Sandsynlighed]]</f>
        <v>0</v>
      </c>
      <c r="J1025" s="10" t="s">
        <v>1061</v>
      </c>
      <c r="K1025" s="10" t="s">
        <v>1191</v>
      </c>
      <c r="L1025" s="21"/>
      <c r="M1025" s="11">
        <v>1</v>
      </c>
      <c r="N1025" s="1"/>
      <c r="O1025" s="10">
        <v>46279.611157407409</v>
      </c>
      <c r="P1025" s="10"/>
      <c r="Q1025" s="1" t="s">
        <v>46</v>
      </c>
      <c r="R1025" s="8" t="s">
        <v>47</v>
      </c>
      <c r="S102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2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2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2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2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2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2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2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2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2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2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2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2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25" s="12">
        <f ca="1">[1]!Tabel1[[#This Row],[Vægtet Honorar]]*([1]!Tabel1[[#This Row],[Sidst redigeret]]&gt;TODAY()-40)*([1]!Tabel1[[#This Row],[Er i resplan?]]&lt;&gt;"Ja")*([1]!Tabel1[[#This Row],[Status]]="Pågår")</f>
        <v>0</v>
      </c>
      <c r="AG1025" s="12">
        <f ca="1">[1]!Tabel1[[#This Row],[Vægtet Honorar]]*([1]!Tabel1[[#This Row],[Sidst redigeret]]&gt;TODAY()-40)*([1]!Tabel1[[#This Row],[Status]]="Pågår")</f>
        <v>0</v>
      </c>
      <c r="AH1025" s="13"/>
      <c r="AI1025" s="12"/>
      <c r="AJ1025" s="12"/>
      <c r="AK1025" s="12"/>
      <c r="AL1025" s="12"/>
      <c r="AM1025" s="12"/>
      <c r="AN1025" s="12"/>
      <c r="AO1025" s="12"/>
      <c r="AP1025" s="12"/>
    </row>
    <row r="1026" spans="1:42" ht="43.5">
      <c r="A1026" t="s">
        <v>3657</v>
      </c>
      <c r="B1026" s="8"/>
      <c r="C1026" s="8" t="s">
        <v>3658</v>
      </c>
      <c r="D1026" s="8" t="s">
        <v>720</v>
      </c>
      <c r="E1026" s="8" t="s">
        <v>71</v>
      </c>
      <c r="F1026" s="8" t="s">
        <v>3659</v>
      </c>
      <c r="G1026" s="8" t="s">
        <v>1100</v>
      </c>
      <c r="H1026" s="9">
        <v>1200000</v>
      </c>
      <c r="I1026" s="9">
        <f>[1]!Tabel1[[#This Row],[Honorar]]*[1]!Tabel1[[#This Row],[Sandsynlighed]]</f>
        <v>5000</v>
      </c>
      <c r="J1026" s="10" t="s">
        <v>1061</v>
      </c>
      <c r="K1026" s="10" t="s">
        <v>585</v>
      </c>
      <c r="L1026" s="21" t="s">
        <v>3660</v>
      </c>
      <c r="M1026" s="11">
        <v>1</v>
      </c>
      <c r="N1026" s="1">
        <v>8500</v>
      </c>
      <c r="O1026" s="10">
        <v>46279.611157407409</v>
      </c>
      <c r="P1026" s="10"/>
      <c r="Q1026" s="1" t="s">
        <v>46</v>
      </c>
      <c r="R1026" s="8" t="s">
        <v>47</v>
      </c>
      <c r="S102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2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2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2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2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2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2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2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2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2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2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2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2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26" s="12">
        <f ca="1">[1]!Tabel1[[#This Row],[Vægtet Honorar]]*([1]!Tabel1[[#This Row],[Sidst redigeret]]&gt;TODAY()-40)*([1]!Tabel1[[#This Row],[Er i resplan?]]&lt;&gt;"Ja")*([1]!Tabel1[[#This Row],[Status]]="Pågår")</f>
        <v>0</v>
      </c>
      <c r="AG1026" s="12">
        <f ca="1">[1]!Tabel1[[#This Row],[Vægtet Honorar]]*([1]!Tabel1[[#This Row],[Sidst redigeret]]&gt;TODAY()-40)*([1]!Tabel1[[#This Row],[Status]]="Pågår")</f>
        <v>0</v>
      </c>
      <c r="AH1026" s="13"/>
      <c r="AI1026" s="12"/>
      <c r="AJ1026" s="12"/>
      <c r="AK1026" s="12"/>
      <c r="AL1026" s="12"/>
      <c r="AM1026" s="12"/>
      <c r="AN1026" s="12"/>
      <c r="AO1026" s="12"/>
      <c r="AP1026" s="12"/>
    </row>
    <row r="1027" spans="1:42" ht="43.5">
      <c r="A1027" t="s">
        <v>3661</v>
      </c>
      <c r="B1027" s="8"/>
      <c r="C1027" s="8" t="s">
        <v>3662</v>
      </c>
      <c r="D1027" s="8" t="s">
        <v>288</v>
      </c>
      <c r="E1027" s="8" t="s">
        <v>167</v>
      </c>
      <c r="F1027" s="8" t="s">
        <v>1127</v>
      </c>
      <c r="G1027" s="8" t="s">
        <v>1127</v>
      </c>
      <c r="H1027" s="9">
        <v>0</v>
      </c>
      <c r="I1027" s="9">
        <f>[1]!Tabel1[[#This Row],[Honorar]]*[1]!Tabel1[[#This Row],[Sandsynlighed]]</f>
        <v>25000</v>
      </c>
      <c r="J1027" s="10" t="s">
        <v>329</v>
      </c>
      <c r="K1027" s="10" t="s">
        <v>1287</v>
      </c>
      <c r="L1027" s="21" t="s">
        <v>3663</v>
      </c>
      <c r="M1027" s="11">
        <v>0.1</v>
      </c>
      <c r="N1027" s="1" t="s">
        <v>1128</v>
      </c>
      <c r="O1027" s="10">
        <v>46279.611157407409</v>
      </c>
      <c r="P1027" s="10"/>
      <c r="Q1027" s="1" t="s">
        <v>72</v>
      </c>
      <c r="R1027" s="8" t="s">
        <v>343</v>
      </c>
      <c r="S102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2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2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2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2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2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2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2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2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2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2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2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2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27" s="12">
        <f ca="1">[1]!Tabel1[[#This Row],[Vægtet Honorar]]*([1]!Tabel1[[#This Row],[Sidst redigeret]]&gt;TODAY()-40)*([1]!Tabel1[[#This Row],[Er i resplan?]]&lt;&gt;"Ja")*([1]!Tabel1[[#This Row],[Status]]="Pågår")</f>
        <v>0</v>
      </c>
      <c r="AG1027" s="12">
        <f ca="1">[1]!Tabel1[[#This Row],[Vægtet Honorar]]*([1]!Tabel1[[#This Row],[Sidst redigeret]]&gt;TODAY()-40)*([1]!Tabel1[[#This Row],[Status]]="Pågår")</f>
        <v>0</v>
      </c>
      <c r="AH1027" s="13"/>
      <c r="AI1027" s="12"/>
      <c r="AJ1027" s="12" t="s">
        <v>402</v>
      </c>
      <c r="AK1027" s="12"/>
      <c r="AL1027" s="12"/>
      <c r="AM1027" s="12"/>
      <c r="AN1027" s="12" t="s">
        <v>3664</v>
      </c>
      <c r="AO1027" s="12"/>
      <c r="AP1027" s="12"/>
    </row>
    <row r="1028" spans="1:42" ht="43.5">
      <c r="A1028" t="s">
        <v>3665</v>
      </c>
      <c r="B1028" s="8"/>
      <c r="C1028" s="8" t="s">
        <v>3666</v>
      </c>
      <c r="D1028" s="8" t="s">
        <v>720</v>
      </c>
      <c r="E1028" s="8" t="s">
        <v>71</v>
      </c>
      <c r="F1028" s="8" t="s">
        <v>547</v>
      </c>
      <c r="G1028" s="8" t="s">
        <v>547</v>
      </c>
      <c r="H1028" s="9">
        <v>2000000</v>
      </c>
      <c r="I1028" s="9">
        <f>[1]!Tabel1[[#This Row],[Honorar]]*[1]!Tabel1[[#This Row],[Sandsynlighed]]</f>
        <v>50000</v>
      </c>
      <c r="J1028" s="10" t="s">
        <v>329</v>
      </c>
      <c r="K1028" s="10" t="s">
        <v>1287</v>
      </c>
      <c r="L1028" s="21" t="s">
        <v>3667</v>
      </c>
      <c r="M1028" s="11">
        <v>0.01</v>
      </c>
      <c r="N1028" s="1">
        <v>1500</v>
      </c>
      <c r="O1028" s="10">
        <v>46279.611157407409</v>
      </c>
      <c r="P1028" s="10"/>
      <c r="Q1028" s="1" t="s">
        <v>72</v>
      </c>
      <c r="R1028" s="8" t="s">
        <v>343</v>
      </c>
      <c r="S102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2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2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2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2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2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2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2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2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2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2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2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2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28" s="12">
        <f ca="1">[1]!Tabel1[[#This Row],[Vægtet Honorar]]*([1]!Tabel1[[#This Row],[Sidst redigeret]]&gt;TODAY()-40)*([1]!Tabel1[[#This Row],[Er i resplan?]]&lt;&gt;"Ja")*([1]!Tabel1[[#This Row],[Status]]="Pågår")</f>
        <v>50000</v>
      </c>
      <c r="AG1028" s="12">
        <f ca="1">[1]!Tabel1[[#This Row],[Vægtet Honorar]]*([1]!Tabel1[[#This Row],[Sidst redigeret]]&gt;TODAY()-40)*([1]!Tabel1[[#This Row],[Status]]="Pågår")</f>
        <v>50000</v>
      </c>
      <c r="AH1028" s="13"/>
      <c r="AI1028" s="12"/>
      <c r="AJ1028" s="12" t="s">
        <v>3668</v>
      </c>
      <c r="AK1028" s="12"/>
      <c r="AL1028" s="12"/>
      <c r="AM1028" s="12"/>
      <c r="AN1028" s="12"/>
      <c r="AO1028" s="12"/>
      <c r="AP1028" s="12"/>
    </row>
    <row r="1029" spans="1:42" ht="57.75">
      <c r="A1029" t="s">
        <v>3669</v>
      </c>
      <c r="B1029" s="8"/>
      <c r="C1029" s="8" t="s">
        <v>3670</v>
      </c>
      <c r="D1029" s="8" t="s">
        <v>70</v>
      </c>
      <c r="E1029" s="8" t="s">
        <v>102</v>
      </c>
      <c r="F1029" s="8" t="s">
        <v>3670</v>
      </c>
      <c r="G1029" s="8" t="s">
        <v>3671</v>
      </c>
      <c r="H1029" s="9">
        <v>150000</v>
      </c>
      <c r="I1029" s="9">
        <f>[1]!Tabel1[[#This Row],[Honorar]]*[1]!Tabel1[[#This Row],[Sandsynlighed]]</f>
        <v>50000</v>
      </c>
      <c r="J1029" s="10" t="s">
        <v>612</v>
      </c>
      <c r="K1029" s="10" t="s">
        <v>1287</v>
      </c>
      <c r="L1029" s="21" t="s">
        <v>3672</v>
      </c>
      <c r="M1029" s="11">
        <v>1</v>
      </c>
      <c r="N1029" s="1">
        <v>400</v>
      </c>
      <c r="O1029" s="10">
        <v>46279.611157407409</v>
      </c>
      <c r="P1029" s="10"/>
      <c r="Q1029" s="1" t="s">
        <v>46</v>
      </c>
      <c r="R1029" s="8" t="s">
        <v>47</v>
      </c>
      <c r="S102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2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2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2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2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2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2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2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2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2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2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2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2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29" s="12">
        <f ca="1">[1]!Tabel1[[#This Row],[Vægtet Honorar]]*([1]!Tabel1[[#This Row],[Sidst redigeret]]&gt;TODAY()-40)*([1]!Tabel1[[#This Row],[Er i resplan?]]&lt;&gt;"Ja")*([1]!Tabel1[[#This Row],[Status]]="Pågår")</f>
        <v>0</v>
      </c>
      <c r="AG1029" s="12">
        <f ca="1">[1]!Tabel1[[#This Row],[Vægtet Honorar]]*([1]!Tabel1[[#This Row],[Sidst redigeret]]&gt;TODAY()-40)*([1]!Tabel1[[#This Row],[Status]]="Pågår")</f>
        <v>0</v>
      </c>
      <c r="AH1029" s="13"/>
      <c r="AI1029" s="12"/>
      <c r="AJ1029" s="12"/>
      <c r="AK1029" s="12"/>
      <c r="AL1029" s="12"/>
      <c r="AM1029" s="12"/>
      <c r="AN1029" s="12"/>
      <c r="AO1029" s="12"/>
      <c r="AP1029" s="12"/>
    </row>
    <row r="1030" spans="1:42">
      <c r="A1030" t="s">
        <v>3673</v>
      </c>
      <c r="B1030" s="8"/>
      <c r="C1030" s="8" t="s">
        <v>3674</v>
      </c>
      <c r="D1030" s="8" t="s">
        <v>358</v>
      </c>
      <c r="E1030" s="8" t="s">
        <v>102</v>
      </c>
      <c r="F1030" s="8" t="s">
        <v>3675</v>
      </c>
      <c r="G1030" s="8" t="s">
        <v>3676</v>
      </c>
      <c r="H1030" s="9">
        <v>80000</v>
      </c>
      <c r="I1030" s="9">
        <f>[1]!Tabel1[[#This Row],[Honorar]]*[1]!Tabel1[[#This Row],[Sandsynlighed]]</f>
        <v>200000</v>
      </c>
      <c r="J1030" s="10" t="s">
        <v>1061</v>
      </c>
      <c r="K1030" s="10" t="s">
        <v>1287</v>
      </c>
      <c r="L1030" s="21"/>
      <c r="M1030" s="11">
        <v>0.5</v>
      </c>
      <c r="N1030" s="1">
        <v>400</v>
      </c>
      <c r="O1030" s="10">
        <v>46279.611157407409</v>
      </c>
      <c r="P1030" s="10"/>
      <c r="Q1030" s="1" t="s">
        <v>46</v>
      </c>
      <c r="R1030" s="8" t="s">
        <v>49</v>
      </c>
      <c r="S103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3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3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3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3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3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3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3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3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3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3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3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3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30" s="12">
        <f ca="1">[1]!Tabel1[[#This Row],[Vægtet Honorar]]*([1]!Tabel1[[#This Row],[Sidst redigeret]]&gt;TODAY()-40)*([1]!Tabel1[[#This Row],[Er i resplan?]]&lt;&gt;"Ja")*([1]!Tabel1[[#This Row],[Status]]="Pågår")</f>
        <v>0</v>
      </c>
      <c r="AG1030" s="12">
        <f ca="1">[1]!Tabel1[[#This Row],[Vægtet Honorar]]*([1]!Tabel1[[#This Row],[Sidst redigeret]]&gt;TODAY()-40)*([1]!Tabel1[[#This Row],[Status]]="Pågår")</f>
        <v>0</v>
      </c>
      <c r="AH1030" s="13"/>
      <c r="AI1030" s="12"/>
      <c r="AJ1030" s="12"/>
      <c r="AK1030" s="12"/>
      <c r="AL1030" s="12"/>
      <c r="AM1030" s="12"/>
      <c r="AN1030" s="12"/>
      <c r="AO1030" s="12"/>
      <c r="AP1030" s="12"/>
    </row>
    <row r="1031" spans="1:42">
      <c r="A1031" t="s">
        <v>3677</v>
      </c>
      <c r="B1031" s="8"/>
      <c r="C1031" s="8" t="s">
        <v>3678</v>
      </c>
      <c r="D1031" s="8" t="s">
        <v>57</v>
      </c>
      <c r="E1031" s="8" t="s">
        <v>167</v>
      </c>
      <c r="F1031" s="8" t="s">
        <v>3678</v>
      </c>
      <c r="G1031" s="8" t="s">
        <v>3678</v>
      </c>
      <c r="H1031" s="9">
        <v>6500000</v>
      </c>
      <c r="I1031" s="9">
        <f>[1]!Tabel1[[#This Row],[Honorar]]*[1]!Tabel1[[#This Row],[Sandsynlighed]]</f>
        <v>1200000</v>
      </c>
      <c r="J1031" s="10" t="s">
        <v>1061</v>
      </c>
      <c r="K1031" s="10" t="s">
        <v>1323</v>
      </c>
      <c r="L1031" s="21"/>
      <c r="M1031" s="11">
        <v>0.01</v>
      </c>
      <c r="N1031" s="1">
        <v>11000</v>
      </c>
      <c r="O1031" s="10">
        <v>46279.611157407409</v>
      </c>
      <c r="P1031" s="10"/>
      <c r="Q1031" s="1" t="s">
        <v>72</v>
      </c>
      <c r="R1031" s="8" t="s">
        <v>49</v>
      </c>
      <c r="S103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3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3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3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3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3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3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3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3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3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3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3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3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31" s="12">
        <f ca="1">[1]!Tabel1[[#This Row],[Vægtet Honorar]]*([1]!Tabel1[[#This Row],[Sidst redigeret]]&gt;TODAY()-40)*([1]!Tabel1[[#This Row],[Er i resplan?]]&lt;&gt;"Ja")*([1]!Tabel1[[#This Row],[Status]]="Pågår")</f>
        <v>0</v>
      </c>
      <c r="AG1031" s="12">
        <f ca="1">[1]!Tabel1[[#This Row],[Vægtet Honorar]]*([1]!Tabel1[[#This Row],[Sidst redigeret]]&gt;TODAY()-40)*([1]!Tabel1[[#This Row],[Status]]="Pågår")</f>
        <v>0</v>
      </c>
      <c r="AH1031" s="13"/>
      <c r="AI1031" s="12"/>
      <c r="AJ1031" s="12" t="s">
        <v>2107</v>
      </c>
      <c r="AK1031" s="12"/>
      <c r="AL1031" s="12"/>
      <c r="AM1031" s="12"/>
      <c r="AN1031" s="12"/>
      <c r="AO1031" s="12"/>
      <c r="AP1031" s="12"/>
    </row>
    <row r="1032" spans="1:42">
      <c r="A1032" t="s">
        <v>3679</v>
      </c>
      <c r="B1032" s="8"/>
      <c r="C1032" s="8" t="s">
        <v>3680</v>
      </c>
      <c r="D1032" s="8" t="s">
        <v>720</v>
      </c>
      <c r="E1032" s="8" t="s">
        <v>71</v>
      </c>
      <c r="F1032" s="8" t="s">
        <v>3681</v>
      </c>
      <c r="G1032" s="8" t="s">
        <v>1100</v>
      </c>
      <c r="H1032" s="9">
        <v>8000000</v>
      </c>
      <c r="I1032" s="9">
        <f>[1]!Tabel1[[#This Row],[Honorar]]*[1]!Tabel1[[#This Row],[Sandsynlighed]]</f>
        <v>0</v>
      </c>
      <c r="J1032" s="10" t="s">
        <v>1191</v>
      </c>
      <c r="K1032" s="10" t="s">
        <v>1861</v>
      </c>
      <c r="L1032" s="21"/>
      <c r="M1032" s="11">
        <v>0.02</v>
      </c>
      <c r="N1032" s="1">
        <v>10000</v>
      </c>
      <c r="O1032" s="10">
        <v>46279.611157407409</v>
      </c>
      <c r="P1032" s="10"/>
      <c r="Q1032" s="1" t="s">
        <v>72</v>
      </c>
      <c r="R1032" s="8" t="s">
        <v>343</v>
      </c>
      <c r="S103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3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3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3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3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3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3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3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3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3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3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3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3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32" s="12">
        <f ca="1">[1]!Tabel1[[#This Row],[Vægtet Honorar]]*([1]!Tabel1[[#This Row],[Sidst redigeret]]&gt;TODAY()-40)*([1]!Tabel1[[#This Row],[Er i resplan?]]&lt;&gt;"Ja")*([1]!Tabel1[[#This Row],[Status]]="Pågår")</f>
        <v>0</v>
      </c>
      <c r="AG1032" s="12">
        <f ca="1">[1]!Tabel1[[#This Row],[Vægtet Honorar]]*([1]!Tabel1[[#This Row],[Sidst redigeret]]&gt;TODAY()-40)*([1]!Tabel1[[#This Row],[Status]]="Pågår")</f>
        <v>0</v>
      </c>
      <c r="AH1032" s="13"/>
      <c r="AI1032" s="12"/>
      <c r="AJ1032" s="12" t="s">
        <v>2504</v>
      </c>
      <c r="AK1032" s="12" t="s">
        <v>2931</v>
      </c>
      <c r="AL1032" s="12"/>
      <c r="AM1032" s="12"/>
      <c r="AN1032" s="12"/>
      <c r="AO1032" s="12"/>
      <c r="AP1032" s="12"/>
    </row>
    <row r="1033" spans="1:42">
      <c r="A1033" t="s">
        <v>3682</v>
      </c>
      <c r="B1033" s="8"/>
      <c r="C1033" s="8" t="s">
        <v>3683</v>
      </c>
      <c r="D1033" s="8" t="s">
        <v>2886</v>
      </c>
      <c r="E1033" s="8" t="s">
        <v>120</v>
      </c>
      <c r="F1033" s="8" t="s">
        <v>547</v>
      </c>
      <c r="G1033" s="8" t="s">
        <v>3452</v>
      </c>
      <c r="H1033" s="9">
        <v>2000000</v>
      </c>
      <c r="I1033" s="9">
        <f>[1]!Tabel1[[#This Row],[Honorar]]*[1]!Tabel1[[#This Row],[Sandsynlighed]]</f>
        <v>20000</v>
      </c>
      <c r="J1033" s="10" t="s">
        <v>1191</v>
      </c>
      <c r="K1033" s="10" t="s">
        <v>1062</v>
      </c>
      <c r="L1033" s="21"/>
      <c r="M1033" s="11">
        <v>0.05</v>
      </c>
      <c r="N1033" s="1">
        <v>4500</v>
      </c>
      <c r="O1033" s="10">
        <v>46279.611157407409</v>
      </c>
      <c r="P1033" s="10"/>
      <c r="Q1033" s="1" t="s">
        <v>72</v>
      </c>
      <c r="R1033" s="8" t="s">
        <v>47</v>
      </c>
      <c r="S103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3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3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3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3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3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3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3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3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3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3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3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3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33" s="12">
        <f ca="1">[1]!Tabel1[[#This Row],[Vægtet Honorar]]*([1]!Tabel1[[#This Row],[Sidst redigeret]]&gt;TODAY()-40)*([1]!Tabel1[[#This Row],[Er i resplan?]]&lt;&gt;"Ja")*([1]!Tabel1[[#This Row],[Status]]="Pågår")</f>
        <v>20000</v>
      </c>
      <c r="AG1033" s="12">
        <f ca="1">[1]!Tabel1[[#This Row],[Vægtet Honorar]]*([1]!Tabel1[[#This Row],[Sidst redigeret]]&gt;TODAY()-40)*([1]!Tabel1[[#This Row],[Status]]="Pågår")</f>
        <v>20000</v>
      </c>
      <c r="AH1033" s="13">
        <v>46269.493483796294</v>
      </c>
      <c r="AI1033" s="12"/>
      <c r="AJ1033" s="12" t="s">
        <v>3452</v>
      </c>
      <c r="AK1033" s="12"/>
      <c r="AL1033" s="12"/>
      <c r="AM1033" s="12"/>
      <c r="AN1033" s="12"/>
      <c r="AO1033" s="12"/>
      <c r="AP1033" s="12"/>
    </row>
    <row r="1034" spans="1:42" ht="43.5">
      <c r="A1034" t="s">
        <v>3684</v>
      </c>
      <c r="B1034" s="8"/>
      <c r="C1034" s="8" t="s">
        <v>3685</v>
      </c>
      <c r="D1034" s="8" t="s">
        <v>134</v>
      </c>
      <c r="E1034" s="8" t="s">
        <v>94</v>
      </c>
      <c r="F1034" s="8" t="s">
        <v>3597</v>
      </c>
      <c r="G1034" s="8" t="s">
        <v>3597</v>
      </c>
      <c r="H1034" s="9">
        <v>75750</v>
      </c>
      <c r="I1034" s="9">
        <f>[1]!Tabel1[[#This Row],[Honorar]]*[1]!Tabel1[[#This Row],[Sandsynlighed]]</f>
        <v>150000</v>
      </c>
      <c r="J1034" s="10" t="s">
        <v>1061</v>
      </c>
      <c r="K1034" s="10" t="s">
        <v>1191</v>
      </c>
      <c r="L1034" s="21" t="s">
        <v>3686</v>
      </c>
      <c r="M1034" s="11">
        <v>0.75</v>
      </c>
      <c r="N1034" s="1" t="s">
        <v>777</v>
      </c>
      <c r="O1034" s="10">
        <v>46279.611157407409</v>
      </c>
      <c r="P1034" s="1" t="s">
        <v>72</v>
      </c>
      <c r="Q1034" s="1" t="s">
        <v>46</v>
      </c>
      <c r="R1034" s="8" t="s">
        <v>49</v>
      </c>
      <c r="S103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3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3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3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3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3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3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3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3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3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3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3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3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34" s="12">
        <f ca="1">[1]!Tabel1[[#This Row],[Vægtet Honorar]]*([1]!Tabel1[[#This Row],[Sidst redigeret]]&gt;TODAY()-40)*([1]!Tabel1[[#This Row],[Er i resplan?]]&lt;&gt;"Ja")*([1]!Tabel1[[#This Row],[Status]]="Pågår")</f>
        <v>0</v>
      </c>
      <c r="AG1034" s="12">
        <f ca="1">[1]!Tabel1[[#This Row],[Vægtet Honorar]]*([1]!Tabel1[[#This Row],[Sidst redigeret]]&gt;TODAY()-40)*([1]!Tabel1[[#This Row],[Status]]="Pågår")</f>
        <v>0</v>
      </c>
      <c r="AH1034" s="13"/>
      <c r="AI1034" s="12"/>
      <c r="AJ1034" s="12"/>
      <c r="AK1034" s="12"/>
      <c r="AL1034" s="12"/>
      <c r="AM1034" s="12"/>
      <c r="AN1034" s="12"/>
      <c r="AO1034" s="12"/>
      <c r="AP1034" s="12"/>
    </row>
    <row r="1035" spans="1:42" ht="43.5">
      <c r="A1035" t="s">
        <v>3687</v>
      </c>
      <c r="B1035" s="8"/>
      <c r="C1035" s="8" t="s">
        <v>3688</v>
      </c>
      <c r="D1035" s="8" t="s">
        <v>93</v>
      </c>
      <c r="E1035" s="8" t="s">
        <v>94</v>
      </c>
      <c r="F1035" s="8" t="s">
        <v>2773</v>
      </c>
      <c r="G1035" s="8" t="s">
        <v>2773</v>
      </c>
      <c r="H1035" s="9">
        <v>500000</v>
      </c>
      <c r="I1035" s="9">
        <f>[1]!Tabel1[[#This Row],[Honorar]]*[1]!Tabel1[[#This Row],[Sandsynlighed]]</f>
        <v>40000</v>
      </c>
      <c r="J1035" s="10" t="s">
        <v>1287</v>
      </c>
      <c r="K1035" s="10" t="s">
        <v>1062</v>
      </c>
      <c r="L1035" s="21" t="s">
        <v>252</v>
      </c>
      <c r="M1035" s="11">
        <v>0.01</v>
      </c>
      <c r="N1035" s="1" t="s">
        <v>777</v>
      </c>
      <c r="O1035" s="10">
        <v>46279.611157407409</v>
      </c>
      <c r="P1035" s="1" t="s">
        <v>72</v>
      </c>
      <c r="Q1035" s="1" t="s">
        <v>72</v>
      </c>
      <c r="R1035" s="8" t="s">
        <v>75</v>
      </c>
      <c r="S103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3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3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3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3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3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3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3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3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3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3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3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3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35" s="12">
        <f ca="1">[1]!Tabel1[[#This Row],[Vægtet Honorar]]*([1]!Tabel1[[#This Row],[Sidst redigeret]]&gt;TODAY()-40)*([1]!Tabel1[[#This Row],[Er i resplan?]]&lt;&gt;"Ja")*([1]!Tabel1[[#This Row],[Status]]="Pågår")</f>
        <v>0</v>
      </c>
      <c r="AG1035" s="12">
        <f ca="1">[1]!Tabel1[[#This Row],[Vægtet Honorar]]*([1]!Tabel1[[#This Row],[Sidst redigeret]]&gt;TODAY()-40)*([1]!Tabel1[[#This Row],[Status]]="Pågår")</f>
        <v>0</v>
      </c>
      <c r="AH1035" s="13"/>
      <c r="AI1035" s="12"/>
      <c r="AJ1035" s="12" t="s">
        <v>2107</v>
      </c>
      <c r="AK1035" s="12" t="s">
        <v>3689</v>
      </c>
      <c r="AL1035" s="12"/>
      <c r="AM1035" s="12"/>
      <c r="AN1035" s="12"/>
      <c r="AO1035" s="12"/>
      <c r="AP1035" s="12"/>
    </row>
    <row r="1036" spans="1:42">
      <c r="A1036" t="s">
        <v>3690</v>
      </c>
      <c r="B1036" s="8"/>
      <c r="C1036" s="8" t="s">
        <v>3691</v>
      </c>
      <c r="D1036" s="8" t="s">
        <v>119</v>
      </c>
      <c r="E1036" s="8" t="s">
        <v>71</v>
      </c>
      <c r="F1036" s="8" t="s">
        <v>2332</v>
      </c>
      <c r="G1036" s="8" t="s">
        <v>2332</v>
      </c>
      <c r="H1036" s="9">
        <v>10000</v>
      </c>
      <c r="I1036" s="9">
        <f>[1]!Tabel1[[#This Row],[Honorar]]*[1]!Tabel1[[#This Row],[Sandsynlighed]]</f>
        <v>65000</v>
      </c>
      <c r="J1036" s="10" t="s">
        <v>1061</v>
      </c>
      <c r="K1036" s="10" t="s">
        <v>1061</v>
      </c>
      <c r="L1036" s="21" t="s">
        <v>1015</v>
      </c>
      <c r="M1036" s="11">
        <v>1</v>
      </c>
      <c r="N1036" s="1" t="s">
        <v>777</v>
      </c>
      <c r="O1036" s="10">
        <v>46279.611157407409</v>
      </c>
      <c r="P1036" s="10"/>
      <c r="Q1036" s="1" t="s">
        <v>46</v>
      </c>
      <c r="R1036" s="8" t="s">
        <v>47</v>
      </c>
      <c r="S103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3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3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3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3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3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3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3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3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3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3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3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3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36" s="12">
        <f ca="1">[1]!Tabel1[[#This Row],[Vægtet Honorar]]*([1]!Tabel1[[#This Row],[Sidst redigeret]]&gt;TODAY()-40)*([1]!Tabel1[[#This Row],[Er i resplan?]]&lt;&gt;"Ja")*([1]!Tabel1[[#This Row],[Status]]="Pågår")</f>
        <v>0</v>
      </c>
      <c r="AG1036" s="12">
        <f ca="1">[1]!Tabel1[[#This Row],[Vægtet Honorar]]*([1]!Tabel1[[#This Row],[Sidst redigeret]]&gt;TODAY()-40)*([1]!Tabel1[[#This Row],[Status]]="Pågår")</f>
        <v>0</v>
      </c>
      <c r="AH1036" s="13"/>
      <c r="AI1036" s="12"/>
      <c r="AJ1036" s="12" t="s">
        <v>1015</v>
      </c>
      <c r="AK1036" s="12" t="s">
        <v>1015</v>
      </c>
      <c r="AL1036" s="12"/>
      <c r="AM1036" s="12"/>
      <c r="AN1036" s="12"/>
      <c r="AO1036" s="12"/>
      <c r="AP1036" s="12"/>
    </row>
    <row r="1037" spans="1:42">
      <c r="A1037" t="s">
        <v>3692</v>
      </c>
      <c r="B1037" s="8"/>
      <c r="C1037" s="8" t="s">
        <v>3693</v>
      </c>
      <c r="D1037" s="8" t="s">
        <v>2886</v>
      </c>
      <c r="E1037" s="8" t="s">
        <v>120</v>
      </c>
      <c r="F1037" s="8" t="s">
        <v>3694</v>
      </c>
      <c r="G1037" s="8" t="s">
        <v>3251</v>
      </c>
      <c r="H1037" s="9">
        <v>1500000</v>
      </c>
      <c r="I1037" s="9">
        <f>[1]!Tabel1[[#This Row],[Honorar]]*[1]!Tabel1[[#This Row],[Sandsynlighed]]</f>
        <v>160000</v>
      </c>
      <c r="J1037" s="10" t="s">
        <v>341</v>
      </c>
      <c r="K1037" s="10" t="s">
        <v>1062</v>
      </c>
      <c r="L1037" s="21" t="s">
        <v>1015</v>
      </c>
      <c r="M1037" s="11">
        <v>0.05</v>
      </c>
      <c r="N1037" s="1" t="s">
        <v>777</v>
      </c>
      <c r="O1037" s="10">
        <v>46279.611157407409</v>
      </c>
      <c r="P1037" s="10"/>
      <c r="Q1037" s="1" t="s">
        <v>72</v>
      </c>
      <c r="R1037" s="8" t="s">
        <v>343</v>
      </c>
      <c r="S103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3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3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3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3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3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3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3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3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3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3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3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3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37" s="12">
        <f ca="1">[1]!Tabel1[[#This Row],[Vægtet Honorar]]*([1]!Tabel1[[#This Row],[Sidst redigeret]]&gt;TODAY()-40)*([1]!Tabel1[[#This Row],[Er i resplan?]]&lt;&gt;"Ja")*([1]!Tabel1[[#This Row],[Status]]="Pågår")</f>
        <v>160000</v>
      </c>
      <c r="AG1037" s="12">
        <f ca="1">[1]!Tabel1[[#This Row],[Vægtet Honorar]]*([1]!Tabel1[[#This Row],[Sidst redigeret]]&gt;TODAY()-40)*([1]!Tabel1[[#This Row],[Status]]="Pågår")</f>
        <v>160000</v>
      </c>
      <c r="AH1037" s="13"/>
      <c r="AI1037" s="12"/>
      <c r="AJ1037" s="12" t="s">
        <v>3695</v>
      </c>
      <c r="AK1037" s="12" t="s">
        <v>1015</v>
      </c>
      <c r="AL1037" s="12"/>
      <c r="AM1037" s="12"/>
      <c r="AN1037" s="12"/>
      <c r="AO1037" s="12"/>
      <c r="AP1037" s="12"/>
    </row>
    <row r="1038" spans="1:42">
      <c r="A1038" t="s">
        <v>3696</v>
      </c>
      <c r="B1038" s="8"/>
      <c r="C1038" s="8" t="s">
        <v>3697</v>
      </c>
      <c r="D1038" s="8" t="s">
        <v>2886</v>
      </c>
      <c r="E1038" s="8" t="s">
        <v>120</v>
      </c>
      <c r="F1038" s="8" t="s">
        <v>3694</v>
      </c>
      <c r="G1038" s="8" t="s">
        <v>3698</v>
      </c>
      <c r="H1038" s="9">
        <v>1500000</v>
      </c>
      <c r="I1038" s="9">
        <f>[1]!Tabel1[[#This Row],[Honorar]]*[1]!Tabel1[[#This Row],[Sandsynlighed]]</f>
        <v>100000</v>
      </c>
      <c r="J1038" s="10" t="s">
        <v>341</v>
      </c>
      <c r="K1038" s="10" t="s">
        <v>1062</v>
      </c>
      <c r="L1038" s="21" t="s">
        <v>1015</v>
      </c>
      <c r="M1038" s="11">
        <v>0.05</v>
      </c>
      <c r="N1038" s="1" t="s">
        <v>777</v>
      </c>
      <c r="O1038" s="10">
        <v>46279.611157407409</v>
      </c>
      <c r="P1038" s="10"/>
      <c r="Q1038" s="1" t="s">
        <v>72</v>
      </c>
      <c r="R1038" s="8" t="s">
        <v>343</v>
      </c>
      <c r="S103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3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3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3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3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3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3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3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3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3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3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3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3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38" s="12">
        <f ca="1">[1]!Tabel1[[#This Row],[Vægtet Honorar]]*([1]!Tabel1[[#This Row],[Sidst redigeret]]&gt;TODAY()-40)*([1]!Tabel1[[#This Row],[Er i resplan?]]&lt;&gt;"Ja")*([1]!Tabel1[[#This Row],[Status]]="Pågår")</f>
        <v>0</v>
      </c>
      <c r="AG1038" s="12">
        <f ca="1">[1]!Tabel1[[#This Row],[Vægtet Honorar]]*([1]!Tabel1[[#This Row],[Sidst redigeret]]&gt;TODAY()-40)*([1]!Tabel1[[#This Row],[Status]]="Pågår")</f>
        <v>0</v>
      </c>
      <c r="AH1038" s="13"/>
      <c r="AI1038" s="12"/>
      <c r="AJ1038" s="12" t="s">
        <v>3698</v>
      </c>
      <c r="AK1038" s="12" t="s">
        <v>1015</v>
      </c>
      <c r="AL1038" s="12"/>
      <c r="AM1038" s="12"/>
      <c r="AN1038" s="12"/>
      <c r="AO1038" s="12"/>
      <c r="AP1038" s="12"/>
    </row>
    <row r="1039" spans="1:42">
      <c r="A1039" t="s">
        <v>3699</v>
      </c>
      <c r="B1039" s="8"/>
      <c r="C1039" s="8" t="s">
        <v>1307</v>
      </c>
      <c r="D1039" s="8" t="s">
        <v>720</v>
      </c>
      <c r="E1039" s="8" t="s">
        <v>71</v>
      </c>
      <c r="F1039" s="8" t="s">
        <v>1100</v>
      </c>
      <c r="G1039" s="8" t="s">
        <v>1100</v>
      </c>
      <c r="H1039" s="9">
        <v>30000</v>
      </c>
      <c r="I1039" s="9">
        <f>[1]!Tabel1[[#This Row],[Honorar]]*[1]!Tabel1[[#This Row],[Sandsynlighed]]</f>
        <v>56812.5</v>
      </c>
      <c r="J1039" s="10" t="s">
        <v>1061</v>
      </c>
      <c r="K1039" s="10" t="s">
        <v>1061</v>
      </c>
      <c r="L1039" s="21" t="s">
        <v>1015</v>
      </c>
      <c r="M1039" s="11">
        <v>0.95</v>
      </c>
      <c r="N1039" s="1" t="s">
        <v>777</v>
      </c>
      <c r="O1039" s="10">
        <v>46279.611157407409</v>
      </c>
      <c r="P1039" s="10"/>
      <c r="Q1039" s="1" t="s">
        <v>46</v>
      </c>
      <c r="R1039" s="8" t="s">
        <v>47</v>
      </c>
      <c r="S103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3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3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3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3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3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3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3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3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3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3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3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3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39" s="12">
        <f ca="1">[1]!Tabel1[[#This Row],[Vægtet Honorar]]*([1]!Tabel1[[#This Row],[Sidst redigeret]]&gt;TODAY()-40)*([1]!Tabel1[[#This Row],[Er i resplan?]]&lt;&gt;"Ja")*([1]!Tabel1[[#This Row],[Status]]="Pågår")</f>
        <v>0</v>
      </c>
      <c r="AG1039" s="12">
        <f ca="1">[1]!Tabel1[[#This Row],[Vægtet Honorar]]*([1]!Tabel1[[#This Row],[Sidst redigeret]]&gt;TODAY()-40)*([1]!Tabel1[[#This Row],[Status]]="Pågår")</f>
        <v>0</v>
      </c>
      <c r="AH1039" s="13"/>
      <c r="AI1039" s="12"/>
      <c r="AJ1039" s="12"/>
      <c r="AK1039" s="12"/>
      <c r="AL1039" s="12"/>
      <c r="AM1039" s="12"/>
      <c r="AN1039" s="12"/>
      <c r="AO1039" s="12"/>
      <c r="AP1039" s="12"/>
    </row>
    <row r="1040" spans="1:42" ht="100.5">
      <c r="A1040" t="s">
        <v>3700</v>
      </c>
      <c r="B1040" s="8"/>
      <c r="C1040" s="8" t="s">
        <v>3701</v>
      </c>
      <c r="D1040" s="8" t="s">
        <v>119</v>
      </c>
      <c r="E1040" s="8" t="s">
        <v>71</v>
      </c>
      <c r="F1040" s="8" t="s">
        <v>3702</v>
      </c>
      <c r="G1040" s="8" t="s">
        <v>3702</v>
      </c>
      <c r="H1040" s="9">
        <v>25000</v>
      </c>
      <c r="I1040" s="9">
        <f>[1]!Tabel1[[#This Row],[Honorar]]*[1]!Tabel1[[#This Row],[Sandsynlighed]]</f>
        <v>5000</v>
      </c>
      <c r="J1040" s="10" t="s">
        <v>1061</v>
      </c>
      <c r="K1040" s="10" t="s">
        <v>1061</v>
      </c>
      <c r="L1040" s="21" t="s">
        <v>3703</v>
      </c>
      <c r="M1040" s="11">
        <v>0.5</v>
      </c>
      <c r="N1040" s="1" t="s">
        <v>777</v>
      </c>
      <c r="O1040" s="10">
        <v>46279.611157407409</v>
      </c>
      <c r="P1040" s="10"/>
      <c r="Q1040" s="1" t="s">
        <v>46</v>
      </c>
      <c r="R1040" s="8" t="s">
        <v>47</v>
      </c>
      <c r="S104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4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4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4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4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4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4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4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4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4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4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4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4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40" s="12">
        <f ca="1">[1]!Tabel1[[#This Row],[Vægtet Honorar]]*([1]!Tabel1[[#This Row],[Sidst redigeret]]&gt;TODAY()-40)*([1]!Tabel1[[#This Row],[Er i resplan?]]&lt;&gt;"Ja")*([1]!Tabel1[[#This Row],[Status]]="Pågår")</f>
        <v>0</v>
      </c>
      <c r="AG1040" s="12">
        <f ca="1">[1]!Tabel1[[#This Row],[Vægtet Honorar]]*([1]!Tabel1[[#This Row],[Sidst redigeret]]&gt;TODAY()-40)*([1]!Tabel1[[#This Row],[Status]]="Pågår")</f>
        <v>0</v>
      </c>
      <c r="AH1040" s="13"/>
      <c r="AI1040" s="12"/>
      <c r="AJ1040" s="12"/>
      <c r="AK1040" s="12"/>
      <c r="AL1040" s="12"/>
      <c r="AM1040" s="12"/>
      <c r="AN1040" s="12"/>
      <c r="AO1040" s="12"/>
      <c r="AP1040" s="12"/>
    </row>
    <row r="1041" spans="1:42" ht="29.25">
      <c r="A1041" t="s">
        <v>3704</v>
      </c>
      <c r="B1041" s="8"/>
      <c r="C1041" s="8" t="s">
        <v>3705</v>
      </c>
      <c r="D1041" s="8" t="s">
        <v>358</v>
      </c>
      <c r="E1041" s="8" t="s">
        <v>102</v>
      </c>
      <c r="F1041" s="8"/>
      <c r="G1041" s="8" t="s">
        <v>3706</v>
      </c>
      <c r="H1041" s="9">
        <v>350000</v>
      </c>
      <c r="I1041" s="9">
        <f>[1]!Tabel1[[#This Row],[Honorar]]*[1]!Tabel1[[#This Row],[Sandsynlighed]]</f>
        <v>10000</v>
      </c>
      <c r="J1041" s="10" t="s">
        <v>341</v>
      </c>
      <c r="K1041" s="10" t="s">
        <v>342</v>
      </c>
      <c r="L1041" s="21" t="s">
        <v>3707</v>
      </c>
      <c r="M1041" s="11">
        <v>0.1</v>
      </c>
      <c r="N1041" s="1" t="s">
        <v>777</v>
      </c>
      <c r="O1041" s="10">
        <v>46279.611157407409</v>
      </c>
      <c r="P1041" s="10"/>
      <c r="Q1041" s="1" t="s">
        <v>72</v>
      </c>
      <c r="R1041" s="8" t="s">
        <v>49</v>
      </c>
      <c r="S104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4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4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4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4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4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4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4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4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4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4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4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4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41" s="12">
        <f ca="1">[1]!Tabel1[[#This Row],[Vægtet Honorar]]*([1]!Tabel1[[#This Row],[Sidst redigeret]]&gt;TODAY()-40)*([1]!Tabel1[[#This Row],[Er i resplan?]]&lt;&gt;"Ja")*([1]!Tabel1[[#This Row],[Status]]="Pågår")</f>
        <v>0</v>
      </c>
      <c r="AG1041" s="12">
        <f ca="1">[1]!Tabel1[[#This Row],[Vægtet Honorar]]*([1]!Tabel1[[#This Row],[Sidst redigeret]]&gt;TODAY()-40)*([1]!Tabel1[[#This Row],[Status]]="Pågår")</f>
        <v>0</v>
      </c>
      <c r="AH1041" s="13"/>
      <c r="AI1041" s="12"/>
      <c r="AJ1041" s="12"/>
      <c r="AK1041" s="12"/>
      <c r="AL1041" s="12"/>
      <c r="AM1041" s="12"/>
      <c r="AN1041" s="12"/>
      <c r="AO1041" s="12"/>
      <c r="AP1041" s="12"/>
    </row>
    <row r="1042" spans="1:42">
      <c r="A1042" t="s">
        <v>3708</v>
      </c>
      <c r="B1042" s="8"/>
      <c r="C1042" s="8" t="s">
        <v>3709</v>
      </c>
      <c r="D1042" s="8" t="s">
        <v>896</v>
      </c>
      <c r="E1042" s="8" t="s">
        <v>167</v>
      </c>
      <c r="F1042" s="8"/>
      <c r="G1042" s="8" t="s">
        <v>1100</v>
      </c>
      <c r="H1042" s="9">
        <v>20000000</v>
      </c>
      <c r="I1042" s="9">
        <f>[1]!Tabel1[[#This Row],[Honorar]]*[1]!Tabel1[[#This Row],[Sandsynlighed]]</f>
        <v>75000</v>
      </c>
      <c r="J1042" s="10" t="s">
        <v>329</v>
      </c>
      <c r="K1042" s="10" t="s">
        <v>341</v>
      </c>
      <c r="L1042" s="21"/>
      <c r="M1042" s="11">
        <v>0</v>
      </c>
      <c r="N1042" s="1" t="s">
        <v>777</v>
      </c>
      <c r="O1042" s="10">
        <v>46279.611157407409</v>
      </c>
      <c r="P1042" s="10"/>
      <c r="Q1042" s="1" t="s">
        <v>72</v>
      </c>
      <c r="R1042" s="8" t="s">
        <v>49</v>
      </c>
      <c r="S104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4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4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4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4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4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4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4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4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4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4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4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4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42" s="12">
        <f ca="1">[1]!Tabel1[[#This Row],[Vægtet Honorar]]*([1]!Tabel1[[#This Row],[Sidst redigeret]]&gt;TODAY()-40)*([1]!Tabel1[[#This Row],[Er i resplan?]]&lt;&gt;"Ja")*([1]!Tabel1[[#This Row],[Status]]="Pågår")</f>
        <v>75000</v>
      </c>
      <c r="AG1042" s="12">
        <f ca="1">[1]!Tabel1[[#This Row],[Vægtet Honorar]]*([1]!Tabel1[[#This Row],[Sidst redigeret]]&gt;TODAY()-40)*([1]!Tabel1[[#This Row],[Status]]="Pågår")</f>
        <v>75000</v>
      </c>
      <c r="AH1042" s="13"/>
      <c r="AI1042" s="12" t="s">
        <v>1100</v>
      </c>
      <c r="AJ1042" s="12" t="s">
        <v>1352</v>
      </c>
      <c r="AK1042" s="12" t="s">
        <v>1015</v>
      </c>
      <c r="AL1042" s="12" t="s">
        <v>601</v>
      </c>
      <c r="AM1042" s="12"/>
      <c r="AN1042" s="12"/>
      <c r="AO1042" s="12" t="s">
        <v>3710</v>
      </c>
      <c r="AP1042" s="12"/>
    </row>
    <row r="1043" spans="1:42">
      <c r="A1043" t="s">
        <v>3711</v>
      </c>
      <c r="B1043" s="8"/>
      <c r="C1043" s="8" t="s">
        <v>3712</v>
      </c>
      <c r="D1043" s="8" t="s">
        <v>2886</v>
      </c>
      <c r="E1043" s="8" t="s">
        <v>120</v>
      </c>
      <c r="F1043" s="8"/>
      <c r="G1043" s="8" t="s">
        <v>3561</v>
      </c>
      <c r="H1043" s="9">
        <v>1500000</v>
      </c>
      <c r="I1043" s="9">
        <f>[1]!Tabel1[[#This Row],[Honorar]]*[1]!Tabel1[[#This Row],[Sandsynlighed]]</f>
        <v>75000</v>
      </c>
      <c r="J1043" s="10" t="s">
        <v>1287</v>
      </c>
      <c r="K1043" s="10" t="s">
        <v>585</v>
      </c>
      <c r="L1043" s="21"/>
      <c r="M1043" s="11">
        <v>0.05</v>
      </c>
      <c r="N1043" s="1" t="s">
        <v>777</v>
      </c>
      <c r="O1043" s="10">
        <v>46279.611157407409</v>
      </c>
      <c r="P1043" s="10"/>
      <c r="Q1043" s="1" t="s">
        <v>72</v>
      </c>
      <c r="R1043" s="8" t="s">
        <v>75</v>
      </c>
      <c r="S104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4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4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4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4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4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4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4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4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4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4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4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4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43" s="12">
        <f ca="1">[1]!Tabel1[[#This Row],[Vægtet Honorar]]*([1]!Tabel1[[#This Row],[Sidst redigeret]]&gt;TODAY()-40)*([1]!Tabel1[[#This Row],[Er i resplan?]]&lt;&gt;"Ja")*([1]!Tabel1[[#This Row],[Status]]="Pågår")</f>
        <v>75000</v>
      </c>
      <c r="AG1043" s="12">
        <f ca="1">[1]!Tabel1[[#This Row],[Vægtet Honorar]]*([1]!Tabel1[[#This Row],[Sidst redigeret]]&gt;TODAY()-40)*([1]!Tabel1[[#This Row],[Status]]="Pågår")</f>
        <v>75000</v>
      </c>
      <c r="AH1043" s="13"/>
      <c r="AI1043" s="12"/>
      <c r="AJ1043" s="12" t="s">
        <v>2944</v>
      </c>
      <c r="AK1043" s="12" t="s">
        <v>1015</v>
      </c>
      <c r="AL1043" s="12"/>
      <c r="AM1043" s="12"/>
      <c r="AN1043" s="12"/>
      <c r="AO1043" s="12"/>
      <c r="AP1043" s="12"/>
    </row>
    <row r="1044" spans="1:42" ht="100.5">
      <c r="A1044" t="s">
        <v>3713</v>
      </c>
      <c r="B1044" s="8"/>
      <c r="C1044" s="8" t="s">
        <v>3714</v>
      </c>
      <c r="D1044" s="8" t="s">
        <v>93</v>
      </c>
      <c r="E1044" s="8" t="s">
        <v>94</v>
      </c>
      <c r="F1044" s="8" t="s">
        <v>2003</v>
      </c>
      <c r="G1044" s="8" t="s">
        <v>2003</v>
      </c>
      <c r="H1044" s="9">
        <v>1500000</v>
      </c>
      <c r="I1044" s="9">
        <f>[1]!Tabel1[[#This Row],[Honorar]]*[1]!Tabel1[[#This Row],[Sandsynlighed]]</f>
        <v>28500</v>
      </c>
      <c r="J1044" s="10" t="s">
        <v>341</v>
      </c>
      <c r="K1044" s="10" t="s">
        <v>342</v>
      </c>
      <c r="L1044" s="21" t="s">
        <v>3715</v>
      </c>
      <c r="M1044" s="11">
        <v>0.01</v>
      </c>
      <c r="N1044" s="1" t="s">
        <v>777</v>
      </c>
      <c r="O1044" s="10">
        <v>46279.611157407409</v>
      </c>
      <c r="P1044" s="1" t="s">
        <v>72</v>
      </c>
      <c r="Q1044" s="1" t="s">
        <v>72</v>
      </c>
      <c r="R1044" s="8" t="s">
        <v>49</v>
      </c>
      <c r="S104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4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4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4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4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4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4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4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4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4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4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4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4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44" s="12">
        <f ca="1">[1]!Tabel1[[#This Row],[Vægtet Honorar]]*([1]!Tabel1[[#This Row],[Sidst redigeret]]&gt;TODAY()-40)*([1]!Tabel1[[#This Row],[Er i resplan?]]&lt;&gt;"Ja")*([1]!Tabel1[[#This Row],[Status]]="Pågår")</f>
        <v>0</v>
      </c>
      <c r="AG1044" s="12">
        <f ca="1">[1]!Tabel1[[#This Row],[Vægtet Honorar]]*([1]!Tabel1[[#This Row],[Sidst redigeret]]&gt;TODAY()-40)*([1]!Tabel1[[#This Row],[Status]]="Pågår")</f>
        <v>0</v>
      </c>
      <c r="AH1044" s="13"/>
      <c r="AI1044" s="12"/>
      <c r="AJ1044" s="12" t="s">
        <v>213</v>
      </c>
      <c r="AK1044" s="12" t="s">
        <v>539</v>
      </c>
      <c r="AL1044" s="12"/>
      <c r="AM1044" s="12"/>
      <c r="AN1044" s="12"/>
      <c r="AO1044" s="12"/>
      <c r="AP1044" s="12"/>
    </row>
    <row r="1045" spans="1:42" ht="29.25">
      <c r="A1045" t="s">
        <v>3716</v>
      </c>
      <c r="B1045" s="8"/>
      <c r="C1045" s="8" t="s">
        <v>3717</v>
      </c>
      <c r="D1045" s="8" t="s">
        <v>93</v>
      </c>
      <c r="E1045" s="8" t="s">
        <v>94</v>
      </c>
      <c r="F1045" s="8" t="s">
        <v>3718</v>
      </c>
      <c r="G1045" s="8" t="s">
        <v>3718</v>
      </c>
      <c r="H1045" s="9">
        <v>1000000</v>
      </c>
      <c r="I1045" s="9">
        <f>[1]!Tabel1[[#This Row],[Honorar]]*[1]!Tabel1[[#This Row],[Sandsynlighed]]</f>
        <v>12500</v>
      </c>
      <c r="J1045" s="10" t="s">
        <v>1861</v>
      </c>
      <c r="K1045" s="10" t="s">
        <v>898</v>
      </c>
      <c r="L1045" s="21" t="s">
        <v>3719</v>
      </c>
      <c r="M1045" s="11">
        <v>0.01</v>
      </c>
      <c r="N1045" s="1" t="s">
        <v>777</v>
      </c>
      <c r="O1045" s="10">
        <v>46279.611157407409</v>
      </c>
      <c r="P1045" s="1" t="s">
        <v>72</v>
      </c>
      <c r="Q1045" s="1" t="s">
        <v>72</v>
      </c>
      <c r="R1045" s="8" t="s">
        <v>343</v>
      </c>
      <c r="S104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4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4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4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4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4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4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4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4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4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4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4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4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45" s="12">
        <f ca="1">[1]!Tabel1[[#This Row],[Vægtet Honorar]]*([1]!Tabel1[[#This Row],[Sidst redigeret]]&gt;TODAY()-40)*([1]!Tabel1[[#This Row],[Er i resplan?]]&lt;&gt;"Ja")*([1]!Tabel1[[#This Row],[Status]]="Pågår")</f>
        <v>0</v>
      </c>
      <c r="AG1045" s="12">
        <f ca="1">[1]!Tabel1[[#This Row],[Vægtet Honorar]]*([1]!Tabel1[[#This Row],[Sidst redigeret]]&gt;TODAY()-40)*([1]!Tabel1[[#This Row],[Status]]="Pågår")</f>
        <v>0</v>
      </c>
      <c r="AH1045" s="13"/>
      <c r="AI1045" s="12"/>
      <c r="AJ1045" s="12" t="s">
        <v>3720</v>
      </c>
      <c r="AK1045" s="12"/>
      <c r="AL1045" s="12"/>
      <c r="AM1045" s="12"/>
      <c r="AN1045" s="12"/>
      <c r="AO1045" s="12"/>
      <c r="AP1045" s="12"/>
    </row>
    <row r="1046" spans="1:42">
      <c r="A1046" t="s">
        <v>3721</v>
      </c>
      <c r="B1046" s="8"/>
      <c r="C1046" s="8" t="s">
        <v>3722</v>
      </c>
      <c r="D1046" s="8" t="s">
        <v>2886</v>
      </c>
      <c r="E1046" s="8" t="s">
        <v>120</v>
      </c>
      <c r="F1046" s="8" t="s">
        <v>3718</v>
      </c>
      <c r="G1046" s="8" t="s">
        <v>2959</v>
      </c>
      <c r="H1046" s="9">
        <v>5000000</v>
      </c>
      <c r="I1046" s="9">
        <f>[1]!Tabel1[[#This Row],[Honorar]]*[1]!Tabel1[[#This Row],[Sandsynlighed]]</f>
        <v>35000</v>
      </c>
      <c r="J1046" s="10" t="s">
        <v>1191</v>
      </c>
      <c r="K1046" s="10" t="s">
        <v>1062</v>
      </c>
      <c r="L1046" s="21"/>
      <c r="M1046" s="11">
        <v>0.05</v>
      </c>
      <c r="N1046" s="1">
        <v>5000</v>
      </c>
      <c r="O1046" s="10">
        <v>46279.611157407409</v>
      </c>
      <c r="P1046" s="10"/>
      <c r="Q1046" s="1" t="s">
        <v>72</v>
      </c>
      <c r="R1046" s="8" t="s">
        <v>343</v>
      </c>
      <c r="S104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4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4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4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4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4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4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4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4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4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4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4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4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46" s="12">
        <f ca="1">[1]!Tabel1[[#This Row],[Vægtet Honorar]]*([1]!Tabel1[[#This Row],[Sidst redigeret]]&gt;TODAY()-40)*([1]!Tabel1[[#This Row],[Er i resplan?]]&lt;&gt;"Ja")*([1]!Tabel1[[#This Row],[Status]]="Pågår")</f>
        <v>0</v>
      </c>
      <c r="AG1046" s="12">
        <f ca="1">[1]!Tabel1[[#This Row],[Vægtet Honorar]]*([1]!Tabel1[[#This Row],[Sidst redigeret]]&gt;TODAY()-40)*([1]!Tabel1[[#This Row],[Status]]="Pågår")</f>
        <v>0</v>
      </c>
      <c r="AH1046" s="13"/>
      <c r="AI1046" s="12" t="s">
        <v>2959</v>
      </c>
      <c r="AJ1046" s="12" t="s">
        <v>2917</v>
      </c>
      <c r="AK1046" s="12"/>
      <c r="AL1046" s="12"/>
      <c r="AM1046" s="12"/>
      <c r="AN1046" s="12"/>
      <c r="AO1046" s="12"/>
      <c r="AP1046" s="12"/>
    </row>
    <row r="1047" spans="1:42">
      <c r="A1047" t="s">
        <v>3723</v>
      </c>
      <c r="B1047" s="8"/>
      <c r="C1047" s="8" t="s">
        <v>3724</v>
      </c>
      <c r="D1047" s="8" t="s">
        <v>720</v>
      </c>
      <c r="E1047" s="8" t="s">
        <v>71</v>
      </c>
      <c r="F1047" s="8" t="s">
        <v>3725</v>
      </c>
      <c r="G1047" s="8" t="s">
        <v>1100</v>
      </c>
      <c r="H1047" s="9">
        <v>30000</v>
      </c>
      <c r="I1047" s="9">
        <f>[1]!Tabel1[[#This Row],[Honorar]]*[1]!Tabel1[[#This Row],[Sandsynlighed]]</f>
        <v>0</v>
      </c>
      <c r="J1047" s="10" t="s">
        <v>1061</v>
      </c>
      <c r="K1047" s="10" t="s">
        <v>329</v>
      </c>
      <c r="L1047" s="21"/>
      <c r="M1047" s="11">
        <v>1</v>
      </c>
      <c r="N1047" s="1">
        <v>5000</v>
      </c>
      <c r="O1047" s="10">
        <v>46279.611157407409</v>
      </c>
      <c r="P1047" s="10"/>
      <c r="Q1047" s="1" t="s">
        <v>46</v>
      </c>
      <c r="R1047" s="8" t="s">
        <v>47</v>
      </c>
      <c r="S104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4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4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4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4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4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4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4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4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4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4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4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4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47" s="12">
        <f ca="1">[1]!Tabel1[[#This Row],[Vægtet Honorar]]*([1]!Tabel1[[#This Row],[Sidst redigeret]]&gt;TODAY()-40)*([1]!Tabel1[[#This Row],[Er i resplan?]]&lt;&gt;"Ja")*([1]!Tabel1[[#This Row],[Status]]="Pågår")</f>
        <v>0</v>
      </c>
      <c r="AG1047" s="12">
        <f ca="1">[1]!Tabel1[[#This Row],[Vægtet Honorar]]*([1]!Tabel1[[#This Row],[Sidst redigeret]]&gt;TODAY()-40)*([1]!Tabel1[[#This Row],[Status]]="Pågår")</f>
        <v>0</v>
      </c>
      <c r="AH1047" s="13"/>
      <c r="AI1047" s="12"/>
      <c r="AJ1047" s="12"/>
      <c r="AK1047" s="12"/>
      <c r="AL1047" s="12"/>
      <c r="AM1047" s="12"/>
      <c r="AN1047" s="12"/>
      <c r="AO1047" s="12"/>
      <c r="AP1047" s="12"/>
    </row>
    <row r="1048" spans="1:42" ht="57.75">
      <c r="A1048" t="s">
        <v>3726</v>
      </c>
      <c r="B1048" s="8"/>
      <c r="C1048" s="8" t="s">
        <v>3727</v>
      </c>
      <c r="D1048" s="8" t="s">
        <v>2886</v>
      </c>
      <c r="E1048" s="8" t="s">
        <v>120</v>
      </c>
      <c r="F1048" s="8" t="s">
        <v>726</v>
      </c>
      <c r="G1048" s="8" t="s">
        <v>726</v>
      </c>
      <c r="H1048" s="9">
        <v>300000</v>
      </c>
      <c r="I1048" s="9">
        <f>[1]!Tabel1[[#This Row],[Honorar]]*[1]!Tabel1[[#This Row],[Sandsynlighed]]</f>
        <v>75000</v>
      </c>
      <c r="J1048" s="10" t="s">
        <v>1061</v>
      </c>
      <c r="K1048" s="10" t="s">
        <v>329</v>
      </c>
      <c r="L1048" s="21" t="s">
        <v>3728</v>
      </c>
      <c r="M1048" s="11">
        <v>0.2</v>
      </c>
      <c r="N1048" s="1"/>
      <c r="O1048" s="10">
        <v>46279.611157407409</v>
      </c>
      <c r="P1048" s="10"/>
      <c r="Q1048" s="1" t="s">
        <v>72</v>
      </c>
      <c r="R1048" s="8" t="s">
        <v>75</v>
      </c>
      <c r="S104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4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4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4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4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4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4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4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4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4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4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4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4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48" s="12">
        <f ca="1">[1]!Tabel1[[#This Row],[Vægtet Honorar]]*([1]!Tabel1[[#This Row],[Sidst redigeret]]&gt;TODAY()-40)*([1]!Tabel1[[#This Row],[Er i resplan?]]&lt;&gt;"Ja")*([1]!Tabel1[[#This Row],[Status]]="Pågår")</f>
        <v>0</v>
      </c>
      <c r="AG1048" s="12">
        <f ca="1">[1]!Tabel1[[#This Row],[Vægtet Honorar]]*([1]!Tabel1[[#This Row],[Sidst redigeret]]&gt;TODAY()-40)*([1]!Tabel1[[#This Row],[Status]]="Pågår")</f>
        <v>0</v>
      </c>
      <c r="AH1048" s="13"/>
      <c r="AI1048" s="12"/>
      <c r="AJ1048" s="12" t="s">
        <v>3729</v>
      </c>
      <c r="AK1048" s="12"/>
      <c r="AL1048" s="12"/>
      <c r="AM1048" s="12"/>
      <c r="AN1048" s="12" t="s">
        <v>3730</v>
      </c>
      <c r="AO1048" s="12"/>
      <c r="AP1048" s="12"/>
    </row>
    <row r="1049" spans="1:42">
      <c r="A1049" t="s">
        <v>3731</v>
      </c>
      <c r="B1049" s="8"/>
      <c r="C1049" s="8" t="s">
        <v>3732</v>
      </c>
      <c r="D1049" s="8" t="s">
        <v>2886</v>
      </c>
      <c r="E1049" s="8" t="s">
        <v>120</v>
      </c>
      <c r="F1049" s="8" t="s">
        <v>3733</v>
      </c>
      <c r="G1049" s="8" t="s">
        <v>3733</v>
      </c>
      <c r="H1049" s="9">
        <v>2000000</v>
      </c>
      <c r="I1049" s="9">
        <f>[1]!Tabel1[[#This Row],[Honorar]]*[1]!Tabel1[[#This Row],[Sandsynlighed]]</f>
        <v>15000</v>
      </c>
      <c r="J1049" s="10" t="s">
        <v>1287</v>
      </c>
      <c r="K1049" s="10" t="s">
        <v>2624</v>
      </c>
      <c r="L1049" s="21"/>
      <c r="M1049" s="11">
        <v>0.05</v>
      </c>
      <c r="N1049" s="1"/>
      <c r="O1049" s="10">
        <v>46279.611157407409</v>
      </c>
      <c r="P1049" s="10"/>
      <c r="Q1049" s="1" t="s">
        <v>72</v>
      </c>
      <c r="R1049" s="8" t="s">
        <v>75</v>
      </c>
      <c r="S104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4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4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4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4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4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4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4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4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4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4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4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4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49" s="12">
        <f ca="1">[1]!Tabel1[[#This Row],[Vægtet Honorar]]*([1]!Tabel1[[#This Row],[Sidst redigeret]]&gt;TODAY()-40)*([1]!Tabel1[[#This Row],[Er i resplan?]]&lt;&gt;"Ja")*([1]!Tabel1[[#This Row],[Status]]="Pågår")</f>
        <v>0</v>
      </c>
      <c r="AG1049" s="12">
        <f ca="1">[1]!Tabel1[[#This Row],[Vægtet Honorar]]*([1]!Tabel1[[#This Row],[Sidst redigeret]]&gt;TODAY()-40)*([1]!Tabel1[[#This Row],[Status]]="Pågår")</f>
        <v>0</v>
      </c>
      <c r="AH1049" s="13"/>
      <c r="AI1049" s="12"/>
      <c r="AJ1049" s="12" t="s">
        <v>2917</v>
      </c>
      <c r="AK1049" s="12"/>
      <c r="AL1049" s="12"/>
      <c r="AM1049" s="12"/>
      <c r="AN1049" s="12"/>
      <c r="AO1049" s="12" t="s">
        <v>3734</v>
      </c>
      <c r="AP1049" s="12"/>
    </row>
    <row r="1050" spans="1:42" ht="100.5">
      <c r="A1050" t="s">
        <v>3735</v>
      </c>
      <c r="B1050" s="8"/>
      <c r="C1050" s="8" t="s">
        <v>3736</v>
      </c>
      <c r="D1050" s="8" t="s">
        <v>134</v>
      </c>
      <c r="E1050" s="8" t="s">
        <v>94</v>
      </c>
      <c r="F1050" s="8" t="s">
        <v>3737</v>
      </c>
      <c r="G1050" s="8" t="s">
        <v>3737</v>
      </c>
      <c r="H1050" s="9">
        <v>35000</v>
      </c>
      <c r="I1050" s="9">
        <f>[1]!Tabel1[[#This Row],[Honorar]]*[1]!Tabel1[[#This Row],[Sandsynlighed]]</f>
        <v>10000</v>
      </c>
      <c r="J1050" s="10" t="s">
        <v>1061</v>
      </c>
      <c r="K1050" s="10" t="s">
        <v>1287</v>
      </c>
      <c r="L1050" s="21" t="s">
        <v>3738</v>
      </c>
      <c r="M1050" s="11">
        <v>1</v>
      </c>
      <c r="N1050" s="1" t="s">
        <v>777</v>
      </c>
      <c r="O1050" s="10">
        <v>46279.611157407409</v>
      </c>
      <c r="P1050" s="1" t="s">
        <v>72</v>
      </c>
      <c r="Q1050" s="1" t="s">
        <v>72</v>
      </c>
      <c r="R1050" s="8" t="s">
        <v>47</v>
      </c>
      <c r="S105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5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5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5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5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5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5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5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5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5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5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5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5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50" s="12">
        <f ca="1">[1]!Tabel1[[#This Row],[Vægtet Honorar]]*([1]!Tabel1[[#This Row],[Sidst redigeret]]&gt;TODAY()-40)*([1]!Tabel1[[#This Row],[Er i resplan?]]&lt;&gt;"Ja")*([1]!Tabel1[[#This Row],[Status]]="Pågår")</f>
        <v>10000</v>
      </c>
      <c r="AG1050" s="12">
        <f ca="1">[1]!Tabel1[[#This Row],[Vægtet Honorar]]*([1]!Tabel1[[#This Row],[Sidst redigeret]]&gt;TODAY()-40)*([1]!Tabel1[[#This Row],[Status]]="Pågår")</f>
        <v>10000</v>
      </c>
      <c r="AH1050" s="13"/>
      <c r="AI1050" s="12"/>
      <c r="AJ1050" s="12"/>
      <c r="AK1050" s="12"/>
      <c r="AL1050" s="12"/>
      <c r="AM1050" s="12"/>
      <c r="AN1050" s="12"/>
      <c r="AO1050" s="12"/>
      <c r="AP1050" s="12"/>
    </row>
    <row r="1051" spans="1:42" ht="86.25">
      <c r="A1051" t="s">
        <v>3739</v>
      </c>
      <c r="B1051" s="8"/>
      <c r="C1051" s="8" t="s">
        <v>3740</v>
      </c>
      <c r="D1051" s="8" t="s">
        <v>720</v>
      </c>
      <c r="E1051" s="8" t="s">
        <v>71</v>
      </c>
      <c r="F1051" s="8" t="s">
        <v>3741</v>
      </c>
      <c r="G1051" s="8" t="s">
        <v>3741</v>
      </c>
      <c r="H1051" s="9">
        <v>1800000</v>
      </c>
      <c r="I1051" s="9">
        <f>[1]!Tabel1[[#This Row],[Honorar]]*[1]!Tabel1[[#This Row],[Sandsynlighed]]</f>
        <v>250000</v>
      </c>
      <c r="J1051" s="10" t="s">
        <v>1061</v>
      </c>
      <c r="K1051" s="10" t="s">
        <v>585</v>
      </c>
      <c r="L1051" s="21" t="s">
        <v>3742</v>
      </c>
      <c r="M1051" s="11">
        <v>0.02</v>
      </c>
      <c r="N1051" s="1">
        <v>6900</v>
      </c>
      <c r="O1051" s="10">
        <v>46279.611157407409</v>
      </c>
      <c r="P1051" s="10"/>
      <c r="Q1051" s="1" t="s">
        <v>72</v>
      </c>
      <c r="R1051" s="8" t="s">
        <v>343</v>
      </c>
      <c r="S105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5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5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5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5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5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5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5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5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5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5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5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5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51" s="12">
        <f ca="1">[1]!Tabel1[[#This Row],[Vægtet Honorar]]*([1]!Tabel1[[#This Row],[Sidst redigeret]]&gt;TODAY()-40)*([1]!Tabel1[[#This Row],[Er i resplan?]]&lt;&gt;"Ja")*([1]!Tabel1[[#This Row],[Status]]="Pågår")</f>
        <v>250000</v>
      </c>
      <c r="AG1051" s="12">
        <f ca="1">[1]!Tabel1[[#This Row],[Vægtet Honorar]]*([1]!Tabel1[[#This Row],[Sidst redigeret]]&gt;TODAY()-40)*([1]!Tabel1[[#This Row],[Status]]="Pågår")</f>
        <v>250000</v>
      </c>
      <c r="AH1051" s="13"/>
      <c r="AI1051" s="12"/>
      <c r="AJ1051" s="12"/>
      <c r="AK1051" s="12"/>
      <c r="AL1051" s="12"/>
      <c r="AM1051" s="12"/>
      <c r="AN1051" s="12"/>
      <c r="AO1051" s="12"/>
      <c r="AP1051" s="12"/>
    </row>
    <row r="1052" spans="1:42">
      <c r="A1052" t="s">
        <v>3743</v>
      </c>
      <c r="B1052" s="8"/>
      <c r="C1052" s="8" t="s">
        <v>3744</v>
      </c>
      <c r="D1052" s="8" t="s">
        <v>158</v>
      </c>
      <c r="E1052" s="8" t="s">
        <v>167</v>
      </c>
      <c r="F1052" s="8" t="s">
        <v>3745</v>
      </c>
      <c r="G1052" s="8" t="s">
        <v>3745</v>
      </c>
      <c r="H1052" s="9">
        <v>400000</v>
      </c>
      <c r="I1052" s="9">
        <f>[1]!Tabel1[[#This Row],[Honorar]]*[1]!Tabel1[[#This Row],[Sandsynlighed]]</f>
        <v>30000</v>
      </c>
      <c r="J1052" s="10" t="s">
        <v>1061</v>
      </c>
      <c r="K1052" s="10" t="s">
        <v>1191</v>
      </c>
      <c r="L1052" s="21"/>
      <c r="M1052" s="11">
        <v>0.1</v>
      </c>
      <c r="N1052" s="1" t="s">
        <v>3746</v>
      </c>
      <c r="O1052" s="10">
        <v>46279.611157407409</v>
      </c>
      <c r="P1052" s="10"/>
      <c r="Q1052" s="1" t="s">
        <v>72</v>
      </c>
      <c r="R1052" s="8" t="s">
        <v>343</v>
      </c>
      <c r="S105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5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5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5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5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5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5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5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5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5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5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5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5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52" s="12">
        <f ca="1">[1]!Tabel1[[#This Row],[Vægtet Honorar]]*([1]!Tabel1[[#This Row],[Sidst redigeret]]&gt;TODAY()-40)*([1]!Tabel1[[#This Row],[Er i resplan?]]&lt;&gt;"Ja")*([1]!Tabel1[[#This Row],[Status]]="Pågår")</f>
        <v>0</v>
      </c>
      <c r="AG1052" s="12">
        <f ca="1">[1]!Tabel1[[#This Row],[Vægtet Honorar]]*([1]!Tabel1[[#This Row],[Sidst redigeret]]&gt;TODAY()-40)*([1]!Tabel1[[#This Row],[Status]]="Pågår")</f>
        <v>0</v>
      </c>
      <c r="AH1052" s="13"/>
      <c r="AI1052" s="12"/>
      <c r="AJ1052" s="12"/>
      <c r="AK1052" s="12"/>
      <c r="AL1052" s="12"/>
      <c r="AM1052" s="12"/>
      <c r="AN1052" s="12"/>
      <c r="AO1052" s="12"/>
      <c r="AP1052" s="12"/>
    </row>
    <row r="1053" spans="1:42">
      <c r="A1053" t="s">
        <v>3747</v>
      </c>
      <c r="B1053" s="8"/>
      <c r="C1053" s="8" t="s">
        <v>3748</v>
      </c>
      <c r="D1053" s="8" t="s">
        <v>158</v>
      </c>
      <c r="E1053" s="8" t="s">
        <v>167</v>
      </c>
      <c r="F1053" s="8" t="s">
        <v>964</v>
      </c>
      <c r="G1053" s="8" t="s">
        <v>964</v>
      </c>
      <c r="H1053" s="9">
        <v>1000000</v>
      </c>
      <c r="I1053" s="9">
        <f>[1]!Tabel1[[#This Row],[Honorar]]*[1]!Tabel1[[#This Row],[Sandsynlighed]]</f>
        <v>60000</v>
      </c>
      <c r="J1053" s="10" t="s">
        <v>1061</v>
      </c>
      <c r="K1053" s="10" t="s">
        <v>1191</v>
      </c>
      <c r="L1053" s="21"/>
      <c r="M1053" s="11">
        <v>0.1</v>
      </c>
      <c r="N1053" s="1"/>
      <c r="O1053" s="10">
        <v>46279.611157407409</v>
      </c>
      <c r="P1053" s="10"/>
      <c r="Q1053" s="1" t="s">
        <v>72</v>
      </c>
      <c r="R1053" s="8" t="s">
        <v>343</v>
      </c>
      <c r="S105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5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5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5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5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5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5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5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5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5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5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5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5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53" s="12">
        <f ca="1">[1]!Tabel1[[#This Row],[Vægtet Honorar]]*([1]!Tabel1[[#This Row],[Sidst redigeret]]&gt;TODAY()-40)*([1]!Tabel1[[#This Row],[Er i resplan?]]&lt;&gt;"Ja")*([1]!Tabel1[[#This Row],[Status]]="Pågår")</f>
        <v>0</v>
      </c>
      <c r="AG1053" s="12">
        <f ca="1">[1]!Tabel1[[#This Row],[Vægtet Honorar]]*([1]!Tabel1[[#This Row],[Sidst redigeret]]&gt;TODAY()-40)*([1]!Tabel1[[#This Row],[Status]]="Pågår")</f>
        <v>0</v>
      </c>
      <c r="AH1053" s="13"/>
      <c r="AI1053" s="12"/>
      <c r="AJ1053" s="12"/>
      <c r="AK1053" s="12"/>
      <c r="AL1053" s="12"/>
      <c r="AM1053" s="12"/>
      <c r="AN1053" s="12"/>
      <c r="AO1053" s="12"/>
      <c r="AP1053" s="12"/>
    </row>
    <row r="1054" spans="1:42">
      <c r="A1054" t="s">
        <v>3749</v>
      </c>
      <c r="B1054" s="8"/>
      <c r="C1054" s="8" t="s">
        <v>3750</v>
      </c>
      <c r="D1054" s="8" t="s">
        <v>2886</v>
      </c>
      <c r="E1054" s="8" t="s">
        <v>120</v>
      </c>
      <c r="F1054" s="8"/>
      <c r="G1054" s="8" t="s">
        <v>3330</v>
      </c>
      <c r="H1054" s="9">
        <v>1500000</v>
      </c>
      <c r="I1054" s="9">
        <f>[1]!Tabel1[[#This Row],[Honorar]]*[1]!Tabel1[[#This Row],[Sandsynlighed]]</f>
        <v>100000</v>
      </c>
      <c r="J1054" s="10" t="s">
        <v>1061</v>
      </c>
      <c r="K1054" s="10" t="s">
        <v>1191</v>
      </c>
      <c r="L1054" s="21"/>
      <c r="M1054" s="11">
        <v>0.5</v>
      </c>
      <c r="N1054" s="1"/>
      <c r="O1054" s="10">
        <v>46279.611157407409</v>
      </c>
      <c r="P1054" s="10"/>
      <c r="Q1054" s="1" t="s">
        <v>72</v>
      </c>
      <c r="R1054" s="8" t="s">
        <v>75</v>
      </c>
      <c r="S105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5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5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5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5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5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5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5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5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5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5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5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5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54" s="12">
        <f ca="1">[1]!Tabel1[[#This Row],[Vægtet Honorar]]*([1]!Tabel1[[#This Row],[Sidst redigeret]]&gt;TODAY()-40)*([1]!Tabel1[[#This Row],[Er i resplan?]]&lt;&gt;"Ja")*([1]!Tabel1[[#This Row],[Status]]="Pågår")</f>
        <v>0</v>
      </c>
      <c r="AG1054" s="12">
        <f ca="1">[1]!Tabel1[[#This Row],[Vægtet Honorar]]*([1]!Tabel1[[#This Row],[Sidst redigeret]]&gt;TODAY()-40)*([1]!Tabel1[[#This Row],[Status]]="Pågår")</f>
        <v>0</v>
      </c>
      <c r="AH1054" s="13"/>
      <c r="AI1054" s="12"/>
      <c r="AJ1054" s="12" t="s">
        <v>3751</v>
      </c>
      <c r="AK1054" s="12"/>
      <c r="AL1054" s="12"/>
      <c r="AM1054" s="12"/>
      <c r="AN1054" s="12"/>
      <c r="AO1054" s="12"/>
      <c r="AP1054" s="12"/>
    </row>
    <row r="1055" spans="1:42" ht="43.5">
      <c r="A1055" t="s">
        <v>3752</v>
      </c>
      <c r="B1055" s="8"/>
      <c r="C1055" s="8" t="s">
        <v>3753</v>
      </c>
      <c r="D1055" s="8" t="s">
        <v>93</v>
      </c>
      <c r="E1055" s="8" t="s">
        <v>94</v>
      </c>
      <c r="F1055" s="8"/>
      <c r="G1055" s="8" t="s">
        <v>1864</v>
      </c>
      <c r="H1055" s="9">
        <v>1500000</v>
      </c>
      <c r="I1055" s="9">
        <f>[1]!Tabel1[[#This Row],[Honorar]]*[1]!Tabel1[[#This Row],[Sandsynlighed]]</f>
        <v>35000</v>
      </c>
      <c r="J1055" s="10" t="s">
        <v>329</v>
      </c>
      <c r="K1055" s="10" t="s">
        <v>1310</v>
      </c>
      <c r="L1055" s="21" t="s">
        <v>3754</v>
      </c>
      <c r="M1055" s="11">
        <v>0.25</v>
      </c>
      <c r="N1055" s="1">
        <v>3000</v>
      </c>
      <c r="O1055" s="10">
        <v>46279.611157407409</v>
      </c>
      <c r="P1055" s="1" t="s">
        <v>72</v>
      </c>
      <c r="Q1055" s="1" t="s">
        <v>72</v>
      </c>
      <c r="R1055" s="8" t="s">
        <v>75</v>
      </c>
      <c r="S105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5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5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5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5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5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5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5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5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5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5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5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5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55" s="12">
        <f ca="1">[1]!Tabel1[[#This Row],[Vægtet Honorar]]*([1]!Tabel1[[#This Row],[Sidst redigeret]]&gt;TODAY()-40)*([1]!Tabel1[[#This Row],[Er i resplan?]]&lt;&gt;"Ja")*([1]!Tabel1[[#This Row],[Status]]="Pågår")</f>
        <v>0</v>
      </c>
      <c r="AG1055" s="12">
        <f ca="1">[1]!Tabel1[[#This Row],[Vægtet Honorar]]*([1]!Tabel1[[#This Row],[Sidst redigeret]]&gt;TODAY()-40)*([1]!Tabel1[[#This Row],[Status]]="Pågår")</f>
        <v>0</v>
      </c>
      <c r="AH1055" s="13"/>
      <c r="AI1055" s="12"/>
      <c r="AJ1055" s="12"/>
      <c r="AK1055" s="12"/>
      <c r="AL1055" s="12"/>
      <c r="AM1055" s="12"/>
      <c r="AN1055" s="12"/>
      <c r="AO1055" s="12"/>
      <c r="AP1055" s="12"/>
    </row>
    <row r="1056" spans="1:42">
      <c r="A1056" t="s">
        <v>3755</v>
      </c>
      <c r="B1056" s="8"/>
      <c r="C1056" s="8" t="s">
        <v>3756</v>
      </c>
      <c r="D1056" s="8" t="s">
        <v>1468</v>
      </c>
      <c r="E1056" s="8" t="s">
        <v>167</v>
      </c>
      <c r="F1056" s="8"/>
      <c r="G1056" s="8" t="s">
        <v>1620</v>
      </c>
      <c r="H1056" s="9">
        <v>20000</v>
      </c>
      <c r="I1056" s="9">
        <f>[1]!Tabel1[[#This Row],[Honorar]]*[1]!Tabel1[[#This Row],[Sandsynlighed]]</f>
        <v>36000</v>
      </c>
      <c r="J1056" s="10" t="s">
        <v>1061</v>
      </c>
      <c r="K1056" s="10" t="s">
        <v>329</v>
      </c>
      <c r="L1056" s="21"/>
      <c r="M1056" s="11">
        <v>0.01</v>
      </c>
      <c r="N1056" s="1"/>
      <c r="O1056" s="10">
        <v>46279.611157407409</v>
      </c>
      <c r="P1056" s="10"/>
      <c r="Q1056" s="1" t="s">
        <v>72</v>
      </c>
      <c r="R1056" s="8" t="s">
        <v>49</v>
      </c>
      <c r="S105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5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5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5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5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5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5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5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5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5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5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5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5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56" s="12">
        <f ca="1">[1]!Tabel1[[#This Row],[Vægtet Honorar]]*([1]!Tabel1[[#This Row],[Sidst redigeret]]&gt;TODAY()-40)*([1]!Tabel1[[#This Row],[Er i resplan?]]&lt;&gt;"Ja")*([1]!Tabel1[[#This Row],[Status]]="Pågår")</f>
        <v>36000</v>
      </c>
      <c r="AG1056" s="12">
        <f ca="1">[1]!Tabel1[[#This Row],[Vægtet Honorar]]*([1]!Tabel1[[#This Row],[Sidst redigeret]]&gt;TODAY()-40)*([1]!Tabel1[[#This Row],[Status]]="Pågår")</f>
        <v>36000</v>
      </c>
      <c r="AH1056" s="13"/>
      <c r="AI1056" s="12"/>
      <c r="AJ1056" s="12"/>
      <c r="AK1056" s="12"/>
      <c r="AL1056" s="12"/>
      <c r="AM1056" s="12"/>
      <c r="AN1056" s="12"/>
      <c r="AO1056" s="12"/>
      <c r="AP1056" s="12"/>
    </row>
    <row r="1057" spans="1:42">
      <c r="A1057" t="s">
        <v>3757</v>
      </c>
      <c r="B1057" s="8"/>
      <c r="C1057" s="8" t="s">
        <v>3758</v>
      </c>
      <c r="D1057" s="8" t="s">
        <v>720</v>
      </c>
      <c r="E1057" s="8" t="s">
        <v>71</v>
      </c>
      <c r="F1057" s="8"/>
      <c r="G1057" s="8" t="s">
        <v>3480</v>
      </c>
      <c r="H1057" s="9">
        <v>1800000</v>
      </c>
      <c r="I1057" s="9">
        <v>90000</v>
      </c>
      <c r="J1057" s="10" t="s">
        <v>1061</v>
      </c>
      <c r="K1057" s="10" t="s">
        <v>1191</v>
      </c>
      <c r="L1057" s="21"/>
      <c r="M1057" s="11">
        <v>0.05</v>
      </c>
      <c r="N1057" s="1">
        <v>6000</v>
      </c>
      <c r="O1057" s="10">
        <v>46279.611157407409</v>
      </c>
      <c r="P1057" s="10"/>
      <c r="Q1057" s="1" t="s">
        <v>46</v>
      </c>
      <c r="R1057" s="8" t="s">
        <v>343</v>
      </c>
      <c r="AH1057" s="13"/>
      <c r="AI1057" s="12"/>
      <c r="AJ1057" s="12"/>
      <c r="AK1057" s="12"/>
      <c r="AL1057" s="12"/>
      <c r="AM1057" s="12"/>
      <c r="AN1057" s="12"/>
      <c r="AO1057" s="12"/>
      <c r="AP1057" s="12"/>
    </row>
    <row r="1058" spans="1:42" ht="114.75">
      <c r="A1058" t="s">
        <v>3759</v>
      </c>
      <c r="B1058" s="8"/>
      <c r="C1058" s="8" t="s">
        <v>3760</v>
      </c>
      <c r="D1058" s="8" t="s">
        <v>134</v>
      </c>
      <c r="E1058" s="8" t="s">
        <v>94</v>
      </c>
      <c r="F1058" s="8" t="s">
        <v>3761</v>
      </c>
      <c r="G1058" s="8" t="s">
        <v>3762</v>
      </c>
      <c r="H1058" s="9">
        <v>350000</v>
      </c>
      <c r="I1058" s="9">
        <f>[1]!Tabel1[[#This Row],[Honorar]]*[1]!Tabel1[[#This Row],[Sandsynlighed]]</f>
        <v>100000</v>
      </c>
      <c r="J1058" s="10" t="s">
        <v>1061</v>
      </c>
      <c r="K1058" s="10" t="s">
        <v>1191</v>
      </c>
      <c r="L1058" s="21" t="s">
        <v>3763</v>
      </c>
      <c r="M1058" s="11">
        <v>1</v>
      </c>
      <c r="N1058" s="1" t="s">
        <v>3764</v>
      </c>
      <c r="O1058" s="10">
        <v>46279.611157407409</v>
      </c>
      <c r="P1058" s="1" t="s">
        <v>72</v>
      </c>
      <c r="Q1058" s="1" t="s">
        <v>72</v>
      </c>
      <c r="R1058" s="8" t="s">
        <v>47</v>
      </c>
      <c r="S105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5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5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5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5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5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5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5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5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5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5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5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5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58" s="12">
        <f ca="1">[1]!Tabel1[[#This Row],[Vægtet Honorar]]*([1]!Tabel1[[#This Row],[Sidst redigeret]]&gt;TODAY()-40)*([1]!Tabel1[[#This Row],[Er i resplan?]]&lt;&gt;"Ja")*([1]!Tabel1[[#This Row],[Status]]="Pågår")</f>
        <v>100000</v>
      </c>
      <c r="AG1058" s="12">
        <f ca="1">[1]!Tabel1[[#This Row],[Vægtet Honorar]]*([1]!Tabel1[[#This Row],[Sidst redigeret]]&gt;TODAY()-40)*([1]!Tabel1[[#This Row],[Status]]="Pågår")</f>
        <v>100000</v>
      </c>
      <c r="AH1058" s="13">
        <v>45814.520451388889</v>
      </c>
      <c r="AI1058" s="12"/>
      <c r="AJ1058" s="12"/>
      <c r="AK1058" s="12"/>
      <c r="AL1058" s="12"/>
      <c r="AM1058" s="12"/>
      <c r="AN1058" s="12"/>
      <c r="AO1058" s="12"/>
      <c r="AP1058" s="12"/>
    </row>
    <row r="1059" spans="1:42" ht="72">
      <c r="A1059" t="s">
        <v>3765</v>
      </c>
      <c r="B1059" s="8"/>
      <c r="C1059" s="8" t="s">
        <v>3766</v>
      </c>
      <c r="D1059" s="8" t="s">
        <v>358</v>
      </c>
      <c r="E1059" s="8" t="s">
        <v>102</v>
      </c>
      <c r="F1059" s="8" t="s">
        <v>2008</v>
      </c>
      <c r="G1059" s="8" t="s">
        <v>3648</v>
      </c>
      <c r="H1059" s="9">
        <v>200000</v>
      </c>
      <c r="I1059" s="9">
        <f>[1]!Tabel1[[#This Row],[Honorar]]*[1]!Tabel1[[#This Row],[Sandsynlighed]]</f>
        <v>750000</v>
      </c>
      <c r="J1059" s="10" t="s">
        <v>1061</v>
      </c>
      <c r="K1059" s="10" t="s">
        <v>1191</v>
      </c>
      <c r="L1059" s="21" t="s">
        <v>3767</v>
      </c>
      <c r="M1059" s="11">
        <v>0.75</v>
      </c>
      <c r="N1059" s="1" t="s">
        <v>3764</v>
      </c>
      <c r="O1059" s="10">
        <v>46279.611157407409</v>
      </c>
      <c r="P1059" s="10"/>
      <c r="Q1059" s="1" t="s">
        <v>46</v>
      </c>
      <c r="R1059" s="8" t="s">
        <v>47</v>
      </c>
      <c r="S105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5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5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5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5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5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5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5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5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5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5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5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5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59" s="12">
        <f ca="1">[1]!Tabel1[[#This Row],[Vægtet Honorar]]*([1]!Tabel1[[#This Row],[Sidst redigeret]]&gt;TODAY()-40)*([1]!Tabel1[[#This Row],[Er i resplan?]]&lt;&gt;"Ja")*([1]!Tabel1[[#This Row],[Status]]="Pågår")</f>
        <v>0</v>
      </c>
      <c r="AG1059" s="12">
        <f ca="1">[1]!Tabel1[[#This Row],[Vægtet Honorar]]*([1]!Tabel1[[#This Row],[Sidst redigeret]]&gt;TODAY()-40)*([1]!Tabel1[[#This Row],[Status]]="Pågår")</f>
        <v>0</v>
      </c>
      <c r="AH1059" s="13"/>
      <c r="AI1059" s="12"/>
      <c r="AJ1059" s="12"/>
      <c r="AK1059" s="12"/>
      <c r="AL1059" s="12"/>
      <c r="AM1059" s="12"/>
      <c r="AN1059" s="12"/>
      <c r="AO1059" s="12"/>
      <c r="AP1059" s="12"/>
    </row>
    <row r="1060" spans="1:42" ht="29.25">
      <c r="A1060" t="s">
        <v>3768</v>
      </c>
      <c r="B1060" s="8">
        <v>253080</v>
      </c>
      <c r="C1060" s="8" t="s">
        <v>3769</v>
      </c>
      <c r="D1060" s="8" t="s">
        <v>720</v>
      </c>
      <c r="E1060" s="8" t="s">
        <v>71</v>
      </c>
      <c r="F1060" s="8" t="s">
        <v>3770</v>
      </c>
      <c r="G1060" s="8" t="s">
        <v>3770</v>
      </c>
      <c r="H1060" s="9">
        <v>500000</v>
      </c>
      <c r="I1060" s="9">
        <f>[1]!Tabel1[[#This Row],[Honorar]]*[1]!Tabel1[[#This Row],[Sandsynlighed]]</f>
        <v>375000</v>
      </c>
      <c r="J1060" s="10" t="s">
        <v>1061</v>
      </c>
      <c r="K1060" s="10" t="s">
        <v>1191</v>
      </c>
      <c r="L1060" s="21" t="s">
        <v>750</v>
      </c>
      <c r="M1060" s="11">
        <v>1</v>
      </c>
      <c r="N1060" s="1"/>
      <c r="O1060" s="10">
        <v>46279.611157407409</v>
      </c>
      <c r="P1060" s="10"/>
      <c r="Q1060" s="1" t="s">
        <v>46</v>
      </c>
      <c r="R1060" s="8" t="s">
        <v>47</v>
      </c>
      <c r="S106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6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6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6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6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6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6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6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6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6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6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6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6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60" s="12">
        <f ca="1">[1]!Tabel1[[#This Row],[Vægtet Honorar]]*([1]!Tabel1[[#This Row],[Sidst redigeret]]&gt;TODAY()-40)*([1]!Tabel1[[#This Row],[Er i resplan?]]&lt;&gt;"Ja")*([1]!Tabel1[[#This Row],[Status]]="Pågår")</f>
        <v>0</v>
      </c>
      <c r="AG1060" s="12">
        <f ca="1">[1]!Tabel1[[#This Row],[Vægtet Honorar]]*([1]!Tabel1[[#This Row],[Sidst redigeret]]&gt;TODAY()-40)*([1]!Tabel1[[#This Row],[Status]]="Pågår")</f>
        <v>0</v>
      </c>
      <c r="AH1060" s="13"/>
      <c r="AI1060" s="12"/>
      <c r="AJ1060" s="12"/>
      <c r="AK1060" s="12"/>
      <c r="AL1060" s="12"/>
      <c r="AM1060" s="12"/>
      <c r="AN1060" s="12"/>
      <c r="AO1060" s="12"/>
      <c r="AP1060" s="12"/>
    </row>
    <row r="1061" spans="1:42">
      <c r="A1061" t="s">
        <v>3771</v>
      </c>
      <c r="B1061" s="8"/>
      <c r="C1061" s="8" t="s">
        <v>3772</v>
      </c>
      <c r="D1061" s="8" t="s">
        <v>2886</v>
      </c>
      <c r="E1061" s="8" t="s">
        <v>120</v>
      </c>
      <c r="F1061" s="8" t="s">
        <v>547</v>
      </c>
      <c r="G1061" s="8" t="s">
        <v>2959</v>
      </c>
      <c r="H1061" s="9">
        <v>2000000</v>
      </c>
      <c r="I1061" s="9">
        <f>[1]!Tabel1[[#This Row],[Honorar]]*[1]!Tabel1[[#This Row],[Sandsynlighed]]</f>
        <v>200</v>
      </c>
      <c r="J1061" s="10" t="s">
        <v>341</v>
      </c>
      <c r="K1061" s="10" t="s">
        <v>1062</v>
      </c>
      <c r="L1061" s="21"/>
      <c r="M1061" s="11">
        <v>0.5</v>
      </c>
      <c r="N1061" s="1"/>
      <c r="O1061" s="10">
        <v>46279.611157407409</v>
      </c>
      <c r="P1061" s="10"/>
      <c r="Q1061" s="1" t="s">
        <v>72</v>
      </c>
      <c r="R1061" s="8" t="s">
        <v>343</v>
      </c>
      <c r="S106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6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6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6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6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6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6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6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6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6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6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6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6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61" s="12">
        <f ca="1">[1]!Tabel1[[#This Row],[Vægtet Honorar]]*([1]!Tabel1[[#This Row],[Sidst redigeret]]&gt;TODAY()-40)*([1]!Tabel1[[#This Row],[Er i resplan?]]&lt;&gt;"Ja")*([1]!Tabel1[[#This Row],[Status]]="Pågår")</f>
        <v>0</v>
      </c>
      <c r="AG1061" s="12">
        <f ca="1">[1]!Tabel1[[#This Row],[Vægtet Honorar]]*([1]!Tabel1[[#This Row],[Sidst redigeret]]&gt;TODAY()-40)*([1]!Tabel1[[#This Row],[Status]]="Pågår")</f>
        <v>0</v>
      </c>
      <c r="AH1061" s="13"/>
      <c r="AI1061" s="12"/>
      <c r="AJ1061" s="12" t="s">
        <v>2917</v>
      </c>
      <c r="AK1061" s="12"/>
      <c r="AL1061" s="12"/>
      <c r="AM1061" s="12"/>
      <c r="AN1061" s="12"/>
      <c r="AO1061" s="12"/>
      <c r="AP1061" s="12"/>
    </row>
    <row r="1062" spans="1:42">
      <c r="A1062" t="s">
        <v>3773</v>
      </c>
      <c r="B1062" s="8"/>
      <c r="C1062" s="8" t="s">
        <v>3774</v>
      </c>
      <c r="D1062" s="8" t="s">
        <v>2886</v>
      </c>
      <c r="E1062" s="8" t="s">
        <v>120</v>
      </c>
      <c r="F1062" s="8" t="s">
        <v>547</v>
      </c>
      <c r="G1062" s="8" t="s">
        <v>2959</v>
      </c>
      <c r="H1062" s="9">
        <v>2000000</v>
      </c>
      <c r="I1062" s="9">
        <f>[1]!Tabel1[[#This Row],[Honorar]]*[1]!Tabel1[[#This Row],[Sandsynlighed]]</f>
        <v>90000</v>
      </c>
      <c r="J1062" s="10" t="s">
        <v>341</v>
      </c>
      <c r="K1062" s="10" t="s">
        <v>1062</v>
      </c>
      <c r="L1062" s="21"/>
      <c r="M1062" s="11">
        <v>0.5</v>
      </c>
      <c r="N1062" s="1"/>
      <c r="O1062" s="10">
        <v>46279.611157407409</v>
      </c>
      <c r="P1062" s="10"/>
      <c r="Q1062" s="1" t="s">
        <v>72</v>
      </c>
      <c r="R1062" s="8" t="s">
        <v>343</v>
      </c>
      <c r="S106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6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6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6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6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6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6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6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6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6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6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6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6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62" s="12">
        <f ca="1">[1]!Tabel1[[#This Row],[Vægtet Honorar]]*([1]!Tabel1[[#This Row],[Sidst redigeret]]&gt;TODAY()-40)*([1]!Tabel1[[#This Row],[Er i resplan?]]&lt;&gt;"Ja")*([1]!Tabel1[[#This Row],[Status]]="Pågår")</f>
        <v>0</v>
      </c>
      <c r="AG1062" s="12">
        <f ca="1">[1]!Tabel1[[#This Row],[Vægtet Honorar]]*([1]!Tabel1[[#This Row],[Sidst redigeret]]&gt;TODAY()-40)*([1]!Tabel1[[#This Row],[Status]]="Pågår")</f>
        <v>90000</v>
      </c>
      <c r="AH1062" s="13"/>
      <c r="AI1062" s="12"/>
      <c r="AJ1062" s="12" t="s">
        <v>2917</v>
      </c>
      <c r="AK1062" s="12"/>
      <c r="AL1062" s="12"/>
      <c r="AM1062" s="12"/>
      <c r="AN1062" s="12"/>
      <c r="AO1062" s="12"/>
      <c r="AP1062" s="12"/>
    </row>
    <row r="1063" spans="1:42">
      <c r="A1063" t="s">
        <v>3775</v>
      </c>
      <c r="B1063" s="8"/>
      <c r="C1063" s="8" t="s">
        <v>3776</v>
      </c>
      <c r="D1063" s="8" t="s">
        <v>1886</v>
      </c>
      <c r="E1063" s="8" t="s">
        <v>94</v>
      </c>
      <c r="F1063" s="8" t="s">
        <v>3066</v>
      </c>
      <c r="G1063" s="8" t="s">
        <v>3066</v>
      </c>
      <c r="H1063" s="9">
        <v>50000</v>
      </c>
      <c r="I1063" s="9">
        <f>[1]!Tabel1[[#This Row],[Honorar]]*[1]!Tabel1[[#This Row],[Sandsynlighed]]</f>
        <v>350000</v>
      </c>
      <c r="J1063" s="10" t="s">
        <v>1061</v>
      </c>
      <c r="K1063" s="10" t="s">
        <v>1062</v>
      </c>
      <c r="L1063" s="21"/>
      <c r="M1063" s="11">
        <v>0.3</v>
      </c>
      <c r="N1063" s="1"/>
      <c r="O1063" s="10">
        <v>46279.611157407409</v>
      </c>
      <c r="P1063" s="1" t="s">
        <v>72</v>
      </c>
      <c r="Q1063" s="1" t="s">
        <v>72</v>
      </c>
      <c r="R1063" s="8" t="s">
        <v>49</v>
      </c>
      <c r="S106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6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6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6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6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6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6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6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6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6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6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6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6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63" s="12">
        <f ca="1">[1]!Tabel1[[#This Row],[Vægtet Honorar]]*([1]!Tabel1[[#This Row],[Sidst redigeret]]&gt;TODAY()-40)*([1]!Tabel1[[#This Row],[Er i resplan?]]&lt;&gt;"Ja")*([1]!Tabel1[[#This Row],[Status]]="Pågår")</f>
        <v>0</v>
      </c>
      <c r="AG1063" s="12">
        <f ca="1">[1]!Tabel1[[#This Row],[Vægtet Honorar]]*([1]!Tabel1[[#This Row],[Sidst redigeret]]&gt;TODAY()-40)*([1]!Tabel1[[#This Row],[Status]]="Pågår")</f>
        <v>0</v>
      </c>
      <c r="AH1063" s="13"/>
      <c r="AI1063" s="12"/>
      <c r="AJ1063" s="12"/>
      <c r="AK1063" s="12"/>
      <c r="AL1063" s="12"/>
      <c r="AM1063" s="12"/>
      <c r="AN1063" s="12"/>
      <c r="AO1063" s="12"/>
      <c r="AP1063" s="12"/>
    </row>
    <row r="1064" spans="1:42" ht="57.75">
      <c r="A1064" t="s">
        <v>3777</v>
      </c>
      <c r="B1064" s="8"/>
      <c r="C1064" s="8" t="s">
        <v>3778</v>
      </c>
      <c r="D1064" s="8" t="s">
        <v>720</v>
      </c>
      <c r="E1064" s="8" t="s">
        <v>71</v>
      </c>
      <c r="F1064" s="8" t="s">
        <v>3779</v>
      </c>
      <c r="G1064" s="8" t="s">
        <v>3779</v>
      </c>
      <c r="H1064" s="9">
        <v>3000000</v>
      </c>
      <c r="I1064" s="9">
        <f>[1]!Tabel1[[#This Row],[Honorar]]*[1]!Tabel1[[#This Row],[Sandsynlighed]]</f>
        <v>150000</v>
      </c>
      <c r="J1064" s="10" t="s">
        <v>1287</v>
      </c>
      <c r="K1064" s="10" t="s">
        <v>1062</v>
      </c>
      <c r="L1064" s="21" t="s">
        <v>3780</v>
      </c>
      <c r="M1064" s="11">
        <v>0.01</v>
      </c>
      <c r="N1064" s="1" t="s">
        <v>516</v>
      </c>
      <c r="O1064" s="10">
        <v>46279.611157407409</v>
      </c>
      <c r="P1064" s="10"/>
      <c r="Q1064" s="1" t="s">
        <v>72</v>
      </c>
      <c r="R1064" s="8" t="s">
        <v>343</v>
      </c>
      <c r="S106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6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6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6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6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6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6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6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6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6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6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6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6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64" s="12">
        <f ca="1">[1]!Tabel1[[#This Row],[Vægtet Honorar]]*([1]!Tabel1[[#This Row],[Sidst redigeret]]&gt;TODAY()-40)*([1]!Tabel1[[#This Row],[Er i resplan?]]&lt;&gt;"Ja")*([1]!Tabel1[[#This Row],[Status]]="Pågår")</f>
        <v>0</v>
      </c>
      <c r="AG1064" s="12">
        <f ca="1">[1]!Tabel1[[#This Row],[Vægtet Honorar]]*([1]!Tabel1[[#This Row],[Sidst redigeret]]&gt;TODAY()-40)*([1]!Tabel1[[#This Row],[Status]]="Pågår")</f>
        <v>0</v>
      </c>
      <c r="AH1064" s="13"/>
      <c r="AI1064" s="12"/>
      <c r="AJ1064" s="12" t="s">
        <v>2988</v>
      </c>
      <c r="AK1064" s="12"/>
      <c r="AL1064" s="12"/>
      <c r="AM1064" s="12"/>
      <c r="AN1064" s="12"/>
      <c r="AO1064" s="12"/>
      <c r="AP1064" s="12"/>
    </row>
    <row r="1065" spans="1:42" ht="57.75">
      <c r="A1065" t="s">
        <v>3781</v>
      </c>
      <c r="B1065" s="8"/>
      <c r="C1065" s="8" t="s">
        <v>3782</v>
      </c>
      <c r="D1065" s="8" t="s">
        <v>2368</v>
      </c>
      <c r="E1065" s="8" t="s">
        <v>94</v>
      </c>
      <c r="F1065" s="8"/>
      <c r="G1065" s="8" t="s">
        <v>3783</v>
      </c>
      <c r="H1065" s="9"/>
      <c r="I1065" s="9">
        <f>[1]!Tabel1[[#This Row],[Honorar]]*[1]!Tabel1[[#This Row],[Sandsynlighed]]</f>
        <v>500000</v>
      </c>
      <c r="J1065" s="10"/>
      <c r="K1065" s="10"/>
      <c r="L1065" s="21" t="s">
        <v>3784</v>
      </c>
      <c r="M1065" s="11">
        <v>0.05</v>
      </c>
      <c r="N1065" s="1">
        <v>6000</v>
      </c>
      <c r="O1065" s="10">
        <v>46279.611157407409</v>
      </c>
      <c r="P1065" s="1" t="s">
        <v>72</v>
      </c>
      <c r="Q1065" s="1" t="s">
        <v>72</v>
      </c>
      <c r="R1065" s="8" t="s">
        <v>49</v>
      </c>
      <c r="S106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6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6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6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6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6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6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6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6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6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6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6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6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65" s="12">
        <f ca="1">[1]!Tabel1[[#This Row],[Vægtet Honorar]]*([1]!Tabel1[[#This Row],[Sidst redigeret]]&gt;TODAY()-40)*([1]!Tabel1[[#This Row],[Er i resplan?]]&lt;&gt;"Ja")*([1]!Tabel1[[#This Row],[Status]]="Pågår")</f>
        <v>0</v>
      </c>
      <c r="AG1065" s="12">
        <f ca="1">[1]!Tabel1[[#This Row],[Vægtet Honorar]]*([1]!Tabel1[[#This Row],[Sidst redigeret]]&gt;TODAY()-40)*([1]!Tabel1[[#This Row],[Status]]="Pågår")</f>
        <v>0</v>
      </c>
      <c r="AH1065" s="13"/>
      <c r="AI1065" s="12"/>
      <c r="AJ1065" s="12"/>
      <c r="AK1065" s="12"/>
      <c r="AL1065" s="12"/>
      <c r="AM1065" s="12"/>
      <c r="AN1065" s="12"/>
      <c r="AO1065" s="12"/>
      <c r="AP1065" s="12"/>
    </row>
    <row r="1066" spans="1:42" ht="57.75">
      <c r="A1066" t="s">
        <v>3785</v>
      </c>
      <c r="B1066" s="8"/>
      <c r="C1066" s="8" t="s">
        <v>3786</v>
      </c>
      <c r="D1066" s="8" t="s">
        <v>435</v>
      </c>
      <c r="E1066" s="8" t="s">
        <v>167</v>
      </c>
      <c r="F1066" s="8"/>
      <c r="G1066" s="8" t="s">
        <v>2522</v>
      </c>
      <c r="H1066" s="9">
        <v>100000</v>
      </c>
      <c r="I1066" s="9">
        <f>[1]!Tabel1[[#This Row],[Honorar]]*[1]!Tabel1[[#This Row],[Sandsynlighed]]</f>
        <v>1000000</v>
      </c>
      <c r="J1066" s="10" t="s">
        <v>1061</v>
      </c>
      <c r="K1066" s="10" t="s">
        <v>329</v>
      </c>
      <c r="L1066" s="21" t="s">
        <v>3787</v>
      </c>
      <c r="M1066" s="11">
        <v>0.8</v>
      </c>
      <c r="N1066" s="1">
        <v>500</v>
      </c>
      <c r="O1066" s="10">
        <v>46279.611157407409</v>
      </c>
      <c r="P1066" s="10"/>
      <c r="Q1066" s="1" t="s">
        <v>72</v>
      </c>
      <c r="R1066" s="8" t="s">
        <v>343</v>
      </c>
      <c r="S106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6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6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6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6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6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6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6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6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6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6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6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6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66" s="12">
        <f ca="1">[1]!Tabel1[[#This Row],[Vægtet Honorar]]*([1]!Tabel1[[#This Row],[Sidst redigeret]]&gt;TODAY()-40)*([1]!Tabel1[[#This Row],[Er i resplan?]]&lt;&gt;"Ja")*([1]!Tabel1[[#This Row],[Status]]="Pågår")</f>
        <v>1000000</v>
      </c>
      <c r="AG1066" s="12">
        <f ca="1">[1]!Tabel1[[#This Row],[Vægtet Honorar]]*([1]!Tabel1[[#This Row],[Sidst redigeret]]&gt;TODAY()-40)*([1]!Tabel1[[#This Row],[Status]]="Pågår")</f>
        <v>1000000</v>
      </c>
      <c r="AH1066" s="13"/>
      <c r="AI1066" s="12"/>
      <c r="AJ1066" s="12"/>
      <c r="AK1066" s="12"/>
      <c r="AL1066" s="12"/>
      <c r="AM1066" s="12"/>
      <c r="AN1066" s="12"/>
      <c r="AO1066" s="12"/>
      <c r="AP1066" s="12"/>
    </row>
    <row r="1067" spans="1:42">
      <c r="A1067" t="s">
        <v>3788</v>
      </c>
      <c r="B1067" s="8"/>
      <c r="C1067" s="8" t="s">
        <v>3789</v>
      </c>
      <c r="D1067" s="8" t="s">
        <v>3790</v>
      </c>
      <c r="E1067" s="8" t="s">
        <v>71</v>
      </c>
      <c r="F1067" s="8"/>
      <c r="G1067" s="8" t="s">
        <v>3791</v>
      </c>
      <c r="H1067" s="9">
        <v>100000</v>
      </c>
      <c r="I1067" s="9">
        <f>[1]!Tabel1[[#This Row],[Honorar]]*[1]!Tabel1[[#This Row],[Sandsynlighed]]</f>
        <v>1000000</v>
      </c>
      <c r="J1067" s="10" t="s">
        <v>1061</v>
      </c>
      <c r="K1067" s="10" t="s">
        <v>329</v>
      </c>
      <c r="L1067" s="21"/>
      <c r="M1067" s="11">
        <v>0.5</v>
      </c>
      <c r="N1067" s="1">
        <v>200</v>
      </c>
      <c r="O1067" s="10">
        <v>46279.611157407409</v>
      </c>
      <c r="P1067" s="10"/>
      <c r="Q1067" s="1" t="s">
        <v>46</v>
      </c>
      <c r="R1067" s="8" t="s">
        <v>75</v>
      </c>
      <c r="S106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6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6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6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6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6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6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6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6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6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6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6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6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67" s="12">
        <f ca="1">[1]!Tabel1[[#This Row],[Vægtet Honorar]]*([1]!Tabel1[[#This Row],[Sidst redigeret]]&gt;TODAY()-40)*([1]!Tabel1[[#This Row],[Er i resplan?]]&lt;&gt;"Ja")*([1]!Tabel1[[#This Row],[Status]]="Pågår")</f>
        <v>1000000</v>
      </c>
      <c r="AG1067" s="12">
        <f ca="1">[1]!Tabel1[[#This Row],[Vægtet Honorar]]*([1]!Tabel1[[#This Row],[Sidst redigeret]]&gt;TODAY()-40)*([1]!Tabel1[[#This Row],[Status]]="Pågår")</f>
        <v>1000000</v>
      </c>
      <c r="AH1067" s="13"/>
      <c r="AI1067" s="12"/>
      <c r="AJ1067" s="12"/>
      <c r="AK1067" s="12"/>
      <c r="AL1067" s="12"/>
      <c r="AM1067" s="12"/>
      <c r="AN1067" s="12"/>
      <c r="AO1067" s="12"/>
      <c r="AP1067" s="12"/>
    </row>
    <row r="1068" spans="1:42">
      <c r="A1068" t="s">
        <v>3792</v>
      </c>
      <c r="B1068" s="8"/>
      <c r="C1068" s="8" t="s">
        <v>3793</v>
      </c>
      <c r="D1068" s="8" t="s">
        <v>687</v>
      </c>
      <c r="E1068" s="8" t="s">
        <v>167</v>
      </c>
      <c r="F1068" s="8" t="s">
        <v>3392</v>
      </c>
      <c r="G1068" s="8" t="s">
        <v>3794</v>
      </c>
      <c r="H1068" s="9">
        <v>1</v>
      </c>
      <c r="I1068" s="9">
        <f>[1]!Tabel1[[#This Row],[Honorar]]*[1]!Tabel1[[#This Row],[Sandsynlighed]]</f>
        <v>15000</v>
      </c>
      <c r="J1068" s="10" t="s">
        <v>1061</v>
      </c>
      <c r="K1068" s="10" t="s">
        <v>329</v>
      </c>
      <c r="L1068" s="21" t="s">
        <v>3795</v>
      </c>
      <c r="M1068" s="11">
        <v>0.01</v>
      </c>
      <c r="N1068" s="1">
        <v>300</v>
      </c>
      <c r="O1068" s="10">
        <v>46279.611157407409</v>
      </c>
      <c r="P1068" s="10"/>
      <c r="Q1068" s="1" t="s">
        <v>72</v>
      </c>
      <c r="R1068" s="8" t="s">
        <v>49</v>
      </c>
      <c r="S106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6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6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6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6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6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6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6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6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6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6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6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6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68" s="12">
        <f ca="1">[1]!Tabel1[[#This Row],[Vægtet Honorar]]*([1]!Tabel1[[#This Row],[Sidst redigeret]]&gt;TODAY()-40)*([1]!Tabel1[[#This Row],[Er i resplan?]]&lt;&gt;"Ja")*([1]!Tabel1[[#This Row],[Status]]="Pågår")</f>
        <v>0</v>
      </c>
      <c r="AG1068" s="12">
        <f ca="1">[1]!Tabel1[[#This Row],[Vægtet Honorar]]*([1]!Tabel1[[#This Row],[Sidst redigeret]]&gt;TODAY()-40)*([1]!Tabel1[[#This Row],[Status]]="Pågår")</f>
        <v>0</v>
      </c>
      <c r="AH1068" s="13"/>
      <c r="AI1068" s="12"/>
      <c r="AJ1068" s="12" t="s">
        <v>2988</v>
      </c>
      <c r="AK1068" s="12"/>
      <c r="AL1068" s="12"/>
      <c r="AM1068" s="12"/>
      <c r="AN1068" s="12"/>
      <c r="AO1068" s="12"/>
      <c r="AP1068" s="12"/>
    </row>
    <row r="1069" spans="1:42">
      <c r="A1069" t="s">
        <v>3796</v>
      </c>
      <c r="B1069" s="8">
        <v>250037</v>
      </c>
      <c r="C1069" s="8" t="s">
        <v>3797</v>
      </c>
      <c r="D1069" s="8" t="s">
        <v>990</v>
      </c>
      <c r="E1069" s="8" t="s">
        <v>71</v>
      </c>
      <c r="F1069" s="8"/>
      <c r="G1069" s="8" t="s">
        <v>383</v>
      </c>
      <c r="H1069" s="9">
        <v>150000</v>
      </c>
      <c r="I1069" s="9">
        <f>[1]!Tabel1[[#This Row],[Honorar]]*[1]!Tabel1[[#This Row],[Sandsynlighed]]</f>
        <v>30000</v>
      </c>
      <c r="J1069" s="10" t="s">
        <v>1061</v>
      </c>
      <c r="K1069" s="10" t="s">
        <v>1310</v>
      </c>
      <c r="L1069" s="21"/>
      <c r="M1069" s="11">
        <v>1</v>
      </c>
      <c r="N1069" s="1"/>
      <c r="O1069" s="10">
        <v>46279.611157407409</v>
      </c>
      <c r="P1069" s="10"/>
      <c r="Q1069" s="1" t="s">
        <v>46</v>
      </c>
      <c r="R1069" s="8" t="s">
        <v>47</v>
      </c>
      <c r="S106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6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6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6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6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6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6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6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6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6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6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6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6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69" s="12">
        <f ca="1">[1]!Tabel1[[#This Row],[Vægtet Honorar]]*([1]!Tabel1[[#This Row],[Sidst redigeret]]&gt;TODAY()-40)*([1]!Tabel1[[#This Row],[Er i resplan?]]&lt;&gt;"Ja")*([1]!Tabel1[[#This Row],[Status]]="Pågår")</f>
        <v>30000</v>
      </c>
      <c r="AG1069" s="12">
        <f ca="1">[1]!Tabel1[[#This Row],[Vægtet Honorar]]*([1]!Tabel1[[#This Row],[Sidst redigeret]]&gt;TODAY()-40)*([1]!Tabel1[[#This Row],[Status]]="Pågår")</f>
        <v>30000</v>
      </c>
      <c r="AH1069" s="13"/>
      <c r="AI1069" s="12"/>
      <c r="AJ1069" s="12"/>
      <c r="AK1069" s="12"/>
      <c r="AL1069" s="12"/>
      <c r="AM1069" s="12"/>
      <c r="AN1069" s="12"/>
      <c r="AO1069" s="12"/>
      <c r="AP1069" s="12"/>
    </row>
    <row r="1070" spans="1:42" ht="29.25">
      <c r="A1070" t="s">
        <v>3798</v>
      </c>
      <c r="B1070" s="8"/>
      <c r="C1070" s="8" t="s">
        <v>3799</v>
      </c>
      <c r="D1070" s="8" t="s">
        <v>720</v>
      </c>
      <c r="E1070" s="8" t="s">
        <v>71</v>
      </c>
      <c r="F1070" s="8"/>
      <c r="G1070" s="8" t="s">
        <v>3695</v>
      </c>
      <c r="H1070" s="9">
        <v>2000000</v>
      </c>
      <c r="I1070" s="9">
        <f>[1]!Tabel1[[#This Row],[Honorar]]*[1]!Tabel1[[#This Row],[Sandsynlighed]]</f>
        <v>0</v>
      </c>
      <c r="J1070" s="10" t="s">
        <v>1287</v>
      </c>
      <c r="K1070" s="10" t="s">
        <v>585</v>
      </c>
      <c r="L1070" s="21" t="s">
        <v>3800</v>
      </c>
      <c r="M1070" s="11">
        <v>0.05</v>
      </c>
      <c r="N1070" s="1"/>
      <c r="O1070" s="10">
        <v>46279.611157407409</v>
      </c>
      <c r="P1070" s="10"/>
      <c r="Q1070" s="1" t="s">
        <v>72</v>
      </c>
      <c r="R1070" s="8" t="s">
        <v>343</v>
      </c>
      <c r="S107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7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7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7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7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7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7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7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7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7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7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7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7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70" s="12">
        <f ca="1">[1]!Tabel1[[#This Row],[Vægtet Honorar]]*([1]!Tabel1[[#This Row],[Sidst redigeret]]&gt;TODAY()-40)*([1]!Tabel1[[#This Row],[Er i resplan?]]&lt;&gt;"Ja")*([1]!Tabel1[[#This Row],[Status]]="Pågår")</f>
        <v>0</v>
      </c>
      <c r="AG1070" s="12">
        <f ca="1">[1]!Tabel1[[#This Row],[Vægtet Honorar]]*([1]!Tabel1[[#This Row],[Sidst redigeret]]&gt;TODAY()-40)*([1]!Tabel1[[#This Row],[Status]]="Pågår")</f>
        <v>0</v>
      </c>
      <c r="AH1070" s="13"/>
      <c r="AI1070" s="12"/>
      <c r="AJ1070" s="12" t="s">
        <v>3695</v>
      </c>
      <c r="AK1070" s="12"/>
      <c r="AL1070" s="12"/>
      <c r="AM1070" s="12"/>
      <c r="AN1070" s="12"/>
      <c r="AO1070" s="12"/>
      <c r="AP1070" s="12"/>
    </row>
    <row r="1071" spans="1:42" ht="43.5">
      <c r="A1071" t="s">
        <v>3801</v>
      </c>
      <c r="B1071" s="8">
        <v>2500018</v>
      </c>
      <c r="C1071" s="8" t="s">
        <v>3802</v>
      </c>
      <c r="D1071" s="8" t="s">
        <v>1886</v>
      </c>
      <c r="E1071" s="8" t="s">
        <v>94</v>
      </c>
      <c r="F1071" s="8" t="s">
        <v>2103</v>
      </c>
      <c r="G1071" s="8" t="s">
        <v>2103</v>
      </c>
      <c r="H1071" s="9">
        <v>30000</v>
      </c>
      <c r="I1071" s="9">
        <f>[1]!Tabel1[[#This Row],[Honorar]]*[1]!Tabel1[[#This Row],[Sandsynlighed]]</f>
        <v>80000</v>
      </c>
      <c r="J1071" s="10" t="s">
        <v>1061</v>
      </c>
      <c r="K1071" s="10" t="s">
        <v>329</v>
      </c>
      <c r="L1071" s="21" t="s">
        <v>3803</v>
      </c>
      <c r="M1071" s="11">
        <v>0.9</v>
      </c>
      <c r="N1071" s="1"/>
      <c r="O1071" s="10">
        <v>46279.611157407409</v>
      </c>
      <c r="P1071" s="1" t="s">
        <v>46</v>
      </c>
      <c r="Q1071" s="1" t="s">
        <v>46</v>
      </c>
      <c r="R1071" s="8" t="s">
        <v>47</v>
      </c>
      <c r="S107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7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7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7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7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7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7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7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7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7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7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7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7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71" s="12">
        <f ca="1">[1]!Tabel1[[#This Row],[Vægtet Honorar]]*([1]!Tabel1[[#This Row],[Sidst redigeret]]&gt;TODAY()-40)*([1]!Tabel1[[#This Row],[Er i resplan?]]&lt;&gt;"Ja")*([1]!Tabel1[[#This Row],[Status]]="Pågår")</f>
        <v>80000</v>
      </c>
      <c r="AG1071" s="12">
        <f ca="1">[1]!Tabel1[[#This Row],[Vægtet Honorar]]*([1]!Tabel1[[#This Row],[Sidst redigeret]]&gt;TODAY()-40)*([1]!Tabel1[[#This Row],[Status]]="Pågår")</f>
        <v>80000</v>
      </c>
      <c r="AH1071" s="13">
        <v>45677</v>
      </c>
      <c r="AI1071" s="12"/>
      <c r="AJ1071" s="12"/>
      <c r="AK1071" s="12"/>
      <c r="AL1071" s="12"/>
      <c r="AM1071" s="12"/>
      <c r="AN1071" s="12"/>
      <c r="AO1071" s="12"/>
      <c r="AP1071" s="12"/>
    </row>
    <row r="1072" spans="1:42">
      <c r="A1072" t="s">
        <v>3804</v>
      </c>
      <c r="B1072" s="8"/>
      <c r="C1072" s="8" t="s">
        <v>3805</v>
      </c>
      <c r="D1072" s="8" t="s">
        <v>1886</v>
      </c>
      <c r="E1072" s="8" t="s">
        <v>94</v>
      </c>
      <c r="F1072" s="8" t="s">
        <v>2341</v>
      </c>
      <c r="G1072" s="8" t="s">
        <v>2341</v>
      </c>
      <c r="H1072" s="9">
        <v>15000</v>
      </c>
      <c r="I1072" s="9">
        <f>[1]!Tabel1[[#This Row],[Honorar]]*[1]!Tabel1[[#This Row],[Sandsynlighed]]</f>
        <v>50000</v>
      </c>
      <c r="J1072" s="10" t="s">
        <v>1061</v>
      </c>
      <c r="K1072" s="10" t="s">
        <v>329</v>
      </c>
      <c r="L1072" s="21"/>
      <c r="M1072" s="11">
        <v>0.9</v>
      </c>
      <c r="N1072" s="1"/>
      <c r="O1072" s="10">
        <v>46279.611157407409</v>
      </c>
      <c r="P1072" s="1" t="s">
        <v>72</v>
      </c>
      <c r="Q1072" s="1" t="s">
        <v>72</v>
      </c>
      <c r="R1072" s="8" t="s">
        <v>47</v>
      </c>
      <c r="S107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7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7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7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7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7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7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7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7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7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7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7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7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72" s="12">
        <f ca="1">[1]!Tabel1[[#This Row],[Vægtet Honorar]]*([1]!Tabel1[[#This Row],[Sidst redigeret]]&gt;TODAY()-40)*([1]!Tabel1[[#This Row],[Er i resplan?]]&lt;&gt;"Ja")*([1]!Tabel1[[#This Row],[Status]]="Pågår")</f>
        <v>0</v>
      </c>
      <c r="AG1072" s="12">
        <f ca="1">[1]!Tabel1[[#This Row],[Vægtet Honorar]]*([1]!Tabel1[[#This Row],[Sidst redigeret]]&gt;TODAY()-40)*([1]!Tabel1[[#This Row],[Status]]="Pågår")</f>
        <v>0</v>
      </c>
      <c r="AH1072" s="13"/>
      <c r="AI1072" s="12"/>
      <c r="AJ1072" s="12"/>
      <c r="AK1072" s="12"/>
      <c r="AL1072" s="12"/>
      <c r="AM1072" s="12"/>
      <c r="AN1072" s="12"/>
      <c r="AO1072" s="12"/>
      <c r="AP1072" s="12"/>
    </row>
    <row r="1073" spans="1:42">
      <c r="A1073" t="s">
        <v>3806</v>
      </c>
      <c r="B1073" s="8"/>
      <c r="C1073" s="8" t="s">
        <v>3807</v>
      </c>
      <c r="D1073" s="8" t="s">
        <v>44</v>
      </c>
      <c r="E1073" s="8" t="s">
        <v>71</v>
      </c>
      <c r="F1073" s="8" t="s">
        <v>2554</v>
      </c>
      <c r="G1073" s="8" t="s">
        <v>2554</v>
      </c>
      <c r="H1073" s="9">
        <v>2000000</v>
      </c>
      <c r="I1073" s="9">
        <f>[1]!Tabel1[[#This Row],[Honorar]]*[1]!Tabel1[[#This Row],[Sandsynlighed]]</f>
        <v>0.01</v>
      </c>
      <c r="J1073" s="10" t="s">
        <v>1191</v>
      </c>
      <c r="K1073" s="10" t="s">
        <v>2405</v>
      </c>
      <c r="L1073" s="21"/>
      <c r="M1073" s="11">
        <v>0.1</v>
      </c>
      <c r="N1073" s="1" t="s">
        <v>3808</v>
      </c>
      <c r="O1073" s="10">
        <v>46279.611157407409</v>
      </c>
      <c r="P1073" s="10"/>
      <c r="Q1073" s="1" t="s">
        <v>72</v>
      </c>
      <c r="R1073" s="8" t="s">
        <v>343</v>
      </c>
      <c r="S107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7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7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7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7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7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7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7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7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7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7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7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7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73" s="12">
        <f ca="1">[1]!Tabel1[[#This Row],[Vægtet Honorar]]*([1]!Tabel1[[#This Row],[Sidst redigeret]]&gt;TODAY()-40)*([1]!Tabel1[[#This Row],[Er i resplan?]]&lt;&gt;"Ja")*([1]!Tabel1[[#This Row],[Status]]="Pågår")</f>
        <v>0</v>
      </c>
      <c r="AG1073" s="12">
        <f ca="1">[1]!Tabel1[[#This Row],[Vægtet Honorar]]*([1]!Tabel1[[#This Row],[Sidst redigeret]]&gt;TODAY()-40)*([1]!Tabel1[[#This Row],[Status]]="Pågår")</f>
        <v>0</v>
      </c>
      <c r="AH1073" s="13"/>
      <c r="AI1073" s="12"/>
      <c r="AJ1073" s="12"/>
      <c r="AK1073" s="12"/>
      <c r="AL1073" s="12"/>
      <c r="AM1073" s="12"/>
      <c r="AN1073" s="12"/>
      <c r="AO1073" s="12"/>
      <c r="AP1073" s="12"/>
    </row>
    <row r="1074" spans="1:42">
      <c r="A1074" t="s">
        <v>3809</v>
      </c>
      <c r="B1074" s="8"/>
      <c r="C1074" s="8" t="s">
        <v>3810</v>
      </c>
      <c r="D1074" s="8" t="s">
        <v>720</v>
      </c>
      <c r="E1074" s="8" t="s">
        <v>71</v>
      </c>
      <c r="F1074" s="8"/>
      <c r="G1074" s="8" t="s">
        <v>1693</v>
      </c>
      <c r="H1074" s="9">
        <v>2000000</v>
      </c>
      <c r="I1074" s="9">
        <f>[1]!Tabel1[[#This Row],[Honorar]]*[1]!Tabel1[[#This Row],[Sandsynlighed]]</f>
        <v>150000</v>
      </c>
      <c r="J1074" s="10" t="s">
        <v>329</v>
      </c>
      <c r="K1074" s="10" t="s">
        <v>1062</v>
      </c>
      <c r="L1074" s="21"/>
      <c r="M1074" s="11">
        <v>0</v>
      </c>
      <c r="N1074" s="1">
        <v>1500</v>
      </c>
      <c r="O1074" s="10">
        <v>46279.611157407409</v>
      </c>
      <c r="P1074" s="10"/>
      <c r="Q1074" s="1" t="s">
        <v>46</v>
      </c>
      <c r="R1074" s="8" t="s">
        <v>75</v>
      </c>
      <c r="S107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7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7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7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7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7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7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7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7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7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7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7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7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74" s="12">
        <f ca="1">[1]!Tabel1[[#This Row],[Vægtet Honorar]]*([1]!Tabel1[[#This Row],[Sidst redigeret]]&gt;TODAY()-40)*([1]!Tabel1[[#This Row],[Er i resplan?]]&lt;&gt;"Ja")*([1]!Tabel1[[#This Row],[Status]]="Pågår")</f>
        <v>0</v>
      </c>
      <c r="AG1074" s="12">
        <f ca="1">[1]!Tabel1[[#This Row],[Vægtet Honorar]]*([1]!Tabel1[[#This Row],[Sidst redigeret]]&gt;TODAY()-40)*([1]!Tabel1[[#This Row],[Status]]="Pågår")</f>
        <v>0</v>
      </c>
      <c r="AH1074" s="13"/>
      <c r="AI1074" s="12"/>
      <c r="AJ1074" s="12"/>
      <c r="AK1074" s="12"/>
      <c r="AL1074" s="12"/>
      <c r="AM1074" s="12"/>
      <c r="AN1074" s="12"/>
      <c r="AO1074" s="12"/>
      <c r="AP1074" s="12"/>
    </row>
    <row r="1075" spans="1:42">
      <c r="A1075" t="s">
        <v>3811</v>
      </c>
      <c r="B1075" s="8"/>
      <c r="C1075" s="8" t="s">
        <v>3812</v>
      </c>
      <c r="D1075" s="8" t="s">
        <v>119</v>
      </c>
      <c r="E1075" s="8" t="s">
        <v>71</v>
      </c>
      <c r="F1075" s="8" t="s">
        <v>3812</v>
      </c>
      <c r="G1075" s="8" t="s">
        <v>3812</v>
      </c>
      <c r="H1075" s="9">
        <v>52500</v>
      </c>
      <c r="I1075" s="9">
        <f>[1]!Tabel1[[#This Row],[Honorar]]*[1]!Tabel1[[#This Row],[Sandsynlighed]]</f>
        <v>100000</v>
      </c>
      <c r="J1075" s="10" t="s">
        <v>1061</v>
      </c>
      <c r="K1075" s="10" t="s">
        <v>1287</v>
      </c>
      <c r="L1075" s="21"/>
      <c r="M1075" s="11">
        <v>1</v>
      </c>
      <c r="N1075" s="1">
        <v>1500</v>
      </c>
      <c r="O1075" s="10">
        <v>46279.611157407409</v>
      </c>
      <c r="P1075" s="10"/>
      <c r="Q1075" s="1" t="s">
        <v>46</v>
      </c>
      <c r="R1075" s="8" t="s">
        <v>47</v>
      </c>
      <c r="S107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7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7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7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7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7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7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7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7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7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7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7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7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75" s="12">
        <f ca="1">[1]!Tabel1[[#This Row],[Vægtet Honorar]]*([1]!Tabel1[[#This Row],[Sidst redigeret]]&gt;TODAY()-40)*([1]!Tabel1[[#This Row],[Er i resplan?]]&lt;&gt;"Ja")*([1]!Tabel1[[#This Row],[Status]]="Pågår")</f>
        <v>100000</v>
      </c>
      <c r="AG1075" s="12">
        <f ca="1">[1]!Tabel1[[#This Row],[Vægtet Honorar]]*([1]!Tabel1[[#This Row],[Sidst redigeret]]&gt;TODAY()-40)*([1]!Tabel1[[#This Row],[Status]]="Pågår")</f>
        <v>100000</v>
      </c>
      <c r="AH1075" s="13"/>
      <c r="AI1075" s="12"/>
      <c r="AJ1075" s="12"/>
      <c r="AK1075" s="12"/>
      <c r="AL1075" s="12"/>
      <c r="AM1075" s="12"/>
      <c r="AN1075" s="12"/>
      <c r="AO1075" s="12"/>
      <c r="AP1075" s="12"/>
    </row>
    <row r="1076" spans="1:42">
      <c r="A1076" t="s">
        <v>3813</v>
      </c>
      <c r="B1076" s="8"/>
      <c r="C1076" s="8" t="s">
        <v>3814</v>
      </c>
      <c r="D1076" s="8" t="s">
        <v>990</v>
      </c>
      <c r="E1076" s="8" t="s">
        <v>71</v>
      </c>
      <c r="F1076" s="8"/>
      <c r="G1076" s="8" t="s">
        <v>3815</v>
      </c>
      <c r="H1076" s="9">
        <v>170000</v>
      </c>
      <c r="I1076" s="9">
        <f>[1]!Tabel1[[#This Row],[Honorar]]*[1]!Tabel1[[#This Row],[Sandsynlighed]]</f>
        <v>27000</v>
      </c>
      <c r="J1076" s="10" t="s">
        <v>1061</v>
      </c>
      <c r="K1076" s="10" t="s">
        <v>585</v>
      </c>
      <c r="L1076" s="21"/>
      <c r="M1076" s="11">
        <v>1</v>
      </c>
      <c r="N1076" s="1"/>
      <c r="O1076" s="10">
        <v>46279.611157407409</v>
      </c>
      <c r="P1076" s="10"/>
      <c r="Q1076" s="1" t="s">
        <v>46</v>
      </c>
      <c r="R1076" s="8" t="s">
        <v>47</v>
      </c>
      <c r="S107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7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7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7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7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7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7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7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7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7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7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7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7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76" s="12">
        <f ca="1">[1]!Tabel1[[#This Row],[Vægtet Honorar]]*([1]!Tabel1[[#This Row],[Sidst redigeret]]&gt;TODAY()-40)*([1]!Tabel1[[#This Row],[Er i resplan?]]&lt;&gt;"Ja")*([1]!Tabel1[[#This Row],[Status]]="Pågår")</f>
        <v>0</v>
      </c>
      <c r="AG1076" s="12">
        <f ca="1">[1]!Tabel1[[#This Row],[Vægtet Honorar]]*([1]!Tabel1[[#This Row],[Sidst redigeret]]&gt;TODAY()-40)*([1]!Tabel1[[#This Row],[Status]]="Pågår")</f>
        <v>0</v>
      </c>
      <c r="AH1076" s="13"/>
      <c r="AI1076" s="12"/>
      <c r="AJ1076" s="12"/>
      <c r="AK1076" s="12"/>
      <c r="AL1076" s="12"/>
      <c r="AM1076" s="12"/>
      <c r="AN1076" s="12"/>
      <c r="AO1076" s="12"/>
      <c r="AP1076" s="12"/>
    </row>
    <row r="1077" spans="1:42" ht="57.75">
      <c r="A1077" t="s">
        <v>3816</v>
      </c>
      <c r="B1077" s="8"/>
      <c r="C1077" s="8" t="s">
        <v>3817</v>
      </c>
      <c r="D1077" s="8" t="s">
        <v>134</v>
      </c>
      <c r="E1077" s="8" t="s">
        <v>94</v>
      </c>
      <c r="F1077" s="8"/>
      <c r="G1077" s="8" t="s">
        <v>2269</v>
      </c>
      <c r="H1077" s="9">
        <v>85000</v>
      </c>
      <c r="I1077" s="9">
        <f>[1]!Tabel1[[#This Row],[Honorar]]*[1]!Tabel1[[#This Row],[Sandsynlighed]]</f>
        <v>13500</v>
      </c>
      <c r="J1077" s="10" t="s">
        <v>1061</v>
      </c>
      <c r="K1077" s="10" t="s">
        <v>329</v>
      </c>
      <c r="L1077" s="21" t="s">
        <v>3818</v>
      </c>
      <c r="M1077" s="11">
        <v>0.25</v>
      </c>
      <c r="N1077" s="1" t="s">
        <v>3819</v>
      </c>
      <c r="O1077" s="10">
        <v>46279.611157407409</v>
      </c>
      <c r="P1077" s="1" t="s">
        <v>72</v>
      </c>
      <c r="Q1077" s="1" t="s">
        <v>72</v>
      </c>
      <c r="R1077" s="8" t="s">
        <v>49</v>
      </c>
      <c r="S107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7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7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7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7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7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7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7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7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7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7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7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7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77" s="12">
        <f ca="1">[1]!Tabel1[[#This Row],[Vægtet Honorar]]*([1]!Tabel1[[#This Row],[Sidst redigeret]]&gt;TODAY()-40)*([1]!Tabel1[[#This Row],[Er i resplan?]]&lt;&gt;"Ja")*([1]!Tabel1[[#This Row],[Status]]="Pågår")</f>
        <v>0</v>
      </c>
      <c r="AG1077" s="12">
        <f ca="1">[1]!Tabel1[[#This Row],[Vægtet Honorar]]*([1]!Tabel1[[#This Row],[Sidst redigeret]]&gt;TODAY()-40)*([1]!Tabel1[[#This Row],[Status]]="Pågår")</f>
        <v>0</v>
      </c>
      <c r="AH1077" s="13"/>
      <c r="AI1077" s="12"/>
      <c r="AJ1077" s="12"/>
      <c r="AK1077" s="12"/>
      <c r="AL1077" s="12"/>
      <c r="AM1077" s="12"/>
      <c r="AN1077" s="12"/>
      <c r="AO1077" s="12"/>
      <c r="AP1077" s="12"/>
    </row>
    <row r="1078" spans="1:42" ht="86.25">
      <c r="A1078" t="s">
        <v>3820</v>
      </c>
      <c r="B1078" s="8"/>
      <c r="C1078" s="8" t="s">
        <v>3821</v>
      </c>
      <c r="D1078" s="8" t="s">
        <v>119</v>
      </c>
      <c r="E1078" s="8" t="s">
        <v>71</v>
      </c>
      <c r="F1078" s="8" t="s">
        <v>3822</v>
      </c>
      <c r="G1078" s="8" t="s">
        <v>3823</v>
      </c>
      <c r="H1078" s="9">
        <v>100000</v>
      </c>
      <c r="I1078" s="9">
        <f>[1]!Tabel1[[#This Row],[Honorar]]*[1]!Tabel1[[#This Row],[Sandsynlighed]]</f>
        <v>200000</v>
      </c>
      <c r="J1078" s="10" t="s">
        <v>1061</v>
      </c>
      <c r="K1078" s="10" t="s">
        <v>329</v>
      </c>
      <c r="L1078" s="21" t="s">
        <v>3824</v>
      </c>
      <c r="M1078" s="11">
        <v>0</v>
      </c>
      <c r="N1078" s="1" t="s">
        <v>3819</v>
      </c>
      <c r="O1078" s="10">
        <v>46279.611157407409</v>
      </c>
      <c r="P1078" s="10"/>
      <c r="Q1078" s="1" t="s">
        <v>72</v>
      </c>
      <c r="R1078" s="8" t="s">
        <v>49</v>
      </c>
      <c r="S107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7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7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7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7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7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7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7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7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7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7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7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7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78" s="12">
        <f ca="1">[1]!Tabel1[[#This Row],[Vægtet Honorar]]*([1]!Tabel1[[#This Row],[Sidst redigeret]]&gt;TODAY()-40)*([1]!Tabel1[[#This Row],[Er i resplan?]]&lt;&gt;"Ja")*([1]!Tabel1[[#This Row],[Status]]="Pågår")</f>
        <v>200000</v>
      </c>
      <c r="AG1078" s="12">
        <f ca="1">[1]!Tabel1[[#This Row],[Vægtet Honorar]]*([1]!Tabel1[[#This Row],[Sidst redigeret]]&gt;TODAY()-40)*([1]!Tabel1[[#This Row],[Status]]="Pågår")</f>
        <v>200000</v>
      </c>
      <c r="AH1078" s="13"/>
      <c r="AI1078" s="12"/>
      <c r="AJ1078" s="12"/>
      <c r="AK1078" s="12"/>
      <c r="AL1078" s="12"/>
      <c r="AM1078" s="12"/>
      <c r="AN1078" s="12"/>
      <c r="AO1078" s="12"/>
      <c r="AP1078" s="12"/>
    </row>
    <row r="1079" spans="1:42" ht="100.5">
      <c r="A1079" t="s">
        <v>3825</v>
      </c>
      <c r="B1079" s="8"/>
      <c r="C1079" s="8" t="s">
        <v>3826</v>
      </c>
      <c r="D1079" s="8" t="s">
        <v>119</v>
      </c>
      <c r="E1079" s="8" t="s">
        <v>71</v>
      </c>
      <c r="F1079" s="8" t="s">
        <v>1012</v>
      </c>
      <c r="G1079" s="8" t="s">
        <v>1012</v>
      </c>
      <c r="H1079" s="9">
        <v>25000</v>
      </c>
      <c r="I1079" s="9">
        <f>[1]!Tabel1[[#This Row],[Honorar]]*[1]!Tabel1[[#This Row],[Sandsynlighed]]</f>
        <v>0</v>
      </c>
      <c r="J1079" s="10" t="s">
        <v>1061</v>
      </c>
      <c r="K1079" s="10" t="s">
        <v>329</v>
      </c>
      <c r="L1079" s="21" t="s">
        <v>3827</v>
      </c>
      <c r="M1079" s="11">
        <v>0</v>
      </c>
      <c r="N1079" s="1" t="s">
        <v>3819</v>
      </c>
      <c r="O1079" s="10">
        <v>46279.611157407409</v>
      </c>
      <c r="P1079" s="10"/>
      <c r="Q1079" s="1" t="s">
        <v>72</v>
      </c>
      <c r="R1079" s="8" t="s">
        <v>49</v>
      </c>
      <c r="S107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7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7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7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7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7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7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7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7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7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7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7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7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79" s="12">
        <f ca="1">[1]!Tabel1[[#This Row],[Vægtet Honorar]]*([1]!Tabel1[[#This Row],[Sidst redigeret]]&gt;TODAY()-40)*([1]!Tabel1[[#This Row],[Er i resplan?]]&lt;&gt;"Ja")*([1]!Tabel1[[#This Row],[Status]]="Pågår")</f>
        <v>0</v>
      </c>
      <c r="AG1079" s="12">
        <f ca="1">[1]!Tabel1[[#This Row],[Vægtet Honorar]]*([1]!Tabel1[[#This Row],[Sidst redigeret]]&gt;TODAY()-40)*([1]!Tabel1[[#This Row],[Status]]="Pågår")</f>
        <v>0</v>
      </c>
      <c r="AH1079" s="13"/>
      <c r="AI1079" s="12"/>
      <c r="AJ1079" s="12"/>
      <c r="AK1079" s="12"/>
      <c r="AL1079" s="12"/>
      <c r="AM1079" s="12"/>
      <c r="AN1079" s="12"/>
      <c r="AO1079" s="12"/>
      <c r="AP1079" s="12"/>
    </row>
    <row r="1080" spans="1:42">
      <c r="A1080" t="s">
        <v>3828</v>
      </c>
      <c r="B1080" s="8"/>
      <c r="C1080" s="8" t="s">
        <v>3829</v>
      </c>
      <c r="D1080" s="8" t="s">
        <v>720</v>
      </c>
      <c r="E1080" s="8" t="s">
        <v>71</v>
      </c>
      <c r="F1080" s="8" t="s">
        <v>3830</v>
      </c>
      <c r="G1080" s="8" t="s">
        <v>1100</v>
      </c>
      <c r="H1080" s="9">
        <v>5000000</v>
      </c>
      <c r="I1080" s="9">
        <f>[1]!Tabel1[[#This Row],[Honorar]]*[1]!Tabel1[[#This Row],[Sandsynlighed]]</f>
        <v>52500</v>
      </c>
      <c r="J1080" s="10" t="s">
        <v>1191</v>
      </c>
      <c r="K1080" s="10" t="s">
        <v>342</v>
      </c>
      <c r="L1080" s="21"/>
      <c r="M1080" s="11">
        <v>0.1</v>
      </c>
      <c r="N1080" s="1">
        <v>7750</v>
      </c>
      <c r="O1080" s="10">
        <v>46279.611157407409</v>
      </c>
      <c r="P1080" s="10"/>
      <c r="Q1080" s="1" t="s">
        <v>72</v>
      </c>
      <c r="R1080" s="8" t="s">
        <v>343</v>
      </c>
      <c r="S108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8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8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8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8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8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8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8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8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8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8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8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8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80" s="12">
        <f ca="1">[1]!Tabel1[[#This Row],[Vægtet Honorar]]*([1]!Tabel1[[#This Row],[Sidst redigeret]]&gt;TODAY()-40)*([1]!Tabel1[[#This Row],[Er i resplan?]]&lt;&gt;"Ja")*([1]!Tabel1[[#This Row],[Status]]="Pågår")</f>
        <v>0</v>
      </c>
      <c r="AG1080" s="12">
        <f ca="1">[1]!Tabel1[[#This Row],[Vægtet Honorar]]*([1]!Tabel1[[#This Row],[Sidst redigeret]]&gt;TODAY()-40)*([1]!Tabel1[[#This Row],[Status]]="Pågår")</f>
        <v>0</v>
      </c>
      <c r="AH1080" s="13"/>
      <c r="AI1080" s="12"/>
      <c r="AJ1080" s="12" t="s">
        <v>3831</v>
      </c>
      <c r="AK1080" s="12" t="s">
        <v>1100</v>
      </c>
      <c r="AL1080" s="12"/>
      <c r="AM1080" s="12"/>
      <c r="AN1080" s="12"/>
      <c r="AO1080" s="12"/>
      <c r="AP1080" s="12"/>
    </row>
    <row r="1081" spans="1:42">
      <c r="A1081" t="s">
        <v>3832</v>
      </c>
      <c r="B1081" s="8"/>
      <c r="C1081" s="8" t="s">
        <v>3833</v>
      </c>
      <c r="D1081" s="8" t="s">
        <v>134</v>
      </c>
      <c r="E1081" s="8" t="s">
        <v>94</v>
      </c>
      <c r="F1081" s="8" t="s">
        <v>527</v>
      </c>
      <c r="G1081" s="8" t="s">
        <v>527</v>
      </c>
      <c r="H1081" s="9">
        <v>75000</v>
      </c>
      <c r="I1081" s="9">
        <f>[1]!Tabel1[[#This Row],[Honorar]]*[1]!Tabel1[[#This Row],[Sandsynlighed]]</f>
        <v>170000</v>
      </c>
      <c r="J1081" s="10" t="s">
        <v>329</v>
      </c>
      <c r="K1081" s="10" t="s">
        <v>341</v>
      </c>
      <c r="L1081" s="21"/>
      <c r="M1081" s="11">
        <v>0.2</v>
      </c>
      <c r="N1081" s="1"/>
      <c r="O1081" s="10">
        <v>46279.611157407409</v>
      </c>
      <c r="P1081" s="1" t="s">
        <v>72</v>
      </c>
      <c r="Q1081" s="1" t="s">
        <v>72</v>
      </c>
      <c r="R1081" s="8" t="s">
        <v>49</v>
      </c>
      <c r="S108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8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8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8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8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8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8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8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8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8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8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8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8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81" s="12">
        <f ca="1">[1]!Tabel1[[#This Row],[Vægtet Honorar]]*([1]!Tabel1[[#This Row],[Sidst redigeret]]&gt;TODAY()-40)*([1]!Tabel1[[#This Row],[Er i resplan?]]&lt;&gt;"Ja")*([1]!Tabel1[[#This Row],[Status]]="Pågår")</f>
        <v>0</v>
      </c>
      <c r="AG1081" s="12">
        <f ca="1">[1]!Tabel1[[#This Row],[Vægtet Honorar]]*([1]!Tabel1[[#This Row],[Sidst redigeret]]&gt;TODAY()-40)*([1]!Tabel1[[#This Row],[Status]]="Pågår")</f>
        <v>0</v>
      </c>
      <c r="AH1081" s="13"/>
      <c r="AI1081" s="12"/>
      <c r="AJ1081" s="12"/>
      <c r="AK1081" s="12"/>
      <c r="AL1081" s="12"/>
      <c r="AM1081" s="12"/>
      <c r="AN1081" s="12"/>
      <c r="AO1081" s="12"/>
      <c r="AP1081" s="12"/>
    </row>
    <row r="1082" spans="1:42">
      <c r="A1082" t="s">
        <v>3834</v>
      </c>
      <c r="B1082" s="8"/>
      <c r="C1082" s="8" t="s">
        <v>3835</v>
      </c>
      <c r="D1082" s="8" t="s">
        <v>3836</v>
      </c>
      <c r="E1082" s="8" t="s">
        <v>167</v>
      </c>
      <c r="F1082" s="8" t="s">
        <v>3837</v>
      </c>
      <c r="G1082" s="8" t="s">
        <v>3837</v>
      </c>
      <c r="H1082" s="9">
        <v>100000</v>
      </c>
      <c r="I1082" s="9">
        <f>[1]!Tabel1[[#This Row],[Honorar]]*[1]!Tabel1[[#This Row],[Sandsynlighed]]</f>
        <v>21250</v>
      </c>
      <c r="J1082" s="10" t="s">
        <v>1061</v>
      </c>
      <c r="K1082" s="10" t="s">
        <v>341</v>
      </c>
      <c r="L1082" s="21"/>
      <c r="M1082" s="11">
        <v>0.75</v>
      </c>
      <c r="N1082" s="1"/>
      <c r="O1082" s="10">
        <v>46279.611157407409</v>
      </c>
      <c r="P1082" s="10"/>
      <c r="Q1082" s="1" t="s">
        <v>46</v>
      </c>
      <c r="R1082" s="8" t="s">
        <v>343</v>
      </c>
      <c r="S108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8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8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8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8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8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8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8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8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8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8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8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8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82" s="12">
        <f ca="1">[1]!Tabel1[[#This Row],[Vægtet Honorar]]*([1]!Tabel1[[#This Row],[Sidst redigeret]]&gt;TODAY()-40)*([1]!Tabel1[[#This Row],[Er i resplan?]]&lt;&gt;"Ja")*([1]!Tabel1[[#This Row],[Status]]="Pågår")</f>
        <v>0</v>
      </c>
      <c r="AG1082" s="12">
        <f ca="1">[1]!Tabel1[[#This Row],[Vægtet Honorar]]*([1]!Tabel1[[#This Row],[Sidst redigeret]]&gt;TODAY()-40)*([1]!Tabel1[[#This Row],[Status]]="Pågår")</f>
        <v>0</v>
      </c>
      <c r="AH1082" s="13"/>
      <c r="AI1082" s="12"/>
      <c r="AJ1082" s="12"/>
      <c r="AK1082" s="12"/>
      <c r="AL1082" s="12"/>
      <c r="AM1082" s="12"/>
      <c r="AN1082" s="12"/>
      <c r="AO1082" s="12"/>
      <c r="AP1082" s="12"/>
    </row>
    <row r="1083" spans="1:42">
      <c r="A1083" t="s">
        <v>3838</v>
      </c>
      <c r="B1083" s="8"/>
      <c r="C1083" s="8" t="s">
        <v>3839</v>
      </c>
      <c r="D1083" s="8" t="s">
        <v>65</v>
      </c>
      <c r="E1083" s="8" t="s">
        <v>167</v>
      </c>
      <c r="F1083" s="8" t="s">
        <v>3837</v>
      </c>
      <c r="G1083" s="8" t="s">
        <v>3840</v>
      </c>
      <c r="H1083" s="9">
        <v>350000</v>
      </c>
      <c r="I1083" s="9">
        <f>[1]!Tabel1[[#This Row],[Honorar]]*[1]!Tabel1[[#This Row],[Sandsynlighed]]</f>
        <v>0</v>
      </c>
      <c r="J1083" s="10" t="s">
        <v>1061</v>
      </c>
      <c r="K1083" s="10" t="s">
        <v>342</v>
      </c>
      <c r="L1083" s="21"/>
      <c r="M1083" s="11">
        <v>1</v>
      </c>
      <c r="N1083" s="1"/>
      <c r="O1083" s="10">
        <v>46279.611157407409</v>
      </c>
      <c r="P1083" s="10"/>
      <c r="Q1083" s="1" t="s">
        <v>46</v>
      </c>
      <c r="R1083" s="8" t="s">
        <v>343</v>
      </c>
      <c r="S108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8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8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8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8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8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8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8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8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8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8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8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8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83" s="12">
        <f ca="1">[1]!Tabel1[[#This Row],[Vægtet Honorar]]*([1]!Tabel1[[#This Row],[Sidst redigeret]]&gt;TODAY()-40)*([1]!Tabel1[[#This Row],[Er i resplan?]]&lt;&gt;"Ja")*([1]!Tabel1[[#This Row],[Status]]="Pågår")</f>
        <v>0</v>
      </c>
      <c r="AG1083" s="12">
        <f ca="1">[1]!Tabel1[[#This Row],[Vægtet Honorar]]*([1]!Tabel1[[#This Row],[Sidst redigeret]]&gt;TODAY()-40)*([1]!Tabel1[[#This Row],[Status]]="Pågår")</f>
        <v>0</v>
      </c>
      <c r="AH1083" s="13"/>
      <c r="AI1083" s="12"/>
      <c r="AJ1083" s="12"/>
      <c r="AK1083" s="12"/>
      <c r="AL1083" s="12"/>
      <c r="AM1083" s="12"/>
      <c r="AN1083" s="12"/>
      <c r="AO1083" s="12"/>
      <c r="AP1083" s="12"/>
    </row>
    <row r="1084" spans="1:42">
      <c r="A1084" t="s">
        <v>3841</v>
      </c>
      <c r="B1084" s="8"/>
      <c r="C1084" s="8" t="s">
        <v>3842</v>
      </c>
      <c r="D1084" s="8" t="s">
        <v>3360</v>
      </c>
      <c r="E1084" s="8" t="s">
        <v>167</v>
      </c>
      <c r="F1084" s="8" t="s">
        <v>3843</v>
      </c>
      <c r="G1084" s="8" t="s">
        <v>543</v>
      </c>
      <c r="H1084" s="9">
        <v>300000</v>
      </c>
      <c r="I1084" s="9">
        <f>[1]!Tabel1[[#This Row],[Honorar]]*[1]!Tabel1[[#This Row],[Sandsynlighed]]</f>
        <v>0</v>
      </c>
      <c r="J1084" s="10" t="s">
        <v>1287</v>
      </c>
      <c r="K1084" s="10" t="s">
        <v>342</v>
      </c>
      <c r="L1084" s="21"/>
      <c r="M1084" s="11">
        <v>0.9</v>
      </c>
      <c r="N1084" s="1"/>
      <c r="O1084" s="10">
        <v>46279.611157407409</v>
      </c>
      <c r="P1084" s="10"/>
      <c r="Q1084" s="1" t="s">
        <v>46</v>
      </c>
      <c r="R1084" s="8" t="s">
        <v>343</v>
      </c>
      <c r="S108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8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8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8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8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8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8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8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8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8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8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8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8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84" s="12">
        <f ca="1">[1]!Tabel1[[#This Row],[Vægtet Honorar]]*([1]!Tabel1[[#This Row],[Sidst redigeret]]&gt;TODAY()-40)*([1]!Tabel1[[#This Row],[Er i resplan?]]&lt;&gt;"Ja")*([1]!Tabel1[[#This Row],[Status]]="Pågår")</f>
        <v>0</v>
      </c>
      <c r="AG1084" s="12">
        <f ca="1">[1]!Tabel1[[#This Row],[Vægtet Honorar]]*([1]!Tabel1[[#This Row],[Sidst redigeret]]&gt;TODAY()-40)*([1]!Tabel1[[#This Row],[Status]]="Pågår")</f>
        <v>0</v>
      </c>
      <c r="AH1084" s="13"/>
      <c r="AI1084" s="12"/>
      <c r="AJ1084" s="12"/>
      <c r="AK1084" s="12"/>
      <c r="AL1084" s="12"/>
      <c r="AM1084" s="12"/>
      <c r="AN1084" s="12"/>
      <c r="AO1084" s="12"/>
      <c r="AP1084" s="12"/>
    </row>
    <row r="1085" spans="1:42">
      <c r="A1085" t="s">
        <v>3844</v>
      </c>
      <c r="B1085" s="8"/>
      <c r="C1085" s="8" t="s">
        <v>3845</v>
      </c>
      <c r="D1085" s="8" t="s">
        <v>1771</v>
      </c>
      <c r="E1085" s="8" t="s">
        <v>167</v>
      </c>
      <c r="F1085" s="8" t="s">
        <v>3846</v>
      </c>
      <c r="G1085" s="8" t="s">
        <v>3846</v>
      </c>
      <c r="H1085" s="9">
        <v>3000000</v>
      </c>
      <c r="I1085" s="9">
        <f>[1]!Tabel1[[#This Row],[Honorar]]*[1]!Tabel1[[#This Row],[Sandsynlighed]]</f>
        <v>500000</v>
      </c>
      <c r="J1085" s="10" t="s">
        <v>1191</v>
      </c>
      <c r="K1085" s="10" t="s">
        <v>342</v>
      </c>
      <c r="L1085" s="21"/>
      <c r="M1085" s="11">
        <v>0.01</v>
      </c>
      <c r="N1085" s="1"/>
      <c r="O1085" s="10">
        <v>46279.611157407409</v>
      </c>
      <c r="P1085" s="10"/>
      <c r="Q1085" s="1" t="s">
        <v>72</v>
      </c>
      <c r="R1085" s="8" t="s">
        <v>343</v>
      </c>
      <c r="S108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8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8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8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8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8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8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8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8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8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8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8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8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85" s="12">
        <f ca="1">[1]!Tabel1[[#This Row],[Vægtet Honorar]]*([1]!Tabel1[[#This Row],[Sidst redigeret]]&gt;TODAY()-40)*([1]!Tabel1[[#This Row],[Er i resplan?]]&lt;&gt;"Ja")*([1]!Tabel1[[#This Row],[Status]]="Pågår")</f>
        <v>500000</v>
      </c>
      <c r="AG1085" s="12">
        <f ca="1">[1]!Tabel1[[#This Row],[Vægtet Honorar]]*([1]!Tabel1[[#This Row],[Sidst redigeret]]&gt;TODAY()-40)*([1]!Tabel1[[#This Row],[Status]]="Pågår")</f>
        <v>500000</v>
      </c>
      <c r="AH1085" s="13"/>
      <c r="AI1085" s="12"/>
      <c r="AJ1085" s="12" t="s">
        <v>2005</v>
      </c>
      <c r="AK1085" s="12" t="s">
        <v>2415</v>
      </c>
      <c r="AL1085" s="12"/>
      <c r="AM1085" s="12"/>
      <c r="AN1085" s="12"/>
      <c r="AO1085" s="12"/>
      <c r="AP1085" s="12"/>
    </row>
    <row r="1086" spans="1:42">
      <c r="A1086" t="s">
        <v>3847</v>
      </c>
      <c r="B1086" s="8"/>
      <c r="C1086" s="8" t="s">
        <v>3848</v>
      </c>
      <c r="D1086" s="8" t="s">
        <v>1771</v>
      </c>
      <c r="E1086" s="8" t="s">
        <v>167</v>
      </c>
      <c r="F1086" s="8" t="s">
        <v>3846</v>
      </c>
      <c r="G1086" s="8" t="s">
        <v>3846</v>
      </c>
      <c r="H1086" s="9">
        <v>1500000</v>
      </c>
      <c r="I1086" s="9">
        <f>[1]!Tabel1[[#This Row],[Honorar]]*[1]!Tabel1[[#This Row],[Sandsynlighed]]</f>
        <v>15000</v>
      </c>
      <c r="J1086" s="10" t="s">
        <v>1191</v>
      </c>
      <c r="K1086" s="10" t="s">
        <v>342</v>
      </c>
      <c r="L1086" s="21"/>
      <c r="M1086" s="11">
        <v>0.01</v>
      </c>
      <c r="N1086" s="1"/>
      <c r="O1086" s="10">
        <v>46279.611157407409</v>
      </c>
      <c r="P1086" s="10"/>
      <c r="Q1086" s="1" t="s">
        <v>72</v>
      </c>
      <c r="R1086" s="8" t="s">
        <v>343</v>
      </c>
      <c r="S108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8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8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8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8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8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8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8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8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8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8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8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8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86" s="12">
        <f ca="1">[1]!Tabel1[[#This Row],[Vægtet Honorar]]*([1]!Tabel1[[#This Row],[Sidst redigeret]]&gt;TODAY()-40)*([1]!Tabel1[[#This Row],[Er i resplan?]]&lt;&gt;"Ja")*([1]!Tabel1[[#This Row],[Status]]="Pågår")</f>
        <v>0</v>
      </c>
      <c r="AG1086" s="12">
        <f ca="1">[1]!Tabel1[[#This Row],[Vægtet Honorar]]*([1]!Tabel1[[#This Row],[Sidst redigeret]]&gt;TODAY()-40)*([1]!Tabel1[[#This Row],[Status]]="Pågår")</f>
        <v>0</v>
      </c>
      <c r="AH1086" s="13"/>
      <c r="AI1086" s="12"/>
      <c r="AJ1086" s="12" t="s">
        <v>2005</v>
      </c>
      <c r="AK1086" s="12" t="s">
        <v>2415</v>
      </c>
      <c r="AL1086" s="12"/>
      <c r="AM1086" s="12"/>
      <c r="AN1086" s="12"/>
      <c r="AO1086" s="12"/>
      <c r="AP1086" s="12"/>
    </row>
    <row r="1087" spans="1:42">
      <c r="A1087" t="s">
        <v>3849</v>
      </c>
      <c r="B1087" s="8"/>
      <c r="C1087" s="8" t="s">
        <v>3850</v>
      </c>
      <c r="D1087" s="8" t="s">
        <v>2886</v>
      </c>
      <c r="E1087" s="8" t="s">
        <v>120</v>
      </c>
      <c r="F1087" s="8"/>
      <c r="G1087" s="8" t="s">
        <v>3330</v>
      </c>
      <c r="H1087" s="9">
        <v>250000</v>
      </c>
      <c r="I1087" s="9">
        <f>[1]!Tabel1[[#This Row],[Honorar]]*[1]!Tabel1[[#This Row],[Sandsynlighed]]</f>
        <v>75000</v>
      </c>
      <c r="J1087" s="10" t="s">
        <v>1061</v>
      </c>
      <c r="K1087" s="10" t="s">
        <v>1287</v>
      </c>
      <c r="L1087" s="21"/>
      <c r="M1087" s="11">
        <v>0.5</v>
      </c>
      <c r="N1087" s="1"/>
      <c r="O1087" s="10">
        <v>46279.611157407409</v>
      </c>
      <c r="P1087" s="10"/>
      <c r="Q1087" s="1" t="s">
        <v>46</v>
      </c>
      <c r="R1087" s="8" t="s">
        <v>47</v>
      </c>
      <c r="S108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8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8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8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8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8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8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8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8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8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8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8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8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87" s="12">
        <f ca="1">[1]!Tabel1[[#This Row],[Vægtet Honorar]]*([1]!Tabel1[[#This Row],[Sidst redigeret]]&gt;TODAY()-40)*([1]!Tabel1[[#This Row],[Er i resplan?]]&lt;&gt;"Ja")*([1]!Tabel1[[#This Row],[Status]]="Pågår")</f>
        <v>0</v>
      </c>
      <c r="AG1087" s="12">
        <f ca="1">[1]!Tabel1[[#This Row],[Vægtet Honorar]]*([1]!Tabel1[[#This Row],[Sidst redigeret]]&gt;TODAY()-40)*([1]!Tabel1[[#This Row],[Status]]="Pågår")</f>
        <v>75000</v>
      </c>
      <c r="AH1087" s="13">
        <v>46269.494363425925</v>
      </c>
      <c r="AI1087" s="12"/>
      <c r="AJ1087" s="12" t="s">
        <v>3330</v>
      </c>
      <c r="AK1087" s="12"/>
      <c r="AL1087" s="12"/>
      <c r="AM1087" s="12"/>
      <c r="AN1087" s="12"/>
      <c r="AO1087" s="12"/>
      <c r="AP1087" s="12"/>
    </row>
    <row r="1088" spans="1:42">
      <c r="A1088" t="s">
        <v>3851</v>
      </c>
      <c r="B1088" s="8"/>
      <c r="C1088" s="8" t="s">
        <v>3852</v>
      </c>
      <c r="D1088" s="8" t="s">
        <v>200</v>
      </c>
      <c r="E1088" s="8" t="s">
        <v>120</v>
      </c>
      <c r="F1088" s="8"/>
      <c r="G1088" s="8" t="s">
        <v>3300</v>
      </c>
      <c r="H1088" s="9">
        <v>600000</v>
      </c>
      <c r="I1088" s="9">
        <f>[1]!Tabel1[[#This Row],[Honorar]]*[1]!Tabel1[[#This Row],[Sandsynlighed]]</f>
        <v>350000</v>
      </c>
      <c r="J1088" s="10" t="s">
        <v>1061</v>
      </c>
      <c r="K1088" s="10" t="s">
        <v>1310</v>
      </c>
      <c r="L1088" s="21"/>
      <c r="M1088" s="11">
        <v>0.25</v>
      </c>
      <c r="N1088" s="1">
        <v>500</v>
      </c>
      <c r="O1088" s="10">
        <v>46279.611157407409</v>
      </c>
      <c r="P1088" s="10"/>
      <c r="Q1088" s="1" t="s">
        <v>46</v>
      </c>
      <c r="R1088" s="8" t="s">
        <v>75</v>
      </c>
      <c r="S108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8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8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8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8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8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8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8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8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8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8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8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8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88" s="12">
        <f ca="1">[1]!Tabel1[[#This Row],[Vægtet Honorar]]*([1]!Tabel1[[#This Row],[Sidst redigeret]]&gt;TODAY()-40)*([1]!Tabel1[[#This Row],[Er i resplan?]]&lt;&gt;"Ja")*([1]!Tabel1[[#This Row],[Status]]="Pågår")</f>
        <v>0</v>
      </c>
      <c r="AG1088" s="12">
        <f ca="1">[1]!Tabel1[[#This Row],[Vægtet Honorar]]*([1]!Tabel1[[#This Row],[Sidst redigeret]]&gt;TODAY()-40)*([1]!Tabel1[[#This Row],[Status]]="Pågår")</f>
        <v>350000</v>
      </c>
      <c r="AH1088" s="13"/>
      <c r="AI1088" s="12"/>
      <c r="AJ1088" s="12" t="s">
        <v>3300</v>
      </c>
      <c r="AK1088" s="12"/>
      <c r="AL1088" s="12"/>
      <c r="AM1088" s="12"/>
      <c r="AN1088" s="12"/>
      <c r="AO1088" s="12"/>
      <c r="AP1088" s="12"/>
    </row>
    <row r="1089" spans="1:42" ht="29.25">
      <c r="A1089" t="s">
        <v>3853</v>
      </c>
      <c r="B1089" s="8"/>
      <c r="C1089" s="8" t="s">
        <v>3854</v>
      </c>
      <c r="D1089" s="8" t="s">
        <v>119</v>
      </c>
      <c r="E1089" s="8" t="s">
        <v>71</v>
      </c>
      <c r="F1089" s="8"/>
      <c r="G1089" s="8" t="s">
        <v>1589</v>
      </c>
      <c r="H1089" s="9">
        <v>10000</v>
      </c>
      <c r="I1089" s="9">
        <f>[1]!Tabel1[[#This Row],[Honorar]]*[1]!Tabel1[[#This Row],[Sandsynlighed]]</f>
        <v>270000</v>
      </c>
      <c r="J1089" s="10" t="s">
        <v>1061</v>
      </c>
      <c r="K1089" s="10" t="s">
        <v>1061</v>
      </c>
      <c r="L1089" s="21" t="s">
        <v>3855</v>
      </c>
      <c r="M1089" s="11">
        <v>0</v>
      </c>
      <c r="N1089" s="1"/>
      <c r="O1089" s="10">
        <v>46279.611157407409</v>
      </c>
      <c r="P1089" s="10"/>
      <c r="Q1089" s="1" t="s">
        <v>72</v>
      </c>
      <c r="R1089" s="8" t="s">
        <v>343</v>
      </c>
      <c r="S108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8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8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8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8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8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8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8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8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8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8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8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8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89" s="12">
        <f ca="1">[1]!Tabel1[[#This Row],[Vægtet Honorar]]*([1]!Tabel1[[#This Row],[Sidst redigeret]]&gt;TODAY()-40)*([1]!Tabel1[[#This Row],[Er i resplan?]]&lt;&gt;"Ja")*([1]!Tabel1[[#This Row],[Status]]="Pågår")</f>
        <v>0</v>
      </c>
      <c r="AG1089" s="12">
        <f ca="1">[1]!Tabel1[[#This Row],[Vægtet Honorar]]*([1]!Tabel1[[#This Row],[Sidst redigeret]]&gt;TODAY()-40)*([1]!Tabel1[[#This Row],[Status]]="Pågår")</f>
        <v>270000</v>
      </c>
      <c r="AH1089" s="13"/>
      <c r="AI1089" s="12"/>
      <c r="AJ1089" s="12" t="s">
        <v>1015</v>
      </c>
      <c r="AK1089" s="12"/>
      <c r="AL1089" s="12"/>
      <c r="AM1089" s="12"/>
      <c r="AN1089" s="12"/>
      <c r="AO1089" s="12"/>
      <c r="AP1089" s="12"/>
    </row>
    <row r="1090" spans="1:42" ht="29.25">
      <c r="A1090" t="s">
        <v>3856</v>
      </c>
      <c r="B1090" s="8"/>
      <c r="C1090" s="8" t="s">
        <v>3857</v>
      </c>
      <c r="D1090" s="8" t="s">
        <v>358</v>
      </c>
      <c r="E1090" s="8" t="s">
        <v>102</v>
      </c>
      <c r="F1090" s="8"/>
      <c r="G1090" s="8" t="s">
        <v>3858</v>
      </c>
      <c r="H1090" s="9">
        <v>50000</v>
      </c>
      <c r="I1090" s="9">
        <f>[1]!Tabel1[[#This Row],[Honorar]]*[1]!Tabel1[[#This Row],[Sandsynlighed]]</f>
        <v>30000</v>
      </c>
      <c r="J1090" s="10" t="s">
        <v>1061</v>
      </c>
      <c r="K1090" s="10" t="s">
        <v>1061</v>
      </c>
      <c r="L1090" s="21" t="s">
        <v>2516</v>
      </c>
      <c r="M1090" s="11">
        <v>0.25</v>
      </c>
      <c r="N1090" s="1">
        <v>600</v>
      </c>
      <c r="O1090" s="10">
        <v>46279.611157407409</v>
      </c>
      <c r="P1090" s="10"/>
      <c r="Q1090" s="1" t="s">
        <v>72</v>
      </c>
      <c r="R1090" s="8" t="s">
        <v>49</v>
      </c>
      <c r="S109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9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9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9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9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9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9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9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9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9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9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9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9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90" s="12">
        <f ca="1">[1]!Tabel1[[#This Row],[Vægtet Honorar]]*([1]!Tabel1[[#This Row],[Sidst redigeret]]&gt;TODAY()-40)*([1]!Tabel1[[#This Row],[Er i resplan?]]&lt;&gt;"Ja")*([1]!Tabel1[[#This Row],[Status]]="Pågår")</f>
        <v>30000</v>
      </c>
      <c r="AG1090" s="12">
        <f ca="1">[1]!Tabel1[[#This Row],[Vægtet Honorar]]*([1]!Tabel1[[#This Row],[Sidst redigeret]]&gt;TODAY()-40)*([1]!Tabel1[[#This Row],[Status]]="Pågår")</f>
        <v>30000</v>
      </c>
      <c r="AH1090" s="13"/>
      <c r="AI1090" s="12"/>
      <c r="AJ1090" s="12" t="s">
        <v>1015</v>
      </c>
      <c r="AK1090" s="12"/>
      <c r="AL1090" s="12"/>
      <c r="AM1090" s="12"/>
      <c r="AN1090" s="12"/>
      <c r="AO1090" s="12"/>
      <c r="AP1090" s="12"/>
    </row>
    <row r="1091" spans="1:42" ht="43.5">
      <c r="A1091" t="s">
        <v>3859</v>
      </c>
      <c r="B1091" s="8"/>
      <c r="C1091" s="8" t="s">
        <v>3860</v>
      </c>
      <c r="D1091" s="8" t="s">
        <v>1771</v>
      </c>
      <c r="E1091" s="8" t="s">
        <v>167</v>
      </c>
      <c r="F1091" s="8" t="s">
        <v>3861</v>
      </c>
      <c r="G1091" s="8" t="s">
        <v>1100</v>
      </c>
      <c r="H1091" s="9">
        <v>17100000</v>
      </c>
      <c r="I1091" s="9">
        <f>[1]!Tabel1[[#This Row],[Honorar]]*[1]!Tabel1[[#This Row],[Sandsynlighed]]</f>
        <v>15000</v>
      </c>
      <c r="J1091" s="10" t="s">
        <v>1287</v>
      </c>
      <c r="K1091" s="10" t="s">
        <v>585</v>
      </c>
      <c r="L1091" s="21" t="s">
        <v>3862</v>
      </c>
      <c r="M1091" s="11">
        <v>0</v>
      </c>
      <c r="N1091" s="1">
        <v>7000</v>
      </c>
      <c r="O1091" s="10">
        <v>46279.611157407409</v>
      </c>
      <c r="P1091" s="10"/>
      <c r="Q1091" s="1" t="s">
        <v>46</v>
      </c>
      <c r="R1091" s="8" t="s">
        <v>75</v>
      </c>
      <c r="S109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9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9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9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9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9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9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9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9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9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9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9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9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91" s="12">
        <f ca="1">[1]!Tabel1[[#This Row],[Vægtet Honorar]]*([1]!Tabel1[[#This Row],[Sidst redigeret]]&gt;TODAY()-40)*([1]!Tabel1[[#This Row],[Er i resplan?]]&lt;&gt;"Ja")*([1]!Tabel1[[#This Row],[Status]]="Pågår")</f>
        <v>15000</v>
      </c>
      <c r="AG1091" s="12">
        <f ca="1">[1]!Tabel1[[#This Row],[Vægtet Honorar]]*([1]!Tabel1[[#This Row],[Sidst redigeret]]&gt;TODAY()-40)*([1]!Tabel1[[#This Row],[Status]]="Pågår")</f>
        <v>15000</v>
      </c>
      <c r="AH1091" s="13">
        <v>45847</v>
      </c>
      <c r="AI1091" s="12"/>
      <c r="AJ1091" s="12" t="s">
        <v>929</v>
      </c>
      <c r="AK1091" s="12"/>
      <c r="AL1091" s="12"/>
      <c r="AM1091" s="12"/>
      <c r="AN1091" s="12"/>
      <c r="AO1091" s="12"/>
      <c r="AP1091" s="12"/>
    </row>
    <row r="1092" spans="1:42">
      <c r="A1092" t="s">
        <v>3863</v>
      </c>
      <c r="B1092" s="8"/>
      <c r="C1092" s="8" t="s">
        <v>3864</v>
      </c>
      <c r="D1092" s="8" t="s">
        <v>980</v>
      </c>
      <c r="E1092" s="8" t="s">
        <v>71</v>
      </c>
      <c r="F1092" s="8" t="s">
        <v>2834</v>
      </c>
      <c r="G1092" s="8" t="s">
        <v>2834</v>
      </c>
      <c r="H1092" s="9">
        <v>100000</v>
      </c>
      <c r="I1092" s="9">
        <f>[1]!Tabel1[[#This Row],[Honorar]]*[1]!Tabel1[[#This Row],[Sandsynlighed]]</f>
        <v>125000</v>
      </c>
      <c r="J1092" s="10" t="s">
        <v>1287</v>
      </c>
      <c r="K1092" s="10" t="s">
        <v>341</v>
      </c>
      <c r="L1092" s="21"/>
      <c r="M1092" s="11">
        <v>0.8</v>
      </c>
      <c r="N1092" s="1">
        <v>7000</v>
      </c>
      <c r="O1092" s="10">
        <v>46279.611157407409</v>
      </c>
      <c r="P1092" s="10"/>
      <c r="Q1092" s="1" t="s">
        <v>46</v>
      </c>
      <c r="R1092" s="8" t="s">
        <v>343</v>
      </c>
      <c r="S109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9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9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9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9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9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9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9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9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9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9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9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9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92" s="12">
        <f ca="1">[1]!Tabel1[[#This Row],[Vægtet Honorar]]*([1]!Tabel1[[#This Row],[Sidst redigeret]]&gt;TODAY()-40)*([1]!Tabel1[[#This Row],[Er i resplan?]]&lt;&gt;"Ja")*([1]!Tabel1[[#This Row],[Status]]="Pågår")</f>
        <v>0</v>
      </c>
      <c r="AG1092" s="12">
        <f ca="1">[1]!Tabel1[[#This Row],[Vægtet Honorar]]*([1]!Tabel1[[#This Row],[Sidst redigeret]]&gt;TODAY()-40)*([1]!Tabel1[[#This Row],[Status]]="Pågår")</f>
        <v>0</v>
      </c>
      <c r="AH1092" s="13"/>
      <c r="AI1092" s="12"/>
      <c r="AJ1092" s="12"/>
      <c r="AK1092" s="12"/>
      <c r="AL1092" s="12"/>
      <c r="AM1092" s="12"/>
      <c r="AN1092" s="12"/>
      <c r="AO1092" s="12"/>
      <c r="AP1092" s="12"/>
    </row>
    <row r="1093" spans="1:42">
      <c r="A1093" t="s">
        <v>3865</v>
      </c>
      <c r="B1093" s="8"/>
      <c r="C1093" s="8" t="s">
        <v>3866</v>
      </c>
      <c r="D1093" s="8" t="s">
        <v>980</v>
      </c>
      <c r="E1093" s="8" t="s">
        <v>71</v>
      </c>
      <c r="F1093" s="8"/>
      <c r="G1093" s="8" t="s">
        <v>3864</v>
      </c>
      <c r="H1093" s="9">
        <v>100000</v>
      </c>
      <c r="I1093" s="9">
        <f>[1]!Tabel1[[#This Row],[Honorar]]*[1]!Tabel1[[#This Row],[Sandsynlighed]]</f>
        <v>150000</v>
      </c>
      <c r="J1093" s="10" t="s">
        <v>1061</v>
      </c>
      <c r="K1093" s="10" t="s">
        <v>1191</v>
      </c>
      <c r="L1093" s="21"/>
      <c r="M1093" s="11">
        <v>0.8</v>
      </c>
      <c r="N1093" s="1">
        <v>7000</v>
      </c>
      <c r="O1093" s="10">
        <v>46279.611157407409</v>
      </c>
      <c r="P1093" s="10"/>
      <c r="Q1093" s="1" t="s">
        <v>46</v>
      </c>
      <c r="R1093" s="8" t="s">
        <v>47</v>
      </c>
      <c r="S109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9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9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9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9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9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9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9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9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9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9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9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9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93" s="12">
        <f ca="1">[1]!Tabel1[[#This Row],[Vægtet Honorar]]*([1]!Tabel1[[#This Row],[Sidst redigeret]]&gt;TODAY()-40)*([1]!Tabel1[[#This Row],[Er i resplan?]]&lt;&gt;"Ja")*([1]!Tabel1[[#This Row],[Status]]="Pågår")</f>
        <v>0</v>
      </c>
      <c r="AG1093" s="12">
        <f ca="1">[1]!Tabel1[[#This Row],[Vægtet Honorar]]*([1]!Tabel1[[#This Row],[Sidst redigeret]]&gt;TODAY()-40)*([1]!Tabel1[[#This Row],[Status]]="Pågår")</f>
        <v>0</v>
      </c>
      <c r="AH1093" s="13"/>
      <c r="AI1093" s="12"/>
      <c r="AJ1093" s="12"/>
      <c r="AK1093" s="12"/>
      <c r="AL1093" s="12"/>
      <c r="AM1093" s="12"/>
      <c r="AN1093" s="12"/>
      <c r="AO1093" s="12"/>
      <c r="AP1093" s="12"/>
    </row>
    <row r="1094" spans="1:42">
      <c r="A1094" t="s">
        <v>3867</v>
      </c>
      <c r="B1094" s="8"/>
      <c r="C1094" s="8" t="s">
        <v>3868</v>
      </c>
      <c r="D1094" s="8" t="s">
        <v>125</v>
      </c>
      <c r="E1094" s="8" t="s">
        <v>71</v>
      </c>
      <c r="F1094" s="8"/>
      <c r="G1094" s="8" t="s">
        <v>478</v>
      </c>
      <c r="H1094" s="9">
        <v>50000</v>
      </c>
      <c r="I1094" s="9">
        <f>[1]!Tabel1[[#This Row],[Honorar]]*[1]!Tabel1[[#This Row],[Sandsynlighed]]</f>
        <v>0</v>
      </c>
      <c r="J1094" s="10" t="s">
        <v>1061</v>
      </c>
      <c r="K1094" s="10" t="s">
        <v>1191</v>
      </c>
      <c r="L1094" s="21"/>
      <c r="M1094" s="11">
        <v>1</v>
      </c>
      <c r="N1094" s="1">
        <v>7000</v>
      </c>
      <c r="O1094" s="10">
        <v>46279.611157407409</v>
      </c>
      <c r="P1094" s="10"/>
      <c r="Q1094" s="1" t="s">
        <v>46</v>
      </c>
      <c r="R1094" s="8" t="s">
        <v>47</v>
      </c>
      <c r="S109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9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9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9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9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9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9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9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9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9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9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9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9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94" s="12">
        <f ca="1">[1]!Tabel1[[#This Row],[Vægtet Honorar]]*([1]!Tabel1[[#This Row],[Sidst redigeret]]&gt;TODAY()-40)*([1]!Tabel1[[#This Row],[Er i resplan?]]&lt;&gt;"Ja")*([1]!Tabel1[[#This Row],[Status]]="Pågår")</f>
        <v>0</v>
      </c>
      <c r="AG1094" s="12">
        <f ca="1">[1]!Tabel1[[#This Row],[Vægtet Honorar]]*([1]!Tabel1[[#This Row],[Sidst redigeret]]&gt;TODAY()-40)*([1]!Tabel1[[#This Row],[Status]]="Pågår")</f>
        <v>0</v>
      </c>
      <c r="AH1094" s="13"/>
      <c r="AI1094" s="12"/>
      <c r="AJ1094" s="12"/>
      <c r="AK1094" s="12"/>
      <c r="AL1094" s="12"/>
      <c r="AM1094" s="12"/>
      <c r="AN1094" s="12"/>
      <c r="AO1094" s="12"/>
      <c r="AP1094" s="12"/>
    </row>
    <row r="1095" spans="1:42">
      <c r="A1095" t="s">
        <v>3869</v>
      </c>
      <c r="B1095" s="8"/>
      <c r="C1095" s="8" t="s">
        <v>3870</v>
      </c>
      <c r="D1095" s="8" t="s">
        <v>125</v>
      </c>
      <c r="E1095" s="8" t="s">
        <v>71</v>
      </c>
      <c r="F1095" s="8"/>
      <c r="G1095" s="8" t="s">
        <v>478</v>
      </c>
      <c r="H1095" s="9">
        <v>25000</v>
      </c>
      <c r="I1095" s="9">
        <f>[1]!Tabel1[[#This Row],[Honorar]]*[1]!Tabel1[[#This Row],[Sandsynlighed]]</f>
        <v>12500</v>
      </c>
      <c r="J1095" s="10" t="s">
        <v>1061</v>
      </c>
      <c r="K1095" s="10" t="s">
        <v>1191</v>
      </c>
      <c r="L1095" s="21"/>
      <c r="M1095" s="11">
        <v>1</v>
      </c>
      <c r="N1095" s="1">
        <v>7000</v>
      </c>
      <c r="O1095" s="10">
        <v>46279.611157407409</v>
      </c>
      <c r="P1095" s="10"/>
      <c r="Q1095" s="1" t="s">
        <v>46</v>
      </c>
      <c r="R1095" s="8" t="s">
        <v>47</v>
      </c>
      <c r="S109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9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9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9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9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9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9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9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9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9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9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9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9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95" s="12">
        <f ca="1">[1]!Tabel1[[#This Row],[Vægtet Honorar]]*([1]!Tabel1[[#This Row],[Sidst redigeret]]&gt;TODAY()-40)*([1]!Tabel1[[#This Row],[Er i resplan?]]&lt;&gt;"Ja")*([1]!Tabel1[[#This Row],[Status]]="Pågår")</f>
        <v>0</v>
      </c>
      <c r="AG1095" s="12">
        <f ca="1">[1]!Tabel1[[#This Row],[Vægtet Honorar]]*([1]!Tabel1[[#This Row],[Sidst redigeret]]&gt;TODAY()-40)*([1]!Tabel1[[#This Row],[Status]]="Pågår")</f>
        <v>0</v>
      </c>
      <c r="AH1095" s="13"/>
      <c r="AI1095" s="12"/>
      <c r="AJ1095" s="12"/>
      <c r="AK1095" s="12"/>
      <c r="AL1095" s="12"/>
      <c r="AM1095" s="12"/>
      <c r="AN1095" s="12"/>
      <c r="AO1095" s="12"/>
      <c r="AP1095" s="12"/>
    </row>
    <row r="1096" spans="1:42">
      <c r="A1096" t="s">
        <v>3871</v>
      </c>
      <c r="B1096" s="8"/>
      <c r="C1096" s="8" t="s">
        <v>3872</v>
      </c>
      <c r="D1096" s="8" t="s">
        <v>125</v>
      </c>
      <c r="E1096" s="8" t="s">
        <v>71</v>
      </c>
      <c r="F1096" s="8"/>
      <c r="G1096" s="8" t="s">
        <v>478</v>
      </c>
      <c r="H1096" s="9">
        <v>15000</v>
      </c>
      <c r="I1096" s="9">
        <f>[1]!Tabel1[[#This Row],[Honorar]]*[1]!Tabel1[[#This Row],[Sandsynlighed]]</f>
        <v>0</v>
      </c>
      <c r="J1096" s="10" t="s">
        <v>1061</v>
      </c>
      <c r="K1096" s="10" t="s">
        <v>1191</v>
      </c>
      <c r="L1096" s="21"/>
      <c r="M1096" s="11">
        <v>1</v>
      </c>
      <c r="N1096" s="1">
        <v>7000</v>
      </c>
      <c r="O1096" s="10">
        <v>46279.611157407409</v>
      </c>
      <c r="P1096" s="10"/>
      <c r="Q1096" s="1" t="s">
        <v>46</v>
      </c>
      <c r="R1096" s="8" t="s">
        <v>47</v>
      </c>
      <c r="S109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9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9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9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9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9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9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9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9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9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9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9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9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96" s="12">
        <f ca="1">[1]!Tabel1[[#This Row],[Vægtet Honorar]]*([1]!Tabel1[[#This Row],[Sidst redigeret]]&gt;TODAY()-40)*([1]!Tabel1[[#This Row],[Er i resplan?]]&lt;&gt;"Ja")*([1]!Tabel1[[#This Row],[Status]]="Pågår")</f>
        <v>0</v>
      </c>
      <c r="AG1096" s="12">
        <f ca="1">[1]!Tabel1[[#This Row],[Vægtet Honorar]]*([1]!Tabel1[[#This Row],[Sidst redigeret]]&gt;TODAY()-40)*([1]!Tabel1[[#This Row],[Status]]="Pågår")</f>
        <v>0</v>
      </c>
      <c r="AH1096" s="13"/>
      <c r="AI1096" s="12"/>
      <c r="AJ1096" s="12"/>
      <c r="AK1096" s="12"/>
      <c r="AL1096" s="12"/>
      <c r="AM1096" s="12"/>
      <c r="AN1096" s="12"/>
      <c r="AO1096" s="12"/>
      <c r="AP1096" s="12"/>
    </row>
    <row r="1097" spans="1:42">
      <c r="A1097" t="s">
        <v>3873</v>
      </c>
      <c r="B1097" s="8"/>
      <c r="C1097" s="8" t="s">
        <v>3874</v>
      </c>
      <c r="D1097" s="8" t="s">
        <v>125</v>
      </c>
      <c r="E1097" s="8" t="s">
        <v>71</v>
      </c>
      <c r="F1097" s="8"/>
      <c r="G1097" s="8" t="s">
        <v>478</v>
      </c>
      <c r="H1097" s="9">
        <v>55000</v>
      </c>
      <c r="I1097" s="9">
        <f>[1]!Tabel1[[#This Row],[Honorar]]*[1]!Tabel1[[#This Row],[Sandsynlighed]]</f>
        <v>80000</v>
      </c>
      <c r="J1097" s="10" t="s">
        <v>1061</v>
      </c>
      <c r="K1097" s="10" t="s">
        <v>1191</v>
      </c>
      <c r="L1097" s="21"/>
      <c r="M1097" s="11">
        <v>1</v>
      </c>
      <c r="N1097" s="1">
        <v>7000</v>
      </c>
      <c r="O1097" s="10">
        <v>46279.611157407409</v>
      </c>
      <c r="P1097" s="10"/>
      <c r="Q1097" s="1" t="s">
        <v>46</v>
      </c>
      <c r="R1097" s="8" t="s">
        <v>47</v>
      </c>
      <c r="S109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9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9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9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9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9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9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9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9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9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9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9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9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97" s="12">
        <f ca="1">[1]!Tabel1[[#This Row],[Vægtet Honorar]]*([1]!Tabel1[[#This Row],[Sidst redigeret]]&gt;TODAY()-40)*([1]!Tabel1[[#This Row],[Er i resplan?]]&lt;&gt;"Ja")*([1]!Tabel1[[#This Row],[Status]]="Pågår")</f>
        <v>0</v>
      </c>
      <c r="AG1097" s="12">
        <f ca="1">[1]!Tabel1[[#This Row],[Vægtet Honorar]]*([1]!Tabel1[[#This Row],[Sidst redigeret]]&gt;TODAY()-40)*([1]!Tabel1[[#This Row],[Status]]="Pågår")</f>
        <v>80000</v>
      </c>
      <c r="AH1097" s="13"/>
      <c r="AI1097" s="12"/>
      <c r="AJ1097" s="12"/>
      <c r="AK1097" s="12"/>
      <c r="AL1097" s="12"/>
      <c r="AM1097" s="12"/>
      <c r="AN1097" s="12"/>
      <c r="AO1097" s="12"/>
      <c r="AP1097" s="12"/>
    </row>
    <row r="1098" spans="1:42" ht="29.25">
      <c r="A1098" t="s">
        <v>3875</v>
      </c>
      <c r="B1098" s="8"/>
      <c r="C1098" s="8" t="s">
        <v>3876</v>
      </c>
      <c r="D1098" s="8" t="s">
        <v>990</v>
      </c>
      <c r="E1098" s="8" t="s">
        <v>71</v>
      </c>
      <c r="F1098" s="8"/>
      <c r="G1098" s="8" t="s">
        <v>3877</v>
      </c>
      <c r="H1098" s="9">
        <v>100000</v>
      </c>
      <c r="I1098" s="9">
        <f>[1]!Tabel1[[#This Row],[Honorar]]*[1]!Tabel1[[#This Row],[Sandsynlighed]]</f>
        <v>80000</v>
      </c>
      <c r="J1098" s="10" t="s">
        <v>1287</v>
      </c>
      <c r="K1098" s="10" t="s">
        <v>1191</v>
      </c>
      <c r="L1098" s="21" t="s">
        <v>485</v>
      </c>
      <c r="M1098" s="11">
        <v>0.1</v>
      </c>
      <c r="N1098" s="1" t="s">
        <v>516</v>
      </c>
      <c r="O1098" s="10">
        <v>46279.611157407409</v>
      </c>
      <c r="P1098" s="10"/>
      <c r="Q1098" s="1" t="s">
        <v>72</v>
      </c>
      <c r="R1098" s="8" t="s">
        <v>343</v>
      </c>
      <c r="S109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9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9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9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9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9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9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9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9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9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9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9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9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98" s="12">
        <f ca="1">[1]!Tabel1[[#This Row],[Vægtet Honorar]]*([1]!Tabel1[[#This Row],[Sidst redigeret]]&gt;TODAY()-40)*([1]!Tabel1[[#This Row],[Er i resplan?]]&lt;&gt;"Ja")*([1]!Tabel1[[#This Row],[Status]]="Pågår")</f>
        <v>0</v>
      </c>
      <c r="AG1098" s="12">
        <f ca="1">[1]!Tabel1[[#This Row],[Vægtet Honorar]]*([1]!Tabel1[[#This Row],[Sidst redigeret]]&gt;TODAY()-40)*([1]!Tabel1[[#This Row],[Status]]="Pågår")</f>
        <v>0</v>
      </c>
      <c r="AH1098" s="13"/>
      <c r="AI1098" s="12"/>
      <c r="AJ1098" s="12"/>
      <c r="AK1098" s="12"/>
      <c r="AL1098" s="12"/>
      <c r="AM1098" s="12"/>
      <c r="AN1098" s="12"/>
      <c r="AO1098" s="12"/>
      <c r="AP1098" s="12"/>
    </row>
    <row r="1099" spans="1:42">
      <c r="A1099" t="s">
        <v>3878</v>
      </c>
      <c r="B1099" s="8"/>
      <c r="C1099" s="8" t="s">
        <v>3879</v>
      </c>
      <c r="D1099" s="8" t="s">
        <v>720</v>
      </c>
      <c r="E1099" s="8" t="s">
        <v>71</v>
      </c>
      <c r="F1099" s="8" t="s">
        <v>1012</v>
      </c>
      <c r="G1099" s="8" t="s">
        <v>3330</v>
      </c>
      <c r="H1099" s="9">
        <v>1800000</v>
      </c>
      <c r="I1099" s="9">
        <f>[1]!Tabel1[[#This Row],[Honorar]]*[1]!Tabel1[[#This Row],[Sandsynlighed]]</f>
        <v>50000</v>
      </c>
      <c r="J1099" s="10" t="s">
        <v>341</v>
      </c>
      <c r="K1099" s="10" t="s">
        <v>342</v>
      </c>
      <c r="L1099" s="21"/>
      <c r="M1099" s="11">
        <v>0.05</v>
      </c>
      <c r="N1099" s="1">
        <v>1200</v>
      </c>
      <c r="O1099" s="10">
        <v>46279.611157407409</v>
      </c>
      <c r="P1099" s="10"/>
      <c r="Q1099" s="1" t="s">
        <v>72</v>
      </c>
      <c r="R1099" s="8" t="s">
        <v>343</v>
      </c>
      <c r="S109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09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09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09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09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09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09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09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09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09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09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09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09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099" s="12">
        <f ca="1">[1]!Tabel1[[#This Row],[Vægtet Honorar]]*([1]!Tabel1[[#This Row],[Sidst redigeret]]&gt;TODAY()-40)*([1]!Tabel1[[#This Row],[Er i resplan?]]&lt;&gt;"Ja")*([1]!Tabel1[[#This Row],[Status]]="Pågår")</f>
        <v>0</v>
      </c>
      <c r="AG1099" s="12">
        <f ca="1">[1]!Tabel1[[#This Row],[Vægtet Honorar]]*([1]!Tabel1[[#This Row],[Sidst redigeret]]&gt;TODAY()-40)*([1]!Tabel1[[#This Row],[Status]]="Pågår")</f>
        <v>0</v>
      </c>
      <c r="AH1099" s="13"/>
      <c r="AI1099" s="12"/>
      <c r="AJ1099" s="12" t="s">
        <v>3751</v>
      </c>
      <c r="AK1099" s="12"/>
      <c r="AL1099" s="12"/>
      <c r="AM1099" s="12"/>
      <c r="AN1099" s="12" t="s">
        <v>3880</v>
      </c>
      <c r="AO1099" s="12"/>
      <c r="AP1099" s="12"/>
    </row>
    <row r="1100" spans="1:42">
      <c r="A1100" t="s">
        <v>3881</v>
      </c>
      <c r="B1100" s="8"/>
      <c r="C1100" s="8" t="s">
        <v>3882</v>
      </c>
      <c r="D1100" s="8" t="s">
        <v>720</v>
      </c>
      <c r="E1100" s="8" t="s">
        <v>71</v>
      </c>
      <c r="F1100" s="8"/>
      <c r="G1100" s="8" t="s">
        <v>3883</v>
      </c>
      <c r="H1100" s="9">
        <v>500000</v>
      </c>
      <c r="I1100" s="9">
        <f>[1]!Tabel1[[#This Row],[Honorar]]*[1]!Tabel1[[#This Row],[Sandsynlighed]]</f>
        <v>25000</v>
      </c>
      <c r="J1100" s="10" t="s">
        <v>329</v>
      </c>
      <c r="K1100" s="10" t="s">
        <v>341</v>
      </c>
      <c r="L1100" s="21"/>
      <c r="M1100" s="11">
        <v>0</v>
      </c>
      <c r="N1100" s="1" t="s">
        <v>1056</v>
      </c>
      <c r="O1100" s="10">
        <v>46279.611157407409</v>
      </c>
      <c r="P1100" s="10"/>
      <c r="Q1100" s="1" t="s">
        <v>72</v>
      </c>
      <c r="R1100" s="8" t="s">
        <v>49</v>
      </c>
      <c r="S110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0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0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0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0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0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0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0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0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0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0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0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0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00" s="12">
        <f ca="1">[1]!Tabel1[[#This Row],[Vægtet Honorar]]*([1]!Tabel1[[#This Row],[Sidst redigeret]]&gt;TODAY()-40)*([1]!Tabel1[[#This Row],[Er i resplan?]]&lt;&gt;"Ja")*([1]!Tabel1[[#This Row],[Status]]="Pågår")</f>
        <v>0</v>
      </c>
      <c r="AG1100" s="12">
        <f ca="1">[1]!Tabel1[[#This Row],[Vægtet Honorar]]*([1]!Tabel1[[#This Row],[Sidst redigeret]]&gt;TODAY()-40)*([1]!Tabel1[[#This Row],[Status]]="Pågår")</f>
        <v>0</v>
      </c>
      <c r="AH1100" s="13"/>
      <c r="AI1100" s="12"/>
      <c r="AJ1100" s="12"/>
      <c r="AK1100" s="12"/>
      <c r="AL1100" s="12"/>
      <c r="AM1100" s="12"/>
      <c r="AN1100" s="12"/>
      <c r="AO1100" s="12"/>
      <c r="AP1100" s="12"/>
    </row>
    <row r="1101" spans="1:42">
      <c r="A1101" t="s">
        <v>3884</v>
      </c>
      <c r="B1101" s="8"/>
      <c r="C1101" s="8" t="s">
        <v>3885</v>
      </c>
      <c r="D1101" s="8" t="s">
        <v>158</v>
      </c>
      <c r="E1101" s="8" t="s">
        <v>167</v>
      </c>
      <c r="F1101" s="8" t="s">
        <v>671</v>
      </c>
      <c r="G1101" s="8" t="s">
        <v>671</v>
      </c>
      <c r="H1101" s="9">
        <v>100000</v>
      </c>
      <c r="I1101" s="9">
        <f>[1]!Tabel1[[#This Row],[Honorar]]*[1]!Tabel1[[#This Row],[Sandsynlighed]]</f>
        <v>15000</v>
      </c>
      <c r="J1101" s="10" t="s">
        <v>1061</v>
      </c>
      <c r="K1101" s="10" t="s">
        <v>1191</v>
      </c>
      <c r="L1101" s="21"/>
      <c r="M1101" s="11">
        <v>1</v>
      </c>
      <c r="N1101" s="1"/>
      <c r="O1101" s="10">
        <v>46279.611157407409</v>
      </c>
      <c r="P1101" s="10"/>
      <c r="Q1101" s="1" t="s">
        <v>46</v>
      </c>
      <c r="R1101" s="8" t="s">
        <v>343</v>
      </c>
      <c r="S110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0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0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0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0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0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0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0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0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0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0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0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0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01" s="12">
        <f ca="1">[1]!Tabel1[[#This Row],[Vægtet Honorar]]*([1]!Tabel1[[#This Row],[Sidst redigeret]]&gt;TODAY()-40)*([1]!Tabel1[[#This Row],[Er i resplan?]]&lt;&gt;"Ja")*([1]!Tabel1[[#This Row],[Status]]="Pågår")</f>
        <v>0</v>
      </c>
      <c r="AG1101" s="12">
        <f ca="1">[1]!Tabel1[[#This Row],[Vægtet Honorar]]*([1]!Tabel1[[#This Row],[Sidst redigeret]]&gt;TODAY()-40)*([1]!Tabel1[[#This Row],[Status]]="Pågår")</f>
        <v>0</v>
      </c>
      <c r="AH1101" s="13"/>
      <c r="AI1101" s="12"/>
      <c r="AJ1101" s="12"/>
      <c r="AK1101" s="12"/>
      <c r="AL1101" s="12"/>
      <c r="AM1101" s="12"/>
      <c r="AN1101" s="12"/>
      <c r="AO1101" s="12"/>
      <c r="AP1101" s="12"/>
    </row>
    <row r="1102" spans="1:42" ht="57.75">
      <c r="A1102" t="s">
        <v>3886</v>
      </c>
      <c r="B1102" s="8"/>
      <c r="C1102" s="8" t="s">
        <v>3887</v>
      </c>
      <c r="D1102" s="8" t="s">
        <v>1886</v>
      </c>
      <c r="E1102" s="8" t="s">
        <v>94</v>
      </c>
      <c r="F1102" s="8" t="s">
        <v>2527</v>
      </c>
      <c r="G1102" s="8" t="s">
        <v>1970</v>
      </c>
      <c r="H1102" s="9">
        <v>35000</v>
      </c>
      <c r="I1102" s="9">
        <f>[1]!Tabel1[[#This Row],[Honorar]]*[1]!Tabel1[[#This Row],[Sandsynlighed]]</f>
        <v>55000</v>
      </c>
      <c r="J1102" s="10" t="s">
        <v>1061</v>
      </c>
      <c r="K1102" s="10" t="s">
        <v>1191</v>
      </c>
      <c r="L1102" s="21" t="s">
        <v>3888</v>
      </c>
      <c r="M1102" s="11">
        <v>0.8</v>
      </c>
      <c r="N1102" s="1"/>
      <c r="O1102" s="10">
        <v>46279.611157407409</v>
      </c>
      <c r="P1102" s="1" t="s">
        <v>46</v>
      </c>
      <c r="Q1102" s="1" t="s">
        <v>46</v>
      </c>
      <c r="R1102" s="8" t="s">
        <v>47</v>
      </c>
      <c r="S110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0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0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0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0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0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0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0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0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0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0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0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0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02" s="12">
        <f ca="1">[1]!Tabel1[[#This Row],[Vægtet Honorar]]*([1]!Tabel1[[#This Row],[Sidst redigeret]]&gt;TODAY()-40)*([1]!Tabel1[[#This Row],[Er i resplan?]]&lt;&gt;"Ja")*([1]!Tabel1[[#This Row],[Status]]="Pågår")</f>
        <v>0</v>
      </c>
      <c r="AG1102" s="12">
        <f ca="1">[1]!Tabel1[[#This Row],[Vægtet Honorar]]*([1]!Tabel1[[#This Row],[Sidst redigeret]]&gt;TODAY()-40)*([1]!Tabel1[[#This Row],[Status]]="Pågår")</f>
        <v>0</v>
      </c>
      <c r="AH1102" s="13"/>
      <c r="AI1102" s="12"/>
      <c r="AJ1102" s="12"/>
      <c r="AK1102" s="12"/>
      <c r="AL1102" s="12"/>
      <c r="AM1102" s="12"/>
      <c r="AN1102" s="12"/>
      <c r="AO1102" s="12"/>
      <c r="AP1102" s="12"/>
    </row>
    <row r="1103" spans="1:42" ht="29.25">
      <c r="A1103" t="s">
        <v>3889</v>
      </c>
      <c r="B1103" s="8"/>
      <c r="C1103" s="8" t="s">
        <v>3890</v>
      </c>
      <c r="D1103" s="8" t="s">
        <v>44</v>
      </c>
      <c r="E1103" s="8" t="s">
        <v>71</v>
      </c>
      <c r="F1103" s="8" t="s">
        <v>3891</v>
      </c>
      <c r="G1103" s="8" t="s">
        <v>3892</v>
      </c>
      <c r="H1103" s="9">
        <v>650000</v>
      </c>
      <c r="I1103" s="9">
        <f>[1]!Tabel1[[#This Row],[Honorar]]*[1]!Tabel1[[#This Row],[Sandsynlighed]]</f>
        <v>10000</v>
      </c>
      <c r="J1103" s="10" t="s">
        <v>329</v>
      </c>
      <c r="K1103" s="10" t="s">
        <v>1287</v>
      </c>
      <c r="L1103" s="21" t="s">
        <v>3893</v>
      </c>
      <c r="M1103" s="11">
        <v>0</v>
      </c>
      <c r="N1103" s="1">
        <v>11000</v>
      </c>
      <c r="O1103" s="10">
        <v>46279.611157407409</v>
      </c>
      <c r="P1103" s="10"/>
      <c r="Q1103" s="1" t="s">
        <v>72</v>
      </c>
      <c r="R1103" s="8" t="s">
        <v>75</v>
      </c>
      <c r="S110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0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0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0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0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0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0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0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0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0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0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0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0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03" s="12">
        <f ca="1">[1]!Tabel1[[#This Row],[Vægtet Honorar]]*([1]!Tabel1[[#This Row],[Sidst redigeret]]&gt;TODAY()-40)*([1]!Tabel1[[#This Row],[Er i resplan?]]&lt;&gt;"Ja")*([1]!Tabel1[[#This Row],[Status]]="Pågår")</f>
        <v>10000</v>
      </c>
      <c r="AG1103" s="12">
        <f ca="1">[1]!Tabel1[[#This Row],[Vægtet Honorar]]*([1]!Tabel1[[#This Row],[Sidst redigeret]]&gt;TODAY()-40)*([1]!Tabel1[[#This Row],[Status]]="Pågår")</f>
        <v>10000</v>
      </c>
      <c r="AH1103" s="13"/>
      <c r="AI1103" s="12"/>
      <c r="AJ1103" s="12"/>
      <c r="AK1103" s="12"/>
      <c r="AL1103" s="12"/>
      <c r="AM1103" s="12"/>
      <c r="AN1103" s="12"/>
      <c r="AO1103" s="12"/>
      <c r="AP1103" s="12"/>
    </row>
    <row r="1104" spans="1:42">
      <c r="A1104" t="s">
        <v>3894</v>
      </c>
      <c r="B1104" s="8"/>
      <c r="C1104" s="8" t="s">
        <v>3895</v>
      </c>
      <c r="D1104" s="8" t="s">
        <v>93</v>
      </c>
      <c r="E1104" s="8" t="s">
        <v>94</v>
      </c>
      <c r="F1104" s="8" t="s">
        <v>1671</v>
      </c>
      <c r="G1104" s="8" t="s">
        <v>1671</v>
      </c>
      <c r="H1104" s="9">
        <v>1000000</v>
      </c>
      <c r="I1104" s="9">
        <f>[1]!Tabel1[[#This Row],[Honorar]]*[1]!Tabel1[[#This Row],[Sandsynlighed]]</f>
        <v>90000</v>
      </c>
      <c r="J1104" s="10" t="s">
        <v>585</v>
      </c>
      <c r="K1104" s="10" t="s">
        <v>1287</v>
      </c>
      <c r="L1104" s="21" t="s">
        <v>942</v>
      </c>
      <c r="M1104" s="11">
        <v>0.05</v>
      </c>
      <c r="N1104" s="1">
        <v>1000</v>
      </c>
      <c r="O1104" s="10">
        <v>46279.611157407409</v>
      </c>
      <c r="P1104" s="1" t="s">
        <v>72</v>
      </c>
      <c r="Q1104" s="1" t="s">
        <v>72</v>
      </c>
      <c r="R1104" s="8" t="s">
        <v>49</v>
      </c>
      <c r="S110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0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0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0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0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0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0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0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0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0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0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0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0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04" s="12">
        <f ca="1">[1]!Tabel1[[#This Row],[Vægtet Honorar]]*([1]!Tabel1[[#This Row],[Sidst redigeret]]&gt;TODAY()-40)*([1]!Tabel1[[#This Row],[Er i resplan?]]&lt;&gt;"Ja")*([1]!Tabel1[[#This Row],[Status]]="Pågår")</f>
        <v>90000</v>
      </c>
      <c r="AG1104" s="12">
        <f ca="1">[1]!Tabel1[[#This Row],[Vægtet Honorar]]*([1]!Tabel1[[#This Row],[Sidst redigeret]]&gt;TODAY()-40)*([1]!Tabel1[[#This Row],[Status]]="Pågår")</f>
        <v>90000</v>
      </c>
      <c r="AH1104" s="13"/>
      <c r="AI1104" s="12"/>
      <c r="AJ1104" s="12" t="s">
        <v>767</v>
      </c>
      <c r="AK1104" s="12"/>
      <c r="AL1104" s="12"/>
      <c r="AM1104" s="12"/>
      <c r="AN1104" s="12"/>
      <c r="AO1104" s="12"/>
      <c r="AP1104" s="12"/>
    </row>
    <row r="1105" spans="1:42">
      <c r="A1105" t="s">
        <v>3896</v>
      </c>
      <c r="B1105" s="8">
        <v>250079</v>
      </c>
      <c r="C1105" s="8" t="s">
        <v>3897</v>
      </c>
      <c r="D1105" s="8" t="s">
        <v>2886</v>
      </c>
      <c r="E1105" s="8" t="s">
        <v>120</v>
      </c>
      <c r="F1105" s="8" t="s">
        <v>547</v>
      </c>
      <c r="G1105" s="8" t="s">
        <v>547</v>
      </c>
      <c r="H1105" s="9">
        <v>1000000</v>
      </c>
      <c r="I1105" s="9">
        <f>[1]!Tabel1[[#This Row],[Honorar]]*[1]!Tabel1[[#This Row],[Sandsynlighed]]</f>
        <v>0</v>
      </c>
      <c r="J1105" s="10" t="s">
        <v>329</v>
      </c>
      <c r="K1105" s="10" t="s">
        <v>1191</v>
      </c>
      <c r="L1105" s="21" t="s">
        <v>942</v>
      </c>
      <c r="M1105" s="11">
        <v>0.5</v>
      </c>
      <c r="N1105" s="1">
        <v>2000</v>
      </c>
      <c r="O1105" s="10">
        <v>46279.611157407409</v>
      </c>
      <c r="P1105" s="10"/>
      <c r="Q1105" s="1" t="s">
        <v>46</v>
      </c>
      <c r="R1105" s="8" t="s">
        <v>47</v>
      </c>
      <c r="S110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0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0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0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0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0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0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0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0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0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0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0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0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05" s="12">
        <f ca="1">[1]!Tabel1[[#This Row],[Vægtet Honorar]]*([1]!Tabel1[[#This Row],[Sidst redigeret]]&gt;TODAY()-40)*([1]!Tabel1[[#This Row],[Er i resplan?]]&lt;&gt;"Ja")*([1]!Tabel1[[#This Row],[Status]]="Pågår")</f>
        <v>0</v>
      </c>
      <c r="AG1105" s="12">
        <f ca="1">[1]!Tabel1[[#This Row],[Vægtet Honorar]]*([1]!Tabel1[[#This Row],[Sidst redigeret]]&gt;TODAY()-40)*([1]!Tabel1[[#This Row],[Status]]="Pågår")</f>
        <v>0</v>
      </c>
      <c r="AH1105" s="13">
        <v>46269.494629629633</v>
      </c>
      <c r="AI1105" s="12"/>
      <c r="AJ1105" s="12" t="s">
        <v>785</v>
      </c>
      <c r="AK1105" s="12"/>
      <c r="AL1105" s="12"/>
      <c r="AM1105" s="12"/>
      <c r="AN1105" s="12"/>
      <c r="AO1105" s="12"/>
      <c r="AP1105" s="12"/>
    </row>
    <row r="1106" spans="1:42">
      <c r="A1106" t="s">
        <v>3898</v>
      </c>
      <c r="B1106" s="8"/>
      <c r="C1106" s="8" t="s">
        <v>3899</v>
      </c>
      <c r="D1106" s="8" t="s">
        <v>134</v>
      </c>
      <c r="E1106" s="8" t="s">
        <v>94</v>
      </c>
      <c r="F1106" s="8" t="s">
        <v>460</v>
      </c>
      <c r="G1106" s="8" t="s">
        <v>460</v>
      </c>
      <c r="H1106" s="9">
        <v>450000</v>
      </c>
      <c r="I1106" s="9">
        <f>[1]!Tabel1[[#This Row],[Honorar]]*[1]!Tabel1[[#This Row],[Sandsynlighed]]</f>
        <v>100000</v>
      </c>
      <c r="J1106" s="10" t="s">
        <v>329</v>
      </c>
      <c r="K1106" s="10" t="s">
        <v>1191</v>
      </c>
      <c r="L1106" s="21"/>
      <c r="M1106" s="11">
        <v>1</v>
      </c>
      <c r="N1106" s="1"/>
      <c r="O1106" s="10">
        <v>46279.611157407409</v>
      </c>
      <c r="P1106" s="1" t="s">
        <v>72</v>
      </c>
      <c r="Q1106" s="1" t="s">
        <v>46</v>
      </c>
      <c r="R1106" s="8" t="s">
        <v>47</v>
      </c>
      <c r="S110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0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0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0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0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0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0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0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0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0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0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0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0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06" s="12">
        <f ca="1">[1]!Tabel1[[#This Row],[Vægtet Honorar]]*([1]!Tabel1[[#This Row],[Sidst redigeret]]&gt;TODAY()-40)*([1]!Tabel1[[#This Row],[Er i resplan?]]&lt;&gt;"Ja")*([1]!Tabel1[[#This Row],[Status]]="Pågår")</f>
        <v>0</v>
      </c>
      <c r="AG1106" s="12">
        <f ca="1">[1]!Tabel1[[#This Row],[Vægtet Honorar]]*([1]!Tabel1[[#This Row],[Sidst redigeret]]&gt;TODAY()-40)*([1]!Tabel1[[#This Row],[Status]]="Pågår")</f>
        <v>100000</v>
      </c>
      <c r="AH1106" s="13"/>
      <c r="AI1106" s="12"/>
      <c r="AJ1106" s="12"/>
      <c r="AK1106" s="12"/>
      <c r="AL1106" s="12"/>
      <c r="AM1106" s="12"/>
      <c r="AN1106" s="12"/>
      <c r="AO1106" s="12"/>
      <c r="AP1106" s="12"/>
    </row>
    <row r="1107" spans="1:42">
      <c r="A1107" t="s">
        <v>3900</v>
      </c>
      <c r="B1107" s="8"/>
      <c r="C1107" s="8" t="s">
        <v>3901</v>
      </c>
      <c r="D1107" s="8" t="s">
        <v>2886</v>
      </c>
      <c r="E1107" s="8" t="s">
        <v>120</v>
      </c>
      <c r="F1107" s="8" t="s">
        <v>2522</v>
      </c>
      <c r="G1107" s="8" t="s">
        <v>2917</v>
      </c>
      <c r="H1107" s="9">
        <v>8000000</v>
      </c>
      <c r="I1107" s="9">
        <f>[1]!Tabel1[[#This Row],[Honorar]]*[1]!Tabel1[[#This Row],[Sandsynlighed]]</f>
        <v>28000</v>
      </c>
      <c r="J1107" s="10" t="s">
        <v>1287</v>
      </c>
      <c r="K1107" s="10" t="s">
        <v>585</v>
      </c>
      <c r="L1107" s="21"/>
      <c r="M1107" s="11">
        <v>0.25</v>
      </c>
      <c r="N1107" s="1">
        <v>11000</v>
      </c>
      <c r="O1107" s="10">
        <v>46279.611157407409</v>
      </c>
      <c r="P1107" s="10"/>
      <c r="Q1107" s="1" t="s">
        <v>72</v>
      </c>
      <c r="R1107" s="8" t="s">
        <v>343</v>
      </c>
      <c r="S110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0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0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0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0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0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0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0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0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0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0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0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0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07" s="12">
        <f ca="1">[1]!Tabel1[[#This Row],[Vægtet Honorar]]*([1]!Tabel1[[#This Row],[Sidst redigeret]]&gt;TODAY()-40)*([1]!Tabel1[[#This Row],[Er i resplan?]]&lt;&gt;"Ja")*([1]!Tabel1[[#This Row],[Status]]="Pågår")</f>
        <v>0</v>
      </c>
      <c r="AG1107" s="12">
        <f ca="1">[1]!Tabel1[[#This Row],[Vægtet Honorar]]*([1]!Tabel1[[#This Row],[Sidst redigeret]]&gt;TODAY()-40)*([1]!Tabel1[[#This Row],[Status]]="Pågår")</f>
        <v>0</v>
      </c>
      <c r="AH1107" s="13"/>
      <c r="AI1107" s="12"/>
      <c r="AJ1107" s="12" t="s">
        <v>2917</v>
      </c>
      <c r="AK1107" s="12"/>
      <c r="AL1107" s="12"/>
      <c r="AM1107" s="12"/>
      <c r="AN1107" s="12"/>
      <c r="AO1107" s="12"/>
      <c r="AP1107" s="12"/>
    </row>
    <row r="1108" spans="1:42" ht="43.5">
      <c r="A1108" t="s">
        <v>3902</v>
      </c>
      <c r="B1108" s="8"/>
      <c r="C1108" s="8" t="s">
        <v>3903</v>
      </c>
      <c r="D1108" s="8" t="s">
        <v>1771</v>
      </c>
      <c r="E1108" s="8" t="s">
        <v>167</v>
      </c>
      <c r="F1108" s="8" t="s">
        <v>3904</v>
      </c>
      <c r="G1108" s="8" t="s">
        <v>3904</v>
      </c>
      <c r="H1108" s="9">
        <v>5000000</v>
      </c>
      <c r="I1108" s="9">
        <f>[1]!Tabel1[[#This Row],[Honorar]]*[1]!Tabel1[[#This Row],[Sandsynlighed]]</f>
        <v>0</v>
      </c>
      <c r="J1108" s="10" t="s">
        <v>1061</v>
      </c>
      <c r="K1108" s="10" t="s">
        <v>585</v>
      </c>
      <c r="L1108" s="21" t="s">
        <v>3905</v>
      </c>
      <c r="M1108" s="11">
        <v>0</v>
      </c>
      <c r="N1108" s="1"/>
      <c r="O1108" s="10">
        <v>46279.611157407409</v>
      </c>
      <c r="P1108" s="10"/>
      <c r="Q1108" s="1" t="s">
        <v>72</v>
      </c>
      <c r="R1108" s="8" t="s">
        <v>75</v>
      </c>
      <c r="S110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0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0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0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0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0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0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0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0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0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0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0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0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08" s="12">
        <f ca="1">[1]!Tabel1[[#This Row],[Vægtet Honorar]]*([1]!Tabel1[[#This Row],[Sidst redigeret]]&gt;TODAY()-40)*([1]!Tabel1[[#This Row],[Er i resplan?]]&lt;&gt;"Ja")*([1]!Tabel1[[#This Row],[Status]]="Pågår")</f>
        <v>0</v>
      </c>
      <c r="AG1108" s="12">
        <f ca="1">[1]!Tabel1[[#This Row],[Vægtet Honorar]]*([1]!Tabel1[[#This Row],[Sidst redigeret]]&gt;TODAY()-40)*([1]!Tabel1[[#This Row],[Status]]="Pågår")</f>
        <v>0</v>
      </c>
      <c r="AH1108" s="13"/>
      <c r="AI1108" s="12"/>
      <c r="AJ1108" s="12" t="s">
        <v>3906</v>
      </c>
      <c r="AK1108" s="12"/>
      <c r="AL1108" s="12" t="s">
        <v>1009</v>
      </c>
      <c r="AM1108" s="12"/>
      <c r="AN1108" s="12" t="s">
        <v>3907</v>
      </c>
      <c r="AO1108" s="12">
        <v>45779</v>
      </c>
      <c r="AP1108" s="12"/>
    </row>
    <row r="1109" spans="1:42" ht="86.25">
      <c r="A1109" t="s">
        <v>3908</v>
      </c>
      <c r="B1109" s="8"/>
      <c r="C1109" s="8" t="s">
        <v>3909</v>
      </c>
      <c r="D1109" s="8" t="s">
        <v>2372</v>
      </c>
      <c r="E1109" s="8" t="s">
        <v>94</v>
      </c>
      <c r="F1109" s="8" t="s">
        <v>3910</v>
      </c>
      <c r="G1109" s="8" t="s">
        <v>3910</v>
      </c>
      <c r="H1109" s="9">
        <v>5000000</v>
      </c>
      <c r="I1109" s="9">
        <f>[1]!Tabel1[[#This Row],[Honorar]]*[1]!Tabel1[[#This Row],[Sandsynlighed]]</f>
        <v>50000</v>
      </c>
      <c r="J1109" s="10" t="s">
        <v>1061</v>
      </c>
      <c r="K1109" s="10" t="s">
        <v>585</v>
      </c>
      <c r="L1109" s="21" t="s">
        <v>3911</v>
      </c>
      <c r="M1109" s="11">
        <v>0.01</v>
      </c>
      <c r="N1109" s="1"/>
      <c r="O1109" s="10">
        <v>46279.611157407409</v>
      </c>
      <c r="P1109" s="1" t="s">
        <v>72</v>
      </c>
      <c r="Q1109" s="1" t="s">
        <v>72</v>
      </c>
      <c r="R1109" s="8" t="s">
        <v>75</v>
      </c>
      <c r="S110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0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0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0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0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0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0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0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0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0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0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0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0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09" s="12">
        <f ca="1">[1]!Tabel1[[#This Row],[Vægtet Honorar]]*([1]!Tabel1[[#This Row],[Sidst redigeret]]&gt;TODAY()-40)*([1]!Tabel1[[#This Row],[Er i resplan?]]&lt;&gt;"Ja")*([1]!Tabel1[[#This Row],[Status]]="Pågår")</f>
        <v>0</v>
      </c>
      <c r="AG1109" s="12">
        <f ca="1">[1]!Tabel1[[#This Row],[Vægtet Honorar]]*([1]!Tabel1[[#This Row],[Sidst redigeret]]&gt;TODAY()-40)*([1]!Tabel1[[#This Row],[Status]]="Pågår")</f>
        <v>0</v>
      </c>
      <c r="AH1109" s="13"/>
      <c r="AI1109" s="12"/>
      <c r="AJ1109" s="12" t="s">
        <v>3912</v>
      </c>
      <c r="AK1109" s="12"/>
      <c r="AL1109" s="12"/>
      <c r="AM1109" s="12"/>
      <c r="AN1109" s="12"/>
      <c r="AO1109" s="12"/>
      <c r="AP1109" s="12"/>
    </row>
    <row r="1110" spans="1:42" ht="43.5">
      <c r="A1110" t="s">
        <v>3913</v>
      </c>
      <c r="B1110" s="8"/>
      <c r="C1110" s="8" t="s">
        <v>3914</v>
      </c>
      <c r="D1110" s="8" t="s">
        <v>44</v>
      </c>
      <c r="E1110" s="8" t="s">
        <v>71</v>
      </c>
      <c r="F1110" s="8" t="s">
        <v>3915</v>
      </c>
      <c r="G1110" s="8" t="s">
        <v>3915</v>
      </c>
      <c r="H1110" s="9">
        <v>1200000</v>
      </c>
      <c r="I1110" s="9">
        <f>[1]!Tabel1[[#This Row],[Honorar]]*[1]!Tabel1[[#This Row],[Sandsynlighed]]</f>
        <v>500000</v>
      </c>
      <c r="J1110" s="10" t="s">
        <v>1287</v>
      </c>
      <c r="K1110" s="10" t="s">
        <v>342</v>
      </c>
      <c r="L1110" s="21" t="s">
        <v>3916</v>
      </c>
      <c r="M1110" s="11">
        <v>0.1</v>
      </c>
      <c r="N1110" s="1">
        <v>600</v>
      </c>
      <c r="O1110" s="10">
        <v>46279.611157407409</v>
      </c>
      <c r="P1110" s="10"/>
      <c r="Q1110" s="1" t="s">
        <v>72</v>
      </c>
      <c r="R1110" s="8" t="s">
        <v>343</v>
      </c>
      <c r="S111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1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1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1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1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1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1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1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1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1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1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1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1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10" s="12">
        <f ca="1">[1]!Tabel1[[#This Row],[Vægtet Honorar]]*([1]!Tabel1[[#This Row],[Sidst redigeret]]&gt;TODAY()-40)*([1]!Tabel1[[#This Row],[Er i resplan?]]&lt;&gt;"Ja")*([1]!Tabel1[[#This Row],[Status]]="Pågår")</f>
        <v>0</v>
      </c>
      <c r="AG1110" s="12">
        <f ca="1">[1]!Tabel1[[#This Row],[Vægtet Honorar]]*([1]!Tabel1[[#This Row],[Sidst redigeret]]&gt;TODAY()-40)*([1]!Tabel1[[#This Row],[Status]]="Pågår")</f>
        <v>0</v>
      </c>
      <c r="AH1110" s="13"/>
      <c r="AI1110" s="12"/>
      <c r="AJ1110" s="12"/>
      <c r="AK1110" s="12"/>
      <c r="AL1110" s="12"/>
      <c r="AM1110" s="12"/>
      <c r="AN1110" s="12"/>
      <c r="AO1110" s="12"/>
      <c r="AP1110" s="12"/>
    </row>
    <row r="1111" spans="1:42" ht="186">
      <c r="A1111" t="s">
        <v>3917</v>
      </c>
      <c r="B1111" s="8"/>
      <c r="C1111" s="8" t="s">
        <v>3918</v>
      </c>
      <c r="D1111" s="8" t="s">
        <v>358</v>
      </c>
      <c r="E1111" s="8" t="s">
        <v>102</v>
      </c>
      <c r="F1111" s="8" t="s">
        <v>3919</v>
      </c>
      <c r="G1111" s="8" t="s">
        <v>3919</v>
      </c>
      <c r="H1111" s="9">
        <v>1800000</v>
      </c>
      <c r="I1111" s="9">
        <f>[1]!Tabel1[[#This Row],[Honorar]]*[1]!Tabel1[[#This Row],[Sandsynlighed]]</f>
        <v>450000</v>
      </c>
      <c r="J1111" s="10" t="s">
        <v>329</v>
      </c>
      <c r="K1111" s="10" t="s">
        <v>1310</v>
      </c>
      <c r="L1111" s="21" t="s">
        <v>3920</v>
      </c>
      <c r="M1111" s="11">
        <v>0.5</v>
      </c>
      <c r="N1111" s="1">
        <v>1225</v>
      </c>
      <c r="O1111" s="10">
        <v>46279.611157407409</v>
      </c>
      <c r="P1111" s="10"/>
      <c r="Q1111" s="1" t="s">
        <v>72</v>
      </c>
      <c r="R1111" s="8" t="s">
        <v>75</v>
      </c>
      <c r="S111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1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1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1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1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1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1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1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1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1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1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1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1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11" s="12">
        <f ca="1">[1]!Tabel1[[#This Row],[Vægtet Honorar]]*([1]!Tabel1[[#This Row],[Sidst redigeret]]&gt;TODAY()-40)*([1]!Tabel1[[#This Row],[Er i resplan?]]&lt;&gt;"Ja")*([1]!Tabel1[[#This Row],[Status]]="Pågår")</f>
        <v>0</v>
      </c>
      <c r="AG1111" s="12">
        <f ca="1">[1]!Tabel1[[#This Row],[Vægtet Honorar]]*([1]!Tabel1[[#This Row],[Sidst redigeret]]&gt;TODAY()-40)*([1]!Tabel1[[#This Row],[Status]]="Pågår")</f>
        <v>0</v>
      </c>
      <c r="AH1111" s="13"/>
      <c r="AI1111" s="12"/>
      <c r="AJ1111" s="12"/>
      <c r="AK1111" s="12"/>
      <c r="AL1111" s="12"/>
      <c r="AM1111" s="12"/>
      <c r="AN1111" s="12"/>
      <c r="AO1111" s="12"/>
      <c r="AP1111" s="12"/>
    </row>
    <row r="1112" spans="1:42" ht="100.5">
      <c r="A1112" t="s">
        <v>3921</v>
      </c>
      <c r="B1112" s="8"/>
      <c r="C1112" s="8" t="s">
        <v>3922</v>
      </c>
      <c r="D1112" s="8" t="s">
        <v>3923</v>
      </c>
      <c r="E1112" s="8" t="s">
        <v>102</v>
      </c>
      <c r="F1112" s="8"/>
      <c r="G1112" s="8" t="s">
        <v>111</v>
      </c>
      <c r="H1112" s="9">
        <v>569000</v>
      </c>
      <c r="I1112" s="9">
        <f>[1]!Tabel1[[#This Row],[Honorar]]*[1]!Tabel1[[#This Row],[Sandsynlighed]]</f>
        <v>2000000</v>
      </c>
      <c r="J1112" s="10" t="s">
        <v>329</v>
      </c>
      <c r="K1112" s="10" t="s">
        <v>342</v>
      </c>
      <c r="L1112" s="21" t="s">
        <v>3924</v>
      </c>
      <c r="M1112" s="11">
        <v>1</v>
      </c>
      <c r="N1112" s="1"/>
      <c r="O1112" s="10">
        <v>46279.611157407409</v>
      </c>
      <c r="P1112" s="10"/>
      <c r="Q1112" s="1" t="s">
        <v>46</v>
      </c>
      <c r="R1112" s="8" t="s">
        <v>47</v>
      </c>
      <c r="S111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1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1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1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1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1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1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1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1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1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1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1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1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12" s="12">
        <f ca="1">[1]!Tabel1[[#This Row],[Vægtet Honorar]]*([1]!Tabel1[[#This Row],[Sidst redigeret]]&gt;TODAY()-40)*([1]!Tabel1[[#This Row],[Er i resplan?]]&lt;&gt;"Ja")*([1]!Tabel1[[#This Row],[Status]]="Pågår")</f>
        <v>2000000</v>
      </c>
      <c r="AG1112" s="12">
        <f ca="1">[1]!Tabel1[[#This Row],[Vægtet Honorar]]*([1]!Tabel1[[#This Row],[Sidst redigeret]]&gt;TODAY()-40)*([1]!Tabel1[[#This Row],[Status]]="Pågår")</f>
        <v>2000000</v>
      </c>
      <c r="AH1112" s="13"/>
      <c r="AI1112" s="12"/>
      <c r="AJ1112" s="12"/>
      <c r="AK1112" s="12"/>
      <c r="AL1112" s="12"/>
      <c r="AM1112" s="12"/>
      <c r="AN1112" s="12"/>
      <c r="AO1112" s="12"/>
      <c r="AP1112" s="12"/>
    </row>
    <row r="1113" spans="1:42" ht="86.25">
      <c r="A1113" t="s">
        <v>3925</v>
      </c>
      <c r="B1113" s="8"/>
      <c r="C1113" s="8" t="s">
        <v>3926</v>
      </c>
      <c r="D1113" s="8" t="s">
        <v>1604</v>
      </c>
      <c r="E1113" s="8" t="s">
        <v>102</v>
      </c>
      <c r="F1113" s="8"/>
      <c r="G1113" s="8" t="s">
        <v>3927</v>
      </c>
      <c r="H1113" s="9">
        <v>100000</v>
      </c>
      <c r="I1113" s="9">
        <f>[1]!Tabel1[[#This Row],[Honorar]]*[1]!Tabel1[[#This Row],[Sandsynlighed]]</f>
        <v>0</v>
      </c>
      <c r="J1113" s="10" t="s">
        <v>329</v>
      </c>
      <c r="K1113" s="10" t="s">
        <v>1191</v>
      </c>
      <c r="L1113" s="21" t="s">
        <v>3928</v>
      </c>
      <c r="M1113" s="11">
        <v>0.5</v>
      </c>
      <c r="N1113" s="1">
        <v>45</v>
      </c>
      <c r="O1113" s="10">
        <v>46279.611157407409</v>
      </c>
      <c r="P1113" s="10"/>
      <c r="Q1113" s="1" t="s">
        <v>72</v>
      </c>
      <c r="R1113" s="8" t="s">
        <v>47</v>
      </c>
      <c r="S111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1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1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1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1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1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1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1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1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1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1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1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1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13" s="12">
        <f ca="1">[1]!Tabel1[[#This Row],[Vægtet Honorar]]*([1]!Tabel1[[#This Row],[Sidst redigeret]]&gt;TODAY()-40)*([1]!Tabel1[[#This Row],[Er i resplan?]]&lt;&gt;"Ja")*([1]!Tabel1[[#This Row],[Status]]="Pågår")</f>
        <v>0</v>
      </c>
      <c r="AG1113" s="12">
        <f ca="1">[1]!Tabel1[[#This Row],[Vægtet Honorar]]*([1]!Tabel1[[#This Row],[Sidst redigeret]]&gt;TODAY()-40)*([1]!Tabel1[[#This Row],[Status]]="Pågår")</f>
        <v>0</v>
      </c>
      <c r="AH1113" s="13"/>
      <c r="AI1113" s="12"/>
      <c r="AJ1113" s="12"/>
      <c r="AK1113" s="12"/>
      <c r="AL1113" s="12"/>
      <c r="AM1113" s="12"/>
      <c r="AN1113" s="12"/>
      <c r="AO1113" s="12"/>
      <c r="AP1113" s="12"/>
    </row>
    <row r="1114" spans="1:42" ht="72">
      <c r="A1114" t="s">
        <v>3929</v>
      </c>
      <c r="B1114" s="8"/>
      <c r="C1114" s="8" t="s">
        <v>3930</v>
      </c>
      <c r="D1114" s="8" t="s">
        <v>896</v>
      </c>
      <c r="E1114" s="8" t="s">
        <v>94</v>
      </c>
      <c r="F1114" s="8"/>
      <c r="G1114" s="8" t="s">
        <v>3931</v>
      </c>
      <c r="H1114" s="9">
        <v>85000</v>
      </c>
      <c r="I1114" s="9">
        <f>[1]!Tabel1[[#This Row],[Honorar]]*[1]!Tabel1[[#This Row],[Sandsynlighed]]</f>
        <v>50000</v>
      </c>
      <c r="J1114" s="10" t="s">
        <v>329</v>
      </c>
      <c r="K1114" s="10" t="s">
        <v>2405</v>
      </c>
      <c r="L1114" s="21" t="s">
        <v>3932</v>
      </c>
      <c r="M1114" s="11">
        <v>0.01</v>
      </c>
      <c r="N1114" s="1">
        <v>504</v>
      </c>
      <c r="O1114" s="10">
        <v>46279.611157407409</v>
      </c>
      <c r="P1114" s="1" t="s">
        <v>72</v>
      </c>
      <c r="Q1114" s="1" t="s">
        <v>72</v>
      </c>
      <c r="R1114" s="8" t="s">
        <v>47</v>
      </c>
      <c r="S111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1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1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1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1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1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1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1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1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1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1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1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1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14" s="12">
        <f ca="1">[1]!Tabel1[[#This Row],[Vægtet Honorar]]*([1]!Tabel1[[#This Row],[Sidst redigeret]]&gt;TODAY()-40)*([1]!Tabel1[[#This Row],[Er i resplan?]]&lt;&gt;"Ja")*([1]!Tabel1[[#This Row],[Status]]="Pågår")</f>
        <v>0</v>
      </c>
      <c r="AG1114" s="12">
        <f ca="1">[1]!Tabel1[[#This Row],[Vægtet Honorar]]*([1]!Tabel1[[#This Row],[Sidst redigeret]]&gt;TODAY()-40)*([1]!Tabel1[[#This Row],[Status]]="Pågår")</f>
        <v>0</v>
      </c>
      <c r="AH1114" s="13"/>
      <c r="AI1114" s="12"/>
      <c r="AJ1114" s="12"/>
      <c r="AK1114" s="12"/>
      <c r="AL1114" s="12"/>
      <c r="AM1114" s="12"/>
      <c r="AN1114" s="12"/>
      <c r="AO1114" s="12"/>
      <c r="AP1114" s="12"/>
    </row>
    <row r="1115" spans="1:42" ht="86.25">
      <c r="A1115" t="s">
        <v>3933</v>
      </c>
      <c r="B1115" s="8"/>
      <c r="C1115" s="8" t="s">
        <v>3934</v>
      </c>
      <c r="D1115" s="8" t="s">
        <v>70</v>
      </c>
      <c r="E1115" s="8" t="s">
        <v>102</v>
      </c>
      <c r="F1115" s="8" t="s">
        <v>566</v>
      </c>
      <c r="G1115" s="8" t="s">
        <v>566</v>
      </c>
      <c r="H1115" s="9">
        <v>100000</v>
      </c>
      <c r="I1115" s="9">
        <f>[1]!Tabel1[[#This Row],[Honorar]]*[1]!Tabel1[[#This Row],[Sandsynlighed]]</f>
        <v>120000</v>
      </c>
      <c r="J1115" s="10" t="s">
        <v>329</v>
      </c>
      <c r="K1115" s="10" t="s">
        <v>1191</v>
      </c>
      <c r="L1115" s="21" t="s">
        <v>3935</v>
      </c>
      <c r="M1115" s="11">
        <v>1</v>
      </c>
      <c r="N1115" s="1"/>
      <c r="O1115" s="10">
        <v>46279.611157407409</v>
      </c>
      <c r="P1115" s="10"/>
      <c r="Q1115" s="1" t="s">
        <v>46</v>
      </c>
      <c r="R1115" s="8" t="s">
        <v>47</v>
      </c>
      <c r="S111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1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1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1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1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1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1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1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1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1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1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1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1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15" s="12">
        <f ca="1">[1]!Tabel1[[#This Row],[Vægtet Honorar]]*([1]!Tabel1[[#This Row],[Sidst redigeret]]&gt;TODAY()-40)*([1]!Tabel1[[#This Row],[Er i resplan?]]&lt;&gt;"Ja")*([1]!Tabel1[[#This Row],[Status]]="Pågår")</f>
        <v>120000</v>
      </c>
      <c r="AG1115" s="12">
        <f ca="1">[1]!Tabel1[[#This Row],[Vægtet Honorar]]*([1]!Tabel1[[#This Row],[Sidst redigeret]]&gt;TODAY()-40)*([1]!Tabel1[[#This Row],[Status]]="Pågår")</f>
        <v>120000</v>
      </c>
      <c r="AH1115" s="13">
        <v>45876.48028935185</v>
      </c>
      <c r="AI1115" s="12"/>
      <c r="AJ1115" s="12"/>
      <c r="AK1115" s="12"/>
      <c r="AL1115" s="12"/>
      <c r="AM1115" s="12"/>
      <c r="AN1115" s="12"/>
      <c r="AO1115" s="12"/>
      <c r="AP1115" s="12"/>
    </row>
    <row r="1116" spans="1:42" ht="100.5">
      <c r="A1116" t="s">
        <v>3936</v>
      </c>
      <c r="B1116" s="8"/>
      <c r="C1116" s="8" t="s">
        <v>3937</v>
      </c>
      <c r="D1116" s="8" t="s">
        <v>896</v>
      </c>
      <c r="E1116" s="8" t="s">
        <v>94</v>
      </c>
      <c r="F1116" s="8" t="s">
        <v>3938</v>
      </c>
      <c r="G1116" s="8" t="s">
        <v>402</v>
      </c>
      <c r="H1116" s="9">
        <v>8000000</v>
      </c>
      <c r="I1116" s="9">
        <f>[1]!Tabel1[[#This Row],[Honorar]]*[1]!Tabel1[[#This Row],[Sandsynlighed]]</f>
        <v>900000</v>
      </c>
      <c r="J1116" s="10" t="s">
        <v>1310</v>
      </c>
      <c r="K1116" s="10" t="s">
        <v>2580</v>
      </c>
      <c r="L1116" s="21" t="s">
        <v>3939</v>
      </c>
      <c r="M1116" s="11">
        <v>0.01</v>
      </c>
      <c r="N1116" s="1">
        <v>7500</v>
      </c>
      <c r="O1116" s="10">
        <v>46279.611157407409</v>
      </c>
      <c r="P1116" s="1" t="s">
        <v>72</v>
      </c>
      <c r="Q1116" s="1" t="s">
        <v>72</v>
      </c>
      <c r="R1116" s="8" t="s">
        <v>343</v>
      </c>
      <c r="S111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1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1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1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1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1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1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1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1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1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1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1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1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16" s="12">
        <f ca="1">[1]!Tabel1[[#This Row],[Vægtet Honorar]]*([1]!Tabel1[[#This Row],[Sidst redigeret]]&gt;TODAY()-40)*([1]!Tabel1[[#This Row],[Er i resplan?]]&lt;&gt;"Ja")*([1]!Tabel1[[#This Row],[Status]]="Pågår")</f>
        <v>0</v>
      </c>
      <c r="AG1116" s="12">
        <f ca="1">[1]!Tabel1[[#This Row],[Vægtet Honorar]]*([1]!Tabel1[[#This Row],[Sidst redigeret]]&gt;TODAY()-40)*([1]!Tabel1[[#This Row],[Status]]="Pågår")</f>
        <v>0</v>
      </c>
      <c r="AH1116" s="13"/>
      <c r="AI1116" s="12"/>
      <c r="AJ1116" s="12" t="s">
        <v>402</v>
      </c>
      <c r="AK1116" s="12"/>
      <c r="AL1116" s="12"/>
      <c r="AM1116" s="12"/>
      <c r="AN1116" s="12" t="s">
        <v>3940</v>
      </c>
      <c r="AO1116" s="12"/>
      <c r="AP1116" s="12"/>
    </row>
    <row r="1117" spans="1:42" ht="57.75">
      <c r="A1117" t="s">
        <v>3941</v>
      </c>
      <c r="B1117" s="8"/>
      <c r="C1117" s="8" t="s">
        <v>3942</v>
      </c>
      <c r="D1117" s="8" t="s">
        <v>1886</v>
      </c>
      <c r="E1117" s="8" t="s">
        <v>94</v>
      </c>
      <c r="F1117" s="8" t="s">
        <v>2527</v>
      </c>
      <c r="G1117" s="8" t="s">
        <v>1970</v>
      </c>
      <c r="H1117" s="9">
        <v>200000</v>
      </c>
      <c r="I1117" s="9">
        <f>[1]!Tabel1[[#This Row],[Honorar]]*[1]!Tabel1[[#This Row],[Sandsynlighed]]</f>
        <v>569000</v>
      </c>
      <c r="J1117" s="10" t="s">
        <v>329</v>
      </c>
      <c r="K1117" s="10" t="s">
        <v>1287</v>
      </c>
      <c r="L1117" s="21" t="s">
        <v>3943</v>
      </c>
      <c r="M1117" s="11">
        <v>0.5</v>
      </c>
      <c r="N1117" s="1">
        <v>5000</v>
      </c>
      <c r="O1117" s="10">
        <v>46279.611157407409</v>
      </c>
      <c r="P1117" s="1" t="s">
        <v>46</v>
      </c>
      <c r="Q1117" s="1" t="s">
        <v>72</v>
      </c>
      <c r="R1117" s="8" t="s">
        <v>75</v>
      </c>
      <c r="S111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1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1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1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1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1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1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1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1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1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1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1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1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17" s="12">
        <f ca="1">[1]!Tabel1[[#This Row],[Vægtet Honorar]]*([1]!Tabel1[[#This Row],[Sidst redigeret]]&gt;TODAY()-40)*([1]!Tabel1[[#This Row],[Er i resplan?]]&lt;&gt;"Ja")*([1]!Tabel1[[#This Row],[Status]]="Pågår")</f>
        <v>0</v>
      </c>
      <c r="AG1117" s="12">
        <f ca="1">[1]!Tabel1[[#This Row],[Vægtet Honorar]]*([1]!Tabel1[[#This Row],[Sidst redigeret]]&gt;TODAY()-40)*([1]!Tabel1[[#This Row],[Status]]="Pågår")</f>
        <v>0</v>
      </c>
      <c r="AH1117" s="13"/>
      <c r="AI1117" s="12"/>
      <c r="AJ1117" s="12"/>
      <c r="AK1117" s="12"/>
      <c r="AL1117" s="12"/>
      <c r="AM1117" s="12"/>
      <c r="AN1117" s="12"/>
      <c r="AO1117" s="12"/>
      <c r="AP1117" s="12"/>
    </row>
    <row r="1118" spans="1:42" ht="57.75">
      <c r="A1118" t="s">
        <v>3944</v>
      </c>
      <c r="B1118" s="8"/>
      <c r="C1118" s="8" t="s">
        <v>3945</v>
      </c>
      <c r="D1118" s="8" t="s">
        <v>1886</v>
      </c>
      <c r="E1118" s="8" t="s">
        <v>94</v>
      </c>
      <c r="F1118" s="8" t="s">
        <v>1843</v>
      </c>
      <c r="G1118" s="8" t="s">
        <v>1970</v>
      </c>
      <c r="H1118" s="9">
        <v>50000</v>
      </c>
      <c r="I1118" s="9">
        <f>[1]!Tabel1[[#This Row],[Honorar]]*[1]!Tabel1[[#This Row],[Sandsynlighed]]</f>
        <v>50000</v>
      </c>
      <c r="J1118" s="10" t="s">
        <v>329</v>
      </c>
      <c r="K1118" s="10" t="s">
        <v>1287</v>
      </c>
      <c r="L1118" s="21" t="s">
        <v>3943</v>
      </c>
      <c r="M1118" s="11">
        <v>0.2</v>
      </c>
      <c r="N1118" s="1">
        <v>5000</v>
      </c>
      <c r="O1118" s="10">
        <v>46279.611157407409</v>
      </c>
      <c r="P1118" s="1" t="s">
        <v>46</v>
      </c>
      <c r="Q1118" s="1" t="s">
        <v>46</v>
      </c>
      <c r="R1118" s="8" t="s">
        <v>47</v>
      </c>
      <c r="S111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1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1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1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1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1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1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1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1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1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1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1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1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18" s="12">
        <f ca="1">[1]!Tabel1[[#This Row],[Vægtet Honorar]]*([1]!Tabel1[[#This Row],[Sidst redigeret]]&gt;TODAY()-40)*([1]!Tabel1[[#This Row],[Er i resplan?]]&lt;&gt;"Ja")*([1]!Tabel1[[#This Row],[Status]]="Pågår")</f>
        <v>0</v>
      </c>
      <c r="AG1118" s="12">
        <f ca="1">[1]!Tabel1[[#This Row],[Vægtet Honorar]]*([1]!Tabel1[[#This Row],[Sidst redigeret]]&gt;TODAY()-40)*([1]!Tabel1[[#This Row],[Status]]="Pågår")</f>
        <v>0</v>
      </c>
      <c r="AH1118" s="13"/>
      <c r="AI1118" s="12"/>
      <c r="AJ1118" s="12"/>
      <c r="AK1118" s="12"/>
      <c r="AL1118" s="12"/>
      <c r="AM1118" s="12"/>
      <c r="AN1118" s="12"/>
      <c r="AO1118" s="12"/>
      <c r="AP1118" s="12"/>
    </row>
    <row r="1119" spans="1:42" ht="29.25">
      <c r="A1119" t="s">
        <v>3946</v>
      </c>
      <c r="B1119" s="8"/>
      <c r="C1119" s="8" t="s">
        <v>3947</v>
      </c>
      <c r="D1119" s="8" t="s">
        <v>896</v>
      </c>
      <c r="E1119" s="8" t="s">
        <v>94</v>
      </c>
      <c r="F1119" s="8"/>
      <c r="G1119" s="8" t="s">
        <v>3948</v>
      </c>
      <c r="H1119" s="9">
        <v>2500000</v>
      </c>
      <c r="I1119" s="9">
        <f>[1]!Tabel1[[#This Row],[Honorar]]*[1]!Tabel1[[#This Row],[Sandsynlighed]]</f>
        <v>850</v>
      </c>
      <c r="J1119" s="10" t="s">
        <v>329</v>
      </c>
      <c r="K1119" s="10" t="s">
        <v>1191</v>
      </c>
      <c r="L1119" s="21" t="s">
        <v>3949</v>
      </c>
      <c r="M1119" s="11">
        <v>0.1</v>
      </c>
      <c r="N1119" s="1">
        <v>1618</v>
      </c>
      <c r="O1119" s="10">
        <v>46279.611157407409</v>
      </c>
      <c r="P1119" s="1" t="s">
        <v>72</v>
      </c>
      <c r="Q1119" s="1" t="s">
        <v>72</v>
      </c>
      <c r="R1119" s="8" t="s">
        <v>75</v>
      </c>
      <c r="S111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1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1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1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1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1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1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1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1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1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1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1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1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19" s="12">
        <f ca="1">[1]!Tabel1[[#This Row],[Vægtet Honorar]]*([1]!Tabel1[[#This Row],[Sidst redigeret]]&gt;TODAY()-40)*([1]!Tabel1[[#This Row],[Er i resplan?]]&lt;&gt;"Ja")*([1]!Tabel1[[#This Row],[Status]]="Pågår")</f>
        <v>0</v>
      </c>
      <c r="AG1119" s="12">
        <f ca="1">[1]!Tabel1[[#This Row],[Vægtet Honorar]]*([1]!Tabel1[[#This Row],[Sidst redigeret]]&gt;TODAY()-40)*([1]!Tabel1[[#This Row],[Status]]="Pågår")</f>
        <v>0</v>
      </c>
      <c r="AH1119" s="13"/>
      <c r="AI1119" s="12"/>
      <c r="AJ1119" s="12"/>
      <c r="AK1119" s="12"/>
      <c r="AL1119" s="12"/>
      <c r="AM1119" s="12"/>
      <c r="AN1119" s="12"/>
      <c r="AO1119" s="12"/>
      <c r="AP1119" s="12"/>
    </row>
    <row r="1120" spans="1:42" ht="157.5">
      <c r="A1120" t="s">
        <v>3950</v>
      </c>
      <c r="B1120" s="8"/>
      <c r="C1120" s="8" t="s">
        <v>3951</v>
      </c>
      <c r="D1120" s="8" t="s">
        <v>896</v>
      </c>
      <c r="E1120" s="8" t="s">
        <v>94</v>
      </c>
      <c r="F1120" s="8" t="s">
        <v>1127</v>
      </c>
      <c r="G1120" s="8" t="s">
        <v>213</v>
      </c>
      <c r="H1120" s="9">
        <v>20000000</v>
      </c>
      <c r="I1120" s="9">
        <f>[1]!Tabel1[[#This Row],[Honorar]]*[1]!Tabel1[[#This Row],[Sandsynlighed]]</f>
        <v>100000</v>
      </c>
      <c r="J1120" s="10" t="s">
        <v>1310</v>
      </c>
      <c r="K1120" s="10" t="s">
        <v>2405</v>
      </c>
      <c r="L1120" s="21" t="s">
        <v>3952</v>
      </c>
      <c r="M1120" s="11">
        <v>0.1</v>
      </c>
      <c r="N1120" s="1">
        <v>700000</v>
      </c>
      <c r="O1120" s="10">
        <v>46279.611157407409</v>
      </c>
      <c r="P1120" s="1" t="s">
        <v>72</v>
      </c>
      <c r="Q1120" s="1" t="s">
        <v>72</v>
      </c>
      <c r="R1120" s="8" t="s">
        <v>343</v>
      </c>
      <c r="S112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2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2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2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2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2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2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2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2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2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2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2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2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20" s="12">
        <f ca="1">[1]!Tabel1[[#This Row],[Vægtet Honorar]]*([1]!Tabel1[[#This Row],[Sidst redigeret]]&gt;TODAY()-40)*([1]!Tabel1[[#This Row],[Er i resplan?]]&lt;&gt;"Ja")*([1]!Tabel1[[#This Row],[Status]]="Pågår")</f>
        <v>0</v>
      </c>
      <c r="AG1120" s="12">
        <f ca="1">[1]!Tabel1[[#This Row],[Vægtet Honorar]]*([1]!Tabel1[[#This Row],[Sidst redigeret]]&gt;TODAY()-40)*([1]!Tabel1[[#This Row],[Status]]="Pågår")</f>
        <v>0</v>
      </c>
      <c r="AH1120" s="13"/>
      <c r="AI1120" s="12"/>
      <c r="AJ1120" s="12"/>
      <c r="AK1120" s="12"/>
      <c r="AL1120" s="12"/>
      <c r="AM1120" s="12"/>
      <c r="AN1120" s="12"/>
      <c r="AO1120" s="12"/>
      <c r="AP1120" s="12"/>
    </row>
    <row r="1121" spans="1:42">
      <c r="A1121" t="s">
        <v>3953</v>
      </c>
      <c r="B1121" s="8"/>
      <c r="C1121" s="8" t="s">
        <v>3954</v>
      </c>
      <c r="D1121" s="8" t="s">
        <v>70</v>
      </c>
      <c r="E1121" s="8" t="s">
        <v>102</v>
      </c>
      <c r="F1121" s="8" t="s">
        <v>1538</v>
      </c>
      <c r="G1121" s="8" t="s">
        <v>3955</v>
      </c>
      <c r="H1121" s="9">
        <v>950000</v>
      </c>
      <c r="I1121" s="9">
        <f>[1]!Tabel1[[#This Row],[Honorar]]*[1]!Tabel1[[#This Row],[Sandsynlighed]]</f>
        <v>80000</v>
      </c>
      <c r="J1121" s="10" t="s">
        <v>329</v>
      </c>
      <c r="K1121" s="10" t="s">
        <v>1310</v>
      </c>
      <c r="L1121" s="21"/>
      <c r="M1121" s="11">
        <v>1</v>
      </c>
      <c r="N1121" s="1" t="s">
        <v>3956</v>
      </c>
      <c r="O1121" s="10">
        <v>46279.611157407409</v>
      </c>
      <c r="P1121" s="10"/>
      <c r="Q1121" s="1" t="s">
        <v>46</v>
      </c>
      <c r="R1121" s="8" t="s">
        <v>47</v>
      </c>
      <c r="S112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2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2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2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2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2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2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2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2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2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2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2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2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21" s="12">
        <f ca="1">[1]!Tabel1[[#This Row],[Vægtet Honorar]]*([1]!Tabel1[[#This Row],[Sidst redigeret]]&gt;TODAY()-40)*([1]!Tabel1[[#This Row],[Er i resplan?]]&lt;&gt;"Ja")*([1]!Tabel1[[#This Row],[Status]]="Pågår")</f>
        <v>80000</v>
      </c>
      <c r="AG1121" s="12">
        <f ca="1">[1]!Tabel1[[#This Row],[Vægtet Honorar]]*([1]!Tabel1[[#This Row],[Sidst redigeret]]&gt;TODAY()-40)*([1]!Tabel1[[#This Row],[Status]]="Pågår")</f>
        <v>80000</v>
      </c>
      <c r="AH1121" s="13"/>
      <c r="AI1121" s="12"/>
      <c r="AJ1121" s="12"/>
      <c r="AK1121" s="12"/>
      <c r="AL1121" s="12"/>
      <c r="AM1121" s="12"/>
      <c r="AN1121" s="12"/>
      <c r="AO1121" s="12"/>
      <c r="AP1121" s="12"/>
    </row>
    <row r="1122" spans="1:42">
      <c r="A1122" t="s">
        <v>3957</v>
      </c>
      <c r="B1122" s="8"/>
      <c r="C1122" s="8" t="s">
        <v>3958</v>
      </c>
      <c r="D1122" s="8" t="s">
        <v>158</v>
      </c>
      <c r="E1122" s="8" t="s">
        <v>167</v>
      </c>
      <c r="F1122" s="8" t="s">
        <v>3959</v>
      </c>
      <c r="G1122" s="8" t="s">
        <v>3959</v>
      </c>
      <c r="H1122" s="9">
        <v>2000000</v>
      </c>
      <c r="I1122" s="9">
        <f>[1]!Tabel1[[#This Row],[Honorar]]*[1]!Tabel1[[#This Row],[Sandsynlighed]]</f>
        <v>100000</v>
      </c>
      <c r="J1122" s="10" t="s">
        <v>329</v>
      </c>
      <c r="K1122" s="10" t="s">
        <v>1861</v>
      </c>
      <c r="L1122" s="21"/>
      <c r="M1122" s="11">
        <v>0.1</v>
      </c>
      <c r="N1122" s="1"/>
      <c r="O1122" s="10">
        <v>46279.611157407409</v>
      </c>
      <c r="P1122" s="10"/>
      <c r="Q1122" s="1" t="s">
        <v>72</v>
      </c>
      <c r="R1122" s="8" t="s">
        <v>343</v>
      </c>
      <c r="S112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2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2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2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2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2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2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2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2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2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2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2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2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22" s="12">
        <f ca="1">[1]!Tabel1[[#This Row],[Vægtet Honorar]]*([1]!Tabel1[[#This Row],[Sidst redigeret]]&gt;TODAY()-40)*([1]!Tabel1[[#This Row],[Er i resplan?]]&lt;&gt;"Ja")*([1]!Tabel1[[#This Row],[Status]]="Pågår")</f>
        <v>0</v>
      </c>
      <c r="AG1122" s="12">
        <f ca="1">[1]!Tabel1[[#This Row],[Vægtet Honorar]]*([1]!Tabel1[[#This Row],[Sidst redigeret]]&gt;TODAY()-40)*([1]!Tabel1[[#This Row],[Status]]="Pågår")</f>
        <v>0</v>
      </c>
      <c r="AH1122" s="13"/>
      <c r="AI1122" s="12"/>
      <c r="AJ1122" s="12" t="s">
        <v>1363</v>
      </c>
      <c r="AK1122" s="12"/>
      <c r="AL1122" s="12" t="s">
        <v>3960</v>
      </c>
      <c r="AM1122" s="12"/>
      <c r="AN1122" s="12" t="s">
        <v>3961</v>
      </c>
      <c r="AO1122" s="12">
        <v>20250318</v>
      </c>
      <c r="AP1122" s="12"/>
    </row>
    <row r="1123" spans="1:42">
      <c r="A1123" t="s">
        <v>3962</v>
      </c>
      <c r="B1123" s="8"/>
      <c r="C1123" s="8" t="s">
        <v>3963</v>
      </c>
      <c r="D1123" s="8" t="s">
        <v>65</v>
      </c>
      <c r="E1123" s="8" t="s">
        <v>167</v>
      </c>
      <c r="F1123" s="8" t="s">
        <v>822</v>
      </c>
      <c r="G1123" s="8" t="s">
        <v>822</v>
      </c>
      <c r="H1123" s="9">
        <v>500000</v>
      </c>
      <c r="I1123" s="9">
        <f>[1]!Tabel1[[#This Row],[Honorar]]*[1]!Tabel1[[#This Row],[Sandsynlighed]]</f>
        <v>10000</v>
      </c>
      <c r="J1123" s="10" t="s">
        <v>329</v>
      </c>
      <c r="K1123" s="10" t="s">
        <v>1861</v>
      </c>
      <c r="L1123" s="21"/>
      <c r="M1123" s="11">
        <v>1</v>
      </c>
      <c r="N1123" s="1"/>
      <c r="O1123" s="10">
        <v>46279.611157407409</v>
      </c>
      <c r="P1123" s="10"/>
      <c r="Q1123" s="1" t="s">
        <v>72</v>
      </c>
      <c r="R1123" s="8" t="s">
        <v>343</v>
      </c>
      <c r="S112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2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2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2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2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2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2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2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2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2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2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2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2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23" s="12">
        <f ca="1">[1]!Tabel1[[#This Row],[Vægtet Honorar]]*([1]!Tabel1[[#This Row],[Sidst redigeret]]&gt;TODAY()-40)*([1]!Tabel1[[#This Row],[Er i resplan?]]&lt;&gt;"Ja")*([1]!Tabel1[[#This Row],[Status]]="Pågår")</f>
        <v>0</v>
      </c>
      <c r="AG1123" s="12">
        <f ca="1">[1]!Tabel1[[#This Row],[Vægtet Honorar]]*([1]!Tabel1[[#This Row],[Sidst redigeret]]&gt;TODAY()-40)*([1]!Tabel1[[#This Row],[Status]]="Pågår")</f>
        <v>0</v>
      </c>
      <c r="AH1123" s="13"/>
      <c r="AI1123" s="12"/>
      <c r="AJ1123" s="12"/>
      <c r="AK1123" s="12"/>
      <c r="AL1123" s="12"/>
      <c r="AM1123" s="12"/>
      <c r="AN1123" s="12"/>
      <c r="AO1123" s="12"/>
      <c r="AP1123" s="12"/>
    </row>
    <row r="1124" spans="1:42" ht="29.25">
      <c r="A1124" t="s">
        <v>3964</v>
      </c>
      <c r="B1124" s="8"/>
      <c r="C1124" s="8" t="s">
        <v>3965</v>
      </c>
      <c r="D1124" s="8" t="s">
        <v>44</v>
      </c>
      <c r="E1124" s="8" t="s">
        <v>71</v>
      </c>
      <c r="F1124" s="8" t="s">
        <v>1735</v>
      </c>
      <c r="G1124" s="8" t="s">
        <v>3966</v>
      </c>
      <c r="H1124" s="9">
        <v>75000</v>
      </c>
      <c r="I1124" s="9">
        <f>[1]!Tabel1[[#This Row],[Honorar]]*[1]!Tabel1[[#This Row],[Sandsynlighed]]</f>
        <v>250000</v>
      </c>
      <c r="J1124" s="10" t="s">
        <v>329</v>
      </c>
      <c r="K1124" s="10" t="s">
        <v>329</v>
      </c>
      <c r="L1124" s="21" t="s">
        <v>3967</v>
      </c>
      <c r="M1124" s="11">
        <v>1</v>
      </c>
      <c r="N1124" s="1">
        <v>500</v>
      </c>
      <c r="O1124" s="10">
        <v>46279.611157407409</v>
      </c>
      <c r="P1124" s="10"/>
      <c r="Q1124" s="1" t="s">
        <v>46</v>
      </c>
      <c r="R1124" s="8" t="s">
        <v>47</v>
      </c>
      <c r="S112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2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2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2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2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2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2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2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2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2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2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2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2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24" s="12">
        <f ca="1">[1]!Tabel1[[#This Row],[Vægtet Honorar]]*([1]!Tabel1[[#This Row],[Sidst redigeret]]&gt;TODAY()-40)*([1]!Tabel1[[#This Row],[Er i resplan?]]&lt;&gt;"Ja")*([1]!Tabel1[[#This Row],[Status]]="Pågår")</f>
        <v>0</v>
      </c>
      <c r="AG1124" s="12">
        <f ca="1">[1]!Tabel1[[#This Row],[Vægtet Honorar]]*([1]!Tabel1[[#This Row],[Sidst redigeret]]&gt;TODAY()-40)*([1]!Tabel1[[#This Row],[Status]]="Pågår")</f>
        <v>0</v>
      </c>
      <c r="AH1124" s="13">
        <v>45993.412187499998</v>
      </c>
      <c r="AI1124" s="12"/>
      <c r="AJ1124" s="12"/>
      <c r="AK1124" s="12"/>
      <c r="AL1124" s="12"/>
      <c r="AM1124" s="12"/>
      <c r="AN1124" s="12"/>
      <c r="AO1124" s="12"/>
      <c r="AP1124" s="12"/>
    </row>
    <row r="1125" spans="1:42">
      <c r="A1125" t="s">
        <v>3968</v>
      </c>
      <c r="B1125" s="8"/>
      <c r="C1125" s="8" t="s">
        <v>3969</v>
      </c>
      <c r="D1125" s="8" t="s">
        <v>134</v>
      </c>
      <c r="E1125" s="8" t="s">
        <v>94</v>
      </c>
      <c r="F1125" s="8" t="s">
        <v>777</v>
      </c>
      <c r="G1125" s="8" t="s">
        <v>2269</v>
      </c>
      <c r="H1125" s="9">
        <v>15000</v>
      </c>
      <c r="I1125" s="9">
        <f>[1]!Tabel1[[#This Row],[Honorar]]*[1]!Tabel1[[#This Row],[Sandsynlighed]]</f>
        <v>2000000</v>
      </c>
      <c r="J1125" s="10" t="s">
        <v>1287</v>
      </c>
      <c r="K1125" s="10" t="s">
        <v>1287</v>
      </c>
      <c r="L1125" s="21"/>
      <c r="M1125" s="11">
        <v>0.5</v>
      </c>
      <c r="N1125" s="1" t="s">
        <v>777</v>
      </c>
      <c r="O1125" s="10">
        <v>46279.611157407409</v>
      </c>
      <c r="P1125" s="1" t="s">
        <v>72</v>
      </c>
      <c r="Q1125" s="1" t="s">
        <v>72</v>
      </c>
      <c r="R1125" s="8" t="s">
        <v>49</v>
      </c>
      <c r="S112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2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2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2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2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2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2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2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2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2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2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2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2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25" s="12">
        <f ca="1">[1]!Tabel1[[#This Row],[Vægtet Honorar]]*([1]!Tabel1[[#This Row],[Sidst redigeret]]&gt;TODAY()-40)*([1]!Tabel1[[#This Row],[Er i resplan?]]&lt;&gt;"Ja")*([1]!Tabel1[[#This Row],[Status]]="Pågår")</f>
        <v>2000000</v>
      </c>
      <c r="AG1125" s="12">
        <f ca="1">[1]!Tabel1[[#This Row],[Vægtet Honorar]]*([1]!Tabel1[[#This Row],[Sidst redigeret]]&gt;TODAY()-40)*([1]!Tabel1[[#This Row],[Status]]="Pågår")</f>
        <v>2000000</v>
      </c>
      <c r="AH1125" s="13"/>
      <c r="AI1125" s="12"/>
      <c r="AJ1125" s="12"/>
      <c r="AK1125" s="12"/>
      <c r="AL1125" s="12"/>
      <c r="AM1125" s="12"/>
      <c r="AN1125" s="12"/>
      <c r="AO1125" s="12"/>
      <c r="AP1125" s="12"/>
    </row>
    <row r="1126" spans="1:42" ht="43.5">
      <c r="A1126" t="s">
        <v>3970</v>
      </c>
      <c r="B1126" s="8"/>
      <c r="C1126" s="8" t="s">
        <v>3971</v>
      </c>
      <c r="D1126" s="8" t="s">
        <v>1886</v>
      </c>
      <c r="E1126" s="8" t="s">
        <v>94</v>
      </c>
      <c r="F1126" s="8" t="s">
        <v>777</v>
      </c>
      <c r="G1126" s="8" t="s">
        <v>2103</v>
      </c>
      <c r="H1126" s="9">
        <v>500000</v>
      </c>
      <c r="I1126" s="9">
        <f>[1]!Tabel1[[#This Row],[Honorar]]*[1]!Tabel1[[#This Row],[Sandsynlighed]]</f>
        <v>950000</v>
      </c>
      <c r="J1126" s="10" t="s">
        <v>341</v>
      </c>
      <c r="K1126" s="10" t="s">
        <v>585</v>
      </c>
      <c r="L1126" s="21" t="s">
        <v>3972</v>
      </c>
      <c r="M1126" s="11">
        <v>0.3</v>
      </c>
      <c r="N1126" s="1" t="s">
        <v>777</v>
      </c>
      <c r="O1126" s="10">
        <v>46279.611157407409</v>
      </c>
      <c r="P1126" s="1" t="s">
        <v>72</v>
      </c>
      <c r="Q1126" s="1" t="s">
        <v>72</v>
      </c>
      <c r="R1126" s="8" t="s">
        <v>49</v>
      </c>
      <c r="S112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2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2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2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2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2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2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2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2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2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2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2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2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26" s="12">
        <f ca="1">[1]!Tabel1[[#This Row],[Vægtet Honorar]]*([1]!Tabel1[[#This Row],[Sidst redigeret]]&gt;TODAY()-40)*([1]!Tabel1[[#This Row],[Er i resplan?]]&lt;&gt;"Ja")*([1]!Tabel1[[#This Row],[Status]]="Pågår")</f>
        <v>0</v>
      </c>
      <c r="AG1126" s="12">
        <f ca="1">[1]!Tabel1[[#This Row],[Vægtet Honorar]]*([1]!Tabel1[[#This Row],[Sidst redigeret]]&gt;TODAY()-40)*([1]!Tabel1[[#This Row],[Status]]="Pågår")</f>
        <v>0</v>
      </c>
      <c r="AH1126" s="13"/>
      <c r="AI1126" s="12"/>
      <c r="AJ1126" s="12"/>
      <c r="AK1126" s="12"/>
      <c r="AL1126" s="12"/>
      <c r="AM1126" s="12"/>
      <c r="AN1126" s="12"/>
      <c r="AO1126" s="12"/>
      <c r="AP1126" s="12"/>
    </row>
    <row r="1127" spans="1:42">
      <c r="A1127" t="s">
        <v>3973</v>
      </c>
      <c r="B1127" s="8"/>
      <c r="C1127" s="8" t="s">
        <v>3974</v>
      </c>
      <c r="D1127" s="8" t="s">
        <v>980</v>
      </c>
      <c r="E1127" s="8" t="s">
        <v>71</v>
      </c>
      <c r="F1127" s="8" t="s">
        <v>777</v>
      </c>
      <c r="G1127" s="8" t="s">
        <v>2118</v>
      </c>
      <c r="H1127" s="9">
        <v>30000</v>
      </c>
      <c r="I1127" s="9">
        <f>[1]!Tabel1[[#This Row],[Honorar]]*[1]!Tabel1[[#This Row],[Sandsynlighed]]</f>
        <v>200000</v>
      </c>
      <c r="J1127" s="10" t="s">
        <v>329</v>
      </c>
      <c r="K1127" s="10" t="s">
        <v>329</v>
      </c>
      <c r="L1127" s="21"/>
      <c r="M1127" s="11">
        <v>0.8</v>
      </c>
      <c r="N1127" s="1" t="s">
        <v>777</v>
      </c>
      <c r="O1127" s="10">
        <v>46279.611157407409</v>
      </c>
      <c r="P1127" s="10"/>
      <c r="Q1127" s="1" t="s">
        <v>46</v>
      </c>
      <c r="R1127" s="8" t="s">
        <v>47</v>
      </c>
      <c r="S112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2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2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2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2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2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2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2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2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2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2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2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2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27" s="12">
        <f ca="1">[1]!Tabel1[[#This Row],[Vægtet Honorar]]*([1]!Tabel1[[#This Row],[Sidst redigeret]]&gt;TODAY()-40)*([1]!Tabel1[[#This Row],[Er i resplan?]]&lt;&gt;"Ja")*([1]!Tabel1[[#This Row],[Status]]="Pågår")</f>
        <v>200000</v>
      </c>
      <c r="AG1127" s="12">
        <f ca="1">[1]!Tabel1[[#This Row],[Vægtet Honorar]]*([1]!Tabel1[[#This Row],[Sidst redigeret]]&gt;TODAY()-40)*([1]!Tabel1[[#This Row],[Status]]="Pågår")</f>
        <v>200000</v>
      </c>
      <c r="AH1127" s="13"/>
      <c r="AI1127" s="12"/>
      <c r="AJ1127" s="12"/>
      <c r="AK1127" s="12"/>
      <c r="AL1127" s="12"/>
      <c r="AM1127" s="12"/>
      <c r="AN1127" s="12"/>
      <c r="AO1127" s="12"/>
      <c r="AP1127" s="12"/>
    </row>
    <row r="1128" spans="1:42">
      <c r="A1128" t="s">
        <v>3975</v>
      </c>
      <c r="B1128" s="8"/>
      <c r="C1128" s="8" t="s">
        <v>3976</v>
      </c>
      <c r="D1128" s="8" t="s">
        <v>980</v>
      </c>
      <c r="E1128" s="8" t="s">
        <v>71</v>
      </c>
      <c r="F1128" s="8" t="s">
        <v>777</v>
      </c>
      <c r="G1128" s="8" t="s">
        <v>2118</v>
      </c>
      <c r="H1128" s="9">
        <v>30000</v>
      </c>
      <c r="I1128" s="9">
        <f>[1]!Tabel1[[#This Row],[Honorar]]*[1]!Tabel1[[#This Row],[Sandsynlighed]]</f>
        <v>500000</v>
      </c>
      <c r="J1128" s="10" t="s">
        <v>329</v>
      </c>
      <c r="K1128" s="10" t="s">
        <v>329</v>
      </c>
      <c r="L1128" s="21"/>
      <c r="M1128" s="11">
        <v>0.8</v>
      </c>
      <c r="N1128" s="1" t="s">
        <v>777</v>
      </c>
      <c r="O1128" s="10">
        <v>46279.611157407409</v>
      </c>
      <c r="P1128" s="10"/>
      <c r="Q1128" s="1" t="s">
        <v>46</v>
      </c>
      <c r="R1128" s="8" t="s">
        <v>47</v>
      </c>
      <c r="S112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2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2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2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2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2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2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2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2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2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2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2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2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28" s="12">
        <f ca="1">[1]!Tabel1[[#This Row],[Vægtet Honorar]]*([1]!Tabel1[[#This Row],[Sidst redigeret]]&gt;TODAY()-40)*([1]!Tabel1[[#This Row],[Er i resplan?]]&lt;&gt;"Ja")*([1]!Tabel1[[#This Row],[Status]]="Pågår")</f>
        <v>500000</v>
      </c>
      <c r="AG1128" s="12">
        <f ca="1">[1]!Tabel1[[#This Row],[Vægtet Honorar]]*([1]!Tabel1[[#This Row],[Sidst redigeret]]&gt;TODAY()-40)*([1]!Tabel1[[#This Row],[Status]]="Pågår")</f>
        <v>500000</v>
      </c>
      <c r="AH1128" s="13"/>
      <c r="AI1128" s="12"/>
      <c r="AJ1128" s="12"/>
      <c r="AK1128" s="12"/>
      <c r="AL1128" s="12"/>
      <c r="AM1128" s="12"/>
      <c r="AN1128" s="12"/>
      <c r="AO1128" s="12"/>
      <c r="AP1128" s="12"/>
    </row>
    <row r="1129" spans="1:42">
      <c r="A1129" t="s">
        <v>3977</v>
      </c>
      <c r="B1129" s="8"/>
      <c r="C1129" s="8" t="s">
        <v>3978</v>
      </c>
      <c r="D1129" s="8" t="s">
        <v>3979</v>
      </c>
      <c r="E1129" s="8" t="s">
        <v>120</v>
      </c>
      <c r="F1129" s="8" t="s">
        <v>777</v>
      </c>
      <c r="G1129" s="8" t="s">
        <v>2970</v>
      </c>
      <c r="H1129" s="9">
        <v>400000</v>
      </c>
      <c r="I1129" s="9">
        <f>[1]!Tabel1[[#This Row],[Honorar]]*[1]!Tabel1[[#This Row],[Sandsynlighed]]</f>
        <v>75000</v>
      </c>
      <c r="J1129" s="10" t="s">
        <v>329</v>
      </c>
      <c r="K1129" s="10" t="s">
        <v>2405</v>
      </c>
      <c r="L1129" s="21"/>
      <c r="M1129" s="11">
        <v>0.6</v>
      </c>
      <c r="N1129" s="1">
        <v>10000</v>
      </c>
      <c r="O1129" s="10">
        <v>46279.611157407409</v>
      </c>
      <c r="P1129" s="10"/>
      <c r="Q1129" s="1" t="s">
        <v>46</v>
      </c>
      <c r="R1129" s="8" t="s">
        <v>47</v>
      </c>
      <c r="S112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2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2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2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2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2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2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2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2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2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2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2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2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29" s="12">
        <f ca="1">[1]!Tabel1[[#This Row],[Vægtet Honorar]]*([1]!Tabel1[[#This Row],[Sidst redigeret]]&gt;TODAY()-40)*([1]!Tabel1[[#This Row],[Er i resplan?]]&lt;&gt;"Ja")*([1]!Tabel1[[#This Row],[Status]]="Pågår")</f>
        <v>0</v>
      </c>
      <c r="AG1129" s="12">
        <f ca="1">[1]!Tabel1[[#This Row],[Vægtet Honorar]]*([1]!Tabel1[[#This Row],[Sidst redigeret]]&gt;TODAY()-40)*([1]!Tabel1[[#This Row],[Status]]="Pågår")</f>
        <v>0</v>
      </c>
      <c r="AH1129" s="13"/>
      <c r="AI1129" s="12"/>
      <c r="AJ1129" s="12"/>
      <c r="AK1129" s="12"/>
      <c r="AL1129" s="12"/>
      <c r="AM1129" s="12"/>
      <c r="AN1129" s="12"/>
      <c r="AO1129" s="12"/>
      <c r="AP1129" s="12"/>
    </row>
    <row r="1130" spans="1:42">
      <c r="A1130" t="s">
        <v>3980</v>
      </c>
      <c r="B1130" s="8"/>
      <c r="C1130" s="8" t="s">
        <v>3981</v>
      </c>
      <c r="D1130" s="8" t="s">
        <v>158</v>
      </c>
      <c r="E1130" s="8" t="s">
        <v>167</v>
      </c>
      <c r="F1130" s="8" t="s">
        <v>1024</v>
      </c>
      <c r="G1130" s="8" t="s">
        <v>1363</v>
      </c>
      <c r="H1130" s="9">
        <v>400000</v>
      </c>
      <c r="I1130" s="9">
        <f>[1]!Tabel1[[#This Row],[Honorar]]*[1]!Tabel1[[#This Row],[Sandsynlighed]]</f>
        <v>7500</v>
      </c>
      <c r="J1130" s="10" t="s">
        <v>1191</v>
      </c>
      <c r="K1130" s="10" t="s">
        <v>342</v>
      </c>
      <c r="L1130" s="21"/>
      <c r="M1130" s="11">
        <v>0</v>
      </c>
      <c r="N1130" s="1">
        <v>0</v>
      </c>
      <c r="O1130" s="10">
        <v>46279.611157407409</v>
      </c>
      <c r="P1130" s="10"/>
      <c r="Q1130" s="1" t="s">
        <v>72</v>
      </c>
      <c r="R1130" s="8" t="s">
        <v>343</v>
      </c>
      <c r="S113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3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3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3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3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3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3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3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3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3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3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3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3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30" s="12">
        <f ca="1">[1]!Tabel1[[#This Row],[Vægtet Honorar]]*([1]!Tabel1[[#This Row],[Sidst redigeret]]&gt;TODAY()-40)*([1]!Tabel1[[#This Row],[Er i resplan?]]&lt;&gt;"Ja")*([1]!Tabel1[[#This Row],[Status]]="Pågår")</f>
        <v>0</v>
      </c>
      <c r="AG1130" s="12">
        <f ca="1">[1]!Tabel1[[#This Row],[Vægtet Honorar]]*([1]!Tabel1[[#This Row],[Sidst redigeret]]&gt;TODAY()-40)*([1]!Tabel1[[#This Row],[Status]]="Pågår")</f>
        <v>0</v>
      </c>
      <c r="AH1130" s="13"/>
      <c r="AI1130" s="12"/>
      <c r="AJ1130" s="12" t="s">
        <v>1363</v>
      </c>
      <c r="AK1130" s="12"/>
      <c r="AL1130" s="12" t="s">
        <v>215</v>
      </c>
      <c r="AM1130" s="12"/>
      <c r="AN1130" s="12" t="s">
        <v>3982</v>
      </c>
      <c r="AO1130" s="12"/>
      <c r="AP1130" s="12"/>
    </row>
    <row r="1131" spans="1:42">
      <c r="A1131" t="s">
        <v>3983</v>
      </c>
      <c r="B1131" s="8"/>
      <c r="C1131" s="8" t="s">
        <v>3984</v>
      </c>
      <c r="D1131" s="8" t="s">
        <v>158</v>
      </c>
      <c r="E1131" s="8" t="s">
        <v>167</v>
      </c>
      <c r="F1131" s="8" t="s">
        <v>1024</v>
      </c>
      <c r="G1131" s="8" t="s">
        <v>1363</v>
      </c>
      <c r="H1131" s="9">
        <v>400000</v>
      </c>
      <c r="I1131" s="9">
        <f>[1]!Tabel1[[#This Row],[Honorar]]*[1]!Tabel1[[#This Row],[Sandsynlighed]]</f>
        <v>150000</v>
      </c>
      <c r="J1131" s="10" t="s">
        <v>1191</v>
      </c>
      <c r="K1131" s="10" t="s">
        <v>342</v>
      </c>
      <c r="L1131" s="21"/>
      <c r="M1131" s="11">
        <v>0</v>
      </c>
      <c r="N1131" s="1">
        <v>0</v>
      </c>
      <c r="O1131" s="10">
        <v>46279.611157407409</v>
      </c>
      <c r="P1131" s="10"/>
      <c r="Q1131" s="1" t="s">
        <v>72</v>
      </c>
      <c r="R1131" s="8" t="s">
        <v>343</v>
      </c>
      <c r="S113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3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3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3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3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3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3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3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3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3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3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3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3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31" s="12">
        <f ca="1">[1]!Tabel1[[#This Row],[Vægtet Honorar]]*([1]!Tabel1[[#This Row],[Sidst redigeret]]&gt;TODAY()-40)*([1]!Tabel1[[#This Row],[Er i resplan?]]&lt;&gt;"Ja")*([1]!Tabel1[[#This Row],[Status]]="Pågår")</f>
        <v>0</v>
      </c>
      <c r="AG1131" s="12">
        <f ca="1">[1]!Tabel1[[#This Row],[Vægtet Honorar]]*([1]!Tabel1[[#This Row],[Sidst redigeret]]&gt;TODAY()-40)*([1]!Tabel1[[#This Row],[Status]]="Pågår")</f>
        <v>0</v>
      </c>
      <c r="AH1131" s="13"/>
      <c r="AI1131" s="12"/>
      <c r="AJ1131" s="12" t="s">
        <v>1363</v>
      </c>
      <c r="AK1131" s="12"/>
      <c r="AL1131" s="12" t="s">
        <v>215</v>
      </c>
      <c r="AM1131" s="12"/>
      <c r="AN1131" s="12" t="s">
        <v>3985</v>
      </c>
      <c r="AO1131" s="12"/>
      <c r="AP1131" s="12"/>
    </row>
    <row r="1132" spans="1:42">
      <c r="A1132" t="s">
        <v>3986</v>
      </c>
      <c r="B1132" s="8"/>
      <c r="C1132" s="8" t="s">
        <v>3987</v>
      </c>
      <c r="D1132" s="8" t="s">
        <v>1886</v>
      </c>
      <c r="E1132" s="8" t="s">
        <v>94</v>
      </c>
      <c r="F1132" s="8" t="s">
        <v>1024</v>
      </c>
      <c r="G1132" s="8" t="s">
        <v>756</v>
      </c>
      <c r="H1132" s="9"/>
      <c r="I1132" s="9">
        <f>[1]!Tabel1[[#This Row],[Honorar]]*[1]!Tabel1[[#This Row],[Sandsynlighed]]</f>
        <v>24000</v>
      </c>
      <c r="J1132" s="10" t="s">
        <v>329</v>
      </c>
      <c r="K1132" s="10" t="s">
        <v>1191</v>
      </c>
      <c r="L1132" s="21"/>
      <c r="M1132" s="11">
        <v>0.5</v>
      </c>
      <c r="N1132" s="1"/>
      <c r="O1132" s="10">
        <v>46279.611157407409</v>
      </c>
      <c r="P1132" s="1" t="s">
        <v>72</v>
      </c>
      <c r="Q1132" s="1" t="s">
        <v>72</v>
      </c>
      <c r="R1132" s="8" t="s">
        <v>49</v>
      </c>
      <c r="S113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3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3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3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3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3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3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3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3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3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3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3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3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32" s="12">
        <f ca="1">[1]!Tabel1[[#This Row],[Vægtet Honorar]]*([1]!Tabel1[[#This Row],[Sidst redigeret]]&gt;TODAY()-40)*([1]!Tabel1[[#This Row],[Er i resplan?]]&lt;&gt;"Ja")*([1]!Tabel1[[#This Row],[Status]]="Pågår")</f>
        <v>0</v>
      </c>
      <c r="AG1132" s="12">
        <f ca="1">[1]!Tabel1[[#This Row],[Vægtet Honorar]]*([1]!Tabel1[[#This Row],[Sidst redigeret]]&gt;TODAY()-40)*([1]!Tabel1[[#This Row],[Status]]="Pågår")</f>
        <v>0</v>
      </c>
      <c r="AH1132" s="13"/>
      <c r="AI1132" s="12"/>
      <c r="AJ1132" s="12"/>
      <c r="AK1132" s="12"/>
      <c r="AL1132" s="12"/>
      <c r="AM1132" s="12"/>
      <c r="AN1132" s="12"/>
      <c r="AO1132" s="12"/>
      <c r="AP1132" s="12"/>
    </row>
    <row r="1133" spans="1:42">
      <c r="A1133" t="s">
        <v>3988</v>
      </c>
      <c r="B1133" s="8"/>
      <c r="C1133" s="8" t="s">
        <v>3989</v>
      </c>
      <c r="D1133" s="8" t="s">
        <v>2886</v>
      </c>
      <c r="E1133" s="8" t="s">
        <v>120</v>
      </c>
      <c r="F1133" s="8" t="s">
        <v>3990</v>
      </c>
      <c r="G1133" s="8" t="s">
        <v>3452</v>
      </c>
      <c r="H1133" s="9"/>
      <c r="I1133" s="9">
        <f>[1]!Tabel1[[#This Row],[Honorar]]*[1]!Tabel1[[#This Row],[Sandsynlighed]]</f>
        <v>24000</v>
      </c>
      <c r="J1133" s="10" t="s">
        <v>1287</v>
      </c>
      <c r="K1133" s="10" t="s">
        <v>1430</v>
      </c>
      <c r="L1133" s="21"/>
      <c r="M1133" s="11">
        <v>0.05</v>
      </c>
      <c r="N1133" s="1"/>
      <c r="O1133" s="10">
        <v>46279.611157407409</v>
      </c>
      <c r="P1133" s="10"/>
      <c r="Q1133" s="1" t="s">
        <v>72</v>
      </c>
      <c r="R1133" s="8" t="s">
        <v>75</v>
      </c>
      <c r="S113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3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3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3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3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3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3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3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3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3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3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3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3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33" s="12">
        <f ca="1">[1]!Tabel1[[#This Row],[Vægtet Honorar]]*([1]!Tabel1[[#This Row],[Sidst redigeret]]&gt;TODAY()-40)*([1]!Tabel1[[#This Row],[Er i resplan?]]&lt;&gt;"Ja")*([1]!Tabel1[[#This Row],[Status]]="Pågår")</f>
        <v>0</v>
      </c>
      <c r="AG1133" s="12">
        <f ca="1">[1]!Tabel1[[#This Row],[Vægtet Honorar]]*([1]!Tabel1[[#This Row],[Sidst redigeret]]&gt;TODAY()-40)*([1]!Tabel1[[#This Row],[Status]]="Pågår")</f>
        <v>0</v>
      </c>
      <c r="AH1133" s="13"/>
      <c r="AI1133" s="12"/>
      <c r="AJ1133" s="12" t="s">
        <v>3452</v>
      </c>
      <c r="AK1133" s="12"/>
      <c r="AL1133" s="12"/>
      <c r="AM1133" s="12"/>
      <c r="AN1133" s="12"/>
      <c r="AO1133" s="12"/>
      <c r="AP1133" s="12"/>
    </row>
    <row r="1134" spans="1:42">
      <c r="A1134" t="s">
        <v>3991</v>
      </c>
      <c r="B1134" s="8"/>
      <c r="C1134" s="8" t="s">
        <v>3992</v>
      </c>
      <c r="D1134" s="8" t="s">
        <v>70</v>
      </c>
      <c r="E1134" s="8" t="s">
        <v>102</v>
      </c>
      <c r="F1134" s="8" t="s">
        <v>3990</v>
      </c>
      <c r="G1134" s="8" t="s">
        <v>3993</v>
      </c>
      <c r="H1134" s="9"/>
      <c r="I1134" s="9">
        <f>[1]!Tabel1[[#This Row],[Honorar]]*[1]!Tabel1[[#This Row],[Sandsynlighed]]</f>
        <v>240000</v>
      </c>
      <c r="J1134" s="10" t="s">
        <v>329</v>
      </c>
      <c r="K1134" s="10" t="s">
        <v>1310</v>
      </c>
      <c r="L1134" s="21"/>
      <c r="M1134" s="11">
        <v>1</v>
      </c>
      <c r="N1134" s="1">
        <v>2415</v>
      </c>
      <c r="O1134" s="10">
        <v>46279.611157407409</v>
      </c>
      <c r="P1134" s="10"/>
      <c r="Q1134" s="1" t="s">
        <v>46</v>
      </c>
      <c r="R1134" s="8" t="s">
        <v>49</v>
      </c>
      <c r="S113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3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3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3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3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3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3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3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3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3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3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3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3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34" s="12">
        <f ca="1">[1]!Tabel1[[#This Row],[Vægtet Honorar]]*([1]!Tabel1[[#This Row],[Sidst redigeret]]&gt;TODAY()-40)*([1]!Tabel1[[#This Row],[Er i resplan?]]&lt;&gt;"Ja")*([1]!Tabel1[[#This Row],[Status]]="Pågår")</f>
        <v>0</v>
      </c>
      <c r="AG1134" s="12">
        <f ca="1">[1]!Tabel1[[#This Row],[Vægtet Honorar]]*([1]!Tabel1[[#This Row],[Sidst redigeret]]&gt;TODAY()-40)*([1]!Tabel1[[#This Row],[Status]]="Pågår")</f>
        <v>0</v>
      </c>
      <c r="AH1134" s="13"/>
      <c r="AI1134" s="12"/>
      <c r="AJ1134" s="12"/>
      <c r="AK1134" s="12"/>
      <c r="AL1134" s="12"/>
      <c r="AM1134" s="12"/>
      <c r="AN1134" s="12"/>
      <c r="AO1134" s="12"/>
      <c r="AP1134" s="12"/>
    </row>
    <row r="1135" spans="1:42">
      <c r="A1135" t="s">
        <v>3994</v>
      </c>
      <c r="B1135" s="8"/>
      <c r="C1135" s="8" t="s">
        <v>3995</v>
      </c>
      <c r="D1135" s="8" t="s">
        <v>203</v>
      </c>
      <c r="E1135" s="8" t="s">
        <v>167</v>
      </c>
      <c r="F1135" s="8" t="s">
        <v>2824</v>
      </c>
      <c r="G1135" s="8" t="s">
        <v>3996</v>
      </c>
      <c r="H1135" s="9">
        <v>10000000</v>
      </c>
      <c r="I1135" s="9">
        <f>[1]!Tabel1[[#This Row],[Honorar]]*[1]!Tabel1[[#This Row],[Sandsynlighed]]</f>
        <v>0</v>
      </c>
      <c r="J1135" s="10" t="s">
        <v>329</v>
      </c>
      <c r="K1135" s="10" t="s">
        <v>1310</v>
      </c>
      <c r="L1135" s="21"/>
      <c r="M1135" s="11">
        <v>1</v>
      </c>
      <c r="N1135" s="1">
        <v>16000</v>
      </c>
      <c r="O1135" s="10">
        <v>46279.611168981479</v>
      </c>
      <c r="P1135" s="10"/>
      <c r="Q1135" s="1" t="s">
        <v>72</v>
      </c>
      <c r="R1135" s="8" t="s">
        <v>47</v>
      </c>
      <c r="S113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3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3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3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3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3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3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3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3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3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3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3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3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35" s="12">
        <f ca="1">[1]!Tabel1[[#This Row],[Vægtet Honorar]]*([1]!Tabel1[[#This Row],[Sidst redigeret]]&gt;TODAY()-40)*([1]!Tabel1[[#This Row],[Er i resplan?]]&lt;&gt;"Ja")*([1]!Tabel1[[#This Row],[Status]]="Pågår")</f>
        <v>0</v>
      </c>
      <c r="AG1135" s="12">
        <f ca="1">[1]!Tabel1[[#This Row],[Vægtet Honorar]]*([1]!Tabel1[[#This Row],[Sidst redigeret]]&gt;TODAY()-40)*([1]!Tabel1[[#This Row],[Status]]="Pågår")</f>
        <v>0</v>
      </c>
      <c r="AH1135" s="13"/>
      <c r="AI1135" s="12"/>
      <c r="AJ1135" s="12" t="s">
        <v>1128</v>
      </c>
      <c r="AK1135" s="12"/>
      <c r="AL1135" s="12"/>
      <c r="AM1135" s="12"/>
      <c r="AN1135" s="12"/>
      <c r="AO1135" s="12"/>
      <c r="AP1135" s="12"/>
    </row>
    <row r="1136" spans="1:42">
      <c r="A1136" t="s">
        <v>3997</v>
      </c>
      <c r="B1136" s="8"/>
      <c r="C1136" s="8" t="s">
        <v>3998</v>
      </c>
      <c r="D1136" s="8" t="s">
        <v>2886</v>
      </c>
      <c r="E1136" s="8" t="s">
        <v>120</v>
      </c>
      <c r="F1136" s="8" t="s">
        <v>691</v>
      </c>
      <c r="G1136" s="8" t="s">
        <v>1620</v>
      </c>
      <c r="H1136" s="9">
        <v>500000</v>
      </c>
      <c r="I1136" s="9">
        <f>[1]!Tabel1[[#This Row],[Honorar]]*[1]!Tabel1[[#This Row],[Sandsynlighed]]</f>
        <v>0</v>
      </c>
      <c r="J1136" s="10" t="s">
        <v>329</v>
      </c>
      <c r="K1136" s="10" t="s">
        <v>1191</v>
      </c>
      <c r="L1136" s="21"/>
      <c r="M1136" s="11">
        <v>0.33</v>
      </c>
      <c r="N1136" s="1">
        <v>950</v>
      </c>
      <c r="O1136" s="10">
        <v>46279.611168981479</v>
      </c>
      <c r="P1136" s="10"/>
      <c r="Q1136" s="1" t="s">
        <v>46</v>
      </c>
      <c r="R1136" s="8" t="s">
        <v>75</v>
      </c>
      <c r="S113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3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3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3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3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3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3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3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3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3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3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3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3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36" s="12">
        <f ca="1">[1]!Tabel1[[#This Row],[Vægtet Honorar]]*([1]!Tabel1[[#This Row],[Sidst redigeret]]&gt;TODAY()-40)*([1]!Tabel1[[#This Row],[Er i resplan?]]&lt;&gt;"Ja")*([1]!Tabel1[[#This Row],[Status]]="Pågår")</f>
        <v>0</v>
      </c>
      <c r="AG1136" s="12">
        <f ca="1">[1]!Tabel1[[#This Row],[Vægtet Honorar]]*([1]!Tabel1[[#This Row],[Sidst redigeret]]&gt;TODAY()-40)*([1]!Tabel1[[#This Row],[Status]]="Pågår")</f>
        <v>0</v>
      </c>
      <c r="AH1136" s="13"/>
      <c r="AI1136" s="12"/>
      <c r="AJ1136" s="12" t="s">
        <v>1620</v>
      </c>
      <c r="AK1136" s="12"/>
      <c r="AL1136" s="12" t="s">
        <v>252</v>
      </c>
      <c r="AM1136" s="12"/>
      <c r="AN1136" s="12"/>
      <c r="AO1136" s="12"/>
      <c r="AP1136" s="12"/>
    </row>
    <row r="1137" spans="1:42" ht="57.75">
      <c r="A1137" t="s">
        <v>3999</v>
      </c>
      <c r="B1137" s="8"/>
      <c r="C1137" s="8" t="s">
        <v>4000</v>
      </c>
      <c r="D1137" s="8" t="s">
        <v>2886</v>
      </c>
      <c r="E1137" s="8" t="s">
        <v>120</v>
      </c>
      <c r="F1137" s="8"/>
      <c r="G1137" s="8" t="s">
        <v>4001</v>
      </c>
      <c r="H1137" s="9">
        <v>3000000</v>
      </c>
      <c r="I1137" s="9">
        <f>[1]!Tabel1[[#This Row],[Honorar]]*[1]!Tabel1[[#This Row],[Sandsynlighed]]</f>
        <v>0</v>
      </c>
      <c r="J1137" s="10" t="s">
        <v>1310</v>
      </c>
      <c r="K1137" s="10" t="s">
        <v>2405</v>
      </c>
      <c r="L1137" s="21" t="s">
        <v>4002</v>
      </c>
      <c r="M1137" s="11">
        <v>0.05</v>
      </c>
      <c r="N1137" s="1">
        <v>4000</v>
      </c>
      <c r="O1137" s="10">
        <v>46279.611168981479</v>
      </c>
      <c r="P1137" s="10"/>
      <c r="Q1137" s="1" t="s">
        <v>72</v>
      </c>
      <c r="R1137" s="8" t="s">
        <v>343</v>
      </c>
      <c r="S113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3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3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3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3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3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3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3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3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3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3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3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3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37" s="12">
        <f ca="1">[1]!Tabel1[[#This Row],[Vægtet Honorar]]*([1]!Tabel1[[#This Row],[Sidst redigeret]]&gt;TODAY()-40)*([1]!Tabel1[[#This Row],[Er i resplan?]]&lt;&gt;"Ja")*([1]!Tabel1[[#This Row],[Status]]="Pågår")</f>
        <v>0</v>
      </c>
      <c r="AG1137" s="12">
        <f ca="1">[1]!Tabel1[[#This Row],[Vægtet Honorar]]*([1]!Tabel1[[#This Row],[Sidst redigeret]]&gt;TODAY()-40)*([1]!Tabel1[[#This Row],[Status]]="Pågår")</f>
        <v>0</v>
      </c>
      <c r="AH1137" s="13"/>
      <c r="AI1137" s="12"/>
      <c r="AJ1137" s="12" t="s">
        <v>4003</v>
      </c>
      <c r="AK1137" s="12" t="s">
        <v>4004</v>
      </c>
      <c r="AL1137" s="12"/>
      <c r="AM1137" s="12"/>
      <c r="AN1137" s="12"/>
      <c r="AO1137" s="12"/>
      <c r="AP1137" s="12"/>
    </row>
    <row r="1138" spans="1:42" ht="314.25">
      <c r="A1138" t="s">
        <v>4005</v>
      </c>
      <c r="B1138" s="8"/>
      <c r="C1138" s="8" t="s">
        <v>4006</v>
      </c>
      <c r="D1138" s="8" t="s">
        <v>358</v>
      </c>
      <c r="E1138" s="8" t="s">
        <v>102</v>
      </c>
      <c r="F1138" s="8"/>
      <c r="G1138" s="8" t="s">
        <v>3706</v>
      </c>
      <c r="H1138" s="9">
        <v>1000000</v>
      </c>
      <c r="I1138" s="9">
        <f>[1]!Tabel1[[#This Row],[Honorar]]*[1]!Tabel1[[#This Row],[Sandsynlighed]]</f>
        <v>0</v>
      </c>
      <c r="J1138" s="10" t="s">
        <v>585</v>
      </c>
      <c r="K1138" s="10" t="s">
        <v>2405</v>
      </c>
      <c r="L1138" s="21" t="s">
        <v>4007</v>
      </c>
      <c r="M1138" s="11">
        <v>0.1</v>
      </c>
      <c r="N1138" s="1"/>
      <c r="O1138" s="10">
        <v>46279.611168981479</v>
      </c>
      <c r="P1138" s="10"/>
      <c r="Q1138" s="1" t="s">
        <v>72</v>
      </c>
      <c r="R1138" s="8" t="s">
        <v>49</v>
      </c>
      <c r="S113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3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3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3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3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3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3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3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3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3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3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3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3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38" s="12">
        <f ca="1">[1]!Tabel1[[#This Row],[Vægtet Honorar]]*([1]!Tabel1[[#This Row],[Sidst redigeret]]&gt;TODAY()-40)*([1]!Tabel1[[#This Row],[Er i resplan?]]&lt;&gt;"Ja")*([1]!Tabel1[[#This Row],[Status]]="Pågår")</f>
        <v>0</v>
      </c>
      <c r="AG1138" s="12">
        <f ca="1">[1]!Tabel1[[#This Row],[Vægtet Honorar]]*([1]!Tabel1[[#This Row],[Sidst redigeret]]&gt;TODAY()-40)*([1]!Tabel1[[#This Row],[Status]]="Pågår")</f>
        <v>0</v>
      </c>
      <c r="AH1138" s="13"/>
      <c r="AI1138" s="12"/>
      <c r="AJ1138" s="12" t="s">
        <v>4008</v>
      </c>
      <c r="AK1138" s="12"/>
      <c r="AL1138" s="12"/>
      <c r="AM1138" s="12"/>
      <c r="AN1138" s="12"/>
      <c r="AO1138" s="12"/>
      <c r="AP1138" s="12"/>
    </row>
    <row r="1139" spans="1:42">
      <c r="A1139" t="s">
        <v>4009</v>
      </c>
      <c r="B1139" s="8"/>
      <c r="C1139" s="8" t="s">
        <v>4010</v>
      </c>
      <c r="D1139" s="8" t="s">
        <v>2886</v>
      </c>
      <c r="E1139" s="8" t="s">
        <v>120</v>
      </c>
      <c r="F1139" s="8"/>
      <c r="G1139" s="8" t="s">
        <v>4011</v>
      </c>
      <c r="H1139" s="9">
        <v>150000</v>
      </c>
      <c r="I1139" s="9">
        <f>[1]!Tabel1[[#This Row],[Honorar]]*[1]!Tabel1[[#This Row],[Sandsynlighed]]</f>
        <v>0</v>
      </c>
      <c r="J1139" s="10" t="s">
        <v>329</v>
      </c>
      <c r="K1139" s="10" t="s">
        <v>1287</v>
      </c>
      <c r="L1139" s="21"/>
      <c r="M1139" s="11">
        <v>0.5</v>
      </c>
      <c r="N1139" s="1"/>
      <c r="O1139" s="10">
        <v>46279.611168981479</v>
      </c>
      <c r="P1139" s="10"/>
      <c r="Q1139" s="1" t="s">
        <v>46</v>
      </c>
      <c r="R1139" s="8" t="s">
        <v>47</v>
      </c>
      <c r="S113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3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3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3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3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3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3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3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3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3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3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3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3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39" s="12">
        <f ca="1">[1]!Tabel1[[#This Row],[Vægtet Honorar]]*([1]!Tabel1[[#This Row],[Sidst redigeret]]&gt;TODAY()-40)*([1]!Tabel1[[#This Row],[Er i resplan?]]&lt;&gt;"Ja")*([1]!Tabel1[[#This Row],[Status]]="Pågår")</f>
        <v>0</v>
      </c>
      <c r="AG1139" s="12">
        <f ca="1">[1]!Tabel1[[#This Row],[Vægtet Honorar]]*([1]!Tabel1[[#This Row],[Sidst redigeret]]&gt;TODAY()-40)*([1]!Tabel1[[#This Row],[Status]]="Pågår")</f>
        <v>0</v>
      </c>
      <c r="AH1139" s="13">
        <v>46269.495162037034</v>
      </c>
      <c r="AI1139" s="12" t="s">
        <v>4011</v>
      </c>
      <c r="AJ1139" s="12"/>
      <c r="AK1139" s="12"/>
      <c r="AL1139" s="12"/>
      <c r="AM1139" s="12"/>
      <c r="AN1139" s="12"/>
      <c r="AO1139" s="12"/>
      <c r="AP1139" s="12"/>
    </row>
    <row r="1140" spans="1:42" ht="43.5">
      <c r="A1140" t="s">
        <v>4012</v>
      </c>
      <c r="B1140" s="8"/>
      <c r="C1140" s="8" t="s">
        <v>4013</v>
      </c>
      <c r="D1140" s="8" t="s">
        <v>44</v>
      </c>
      <c r="E1140" s="8" t="s">
        <v>71</v>
      </c>
      <c r="F1140" s="8" t="s">
        <v>1247</v>
      </c>
      <c r="G1140" s="8" t="s">
        <v>1247</v>
      </c>
      <c r="H1140" s="9">
        <v>2000000</v>
      </c>
      <c r="I1140" s="9">
        <f>[1]!Tabel1[[#This Row],[Honorar]]*[1]!Tabel1[[#This Row],[Sandsynlighed]]</f>
        <v>10000000</v>
      </c>
      <c r="J1140" s="10" t="s">
        <v>1191</v>
      </c>
      <c r="K1140" s="10" t="s">
        <v>1323</v>
      </c>
      <c r="L1140" s="21" t="s">
        <v>4014</v>
      </c>
      <c r="M1140" s="11">
        <v>0.25</v>
      </c>
      <c r="N1140" s="1">
        <v>3000</v>
      </c>
      <c r="O1140" s="10">
        <v>46279.611168981479</v>
      </c>
      <c r="P1140" s="10" t="s">
        <v>46</v>
      </c>
      <c r="Q1140" s="1" t="s">
        <v>72</v>
      </c>
      <c r="R1140" s="8" t="s">
        <v>343</v>
      </c>
      <c r="S114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4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4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4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4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4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4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4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4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4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4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4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4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40" s="12">
        <f ca="1">[1]!Tabel1[[#This Row],[Vægtet Honorar]]*([1]!Tabel1[[#This Row],[Sidst redigeret]]&gt;TODAY()-40)*([1]!Tabel1[[#This Row],[Er i resplan?]]&lt;&gt;"Ja")*([1]!Tabel1[[#This Row],[Status]]="Pågår")</f>
        <v>0</v>
      </c>
      <c r="AG1140" s="12">
        <f ca="1">[1]!Tabel1[[#This Row],[Vægtet Honorar]]*([1]!Tabel1[[#This Row],[Sidst redigeret]]&gt;TODAY()-40)*([1]!Tabel1[[#This Row],[Status]]="Pågår")</f>
        <v>0</v>
      </c>
      <c r="AH1140" s="13"/>
      <c r="AI1140" s="12"/>
      <c r="AJ1140" s="12"/>
      <c r="AK1140" s="12"/>
      <c r="AL1140" s="12"/>
      <c r="AM1140" s="12"/>
      <c r="AN1140" s="12"/>
      <c r="AO1140" s="12"/>
      <c r="AP1140" s="12"/>
    </row>
    <row r="1141" spans="1:42">
      <c r="A1141" t="s">
        <v>4015</v>
      </c>
      <c r="B1141" s="8"/>
      <c r="C1141" s="8" t="s">
        <v>4016</v>
      </c>
      <c r="D1141" s="8" t="s">
        <v>44</v>
      </c>
      <c r="E1141" s="8" t="s">
        <v>71</v>
      </c>
      <c r="F1141" s="8" t="s">
        <v>1012</v>
      </c>
      <c r="G1141" s="8" t="s">
        <v>1012</v>
      </c>
      <c r="H1141" s="9">
        <v>2000000</v>
      </c>
      <c r="I1141" s="9">
        <f>[1]!Tabel1[[#This Row],[Honorar]]*[1]!Tabel1[[#This Row],[Sandsynlighed]]</f>
        <v>165000</v>
      </c>
      <c r="J1141" s="10" t="s">
        <v>1191</v>
      </c>
      <c r="K1141" s="10" t="s">
        <v>342</v>
      </c>
      <c r="L1141" s="21" t="s">
        <v>942</v>
      </c>
      <c r="M1141" s="11">
        <v>0.02</v>
      </c>
      <c r="N1141" s="1">
        <v>1000</v>
      </c>
      <c r="O1141" s="10">
        <v>46279.611168981479</v>
      </c>
      <c r="P1141" s="10"/>
      <c r="Q1141" s="1" t="s">
        <v>72</v>
      </c>
      <c r="R1141" s="8" t="s">
        <v>343</v>
      </c>
      <c r="S114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4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4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4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4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4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4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4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4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4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4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4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4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41" s="12">
        <f ca="1">[1]!Tabel1[[#This Row],[Vægtet Honorar]]*([1]!Tabel1[[#This Row],[Sidst redigeret]]&gt;TODAY()-40)*([1]!Tabel1[[#This Row],[Er i resplan?]]&lt;&gt;"Ja")*([1]!Tabel1[[#This Row],[Status]]="Pågår")</f>
        <v>0</v>
      </c>
      <c r="AG1141" s="12">
        <f ca="1">[1]!Tabel1[[#This Row],[Vægtet Honorar]]*([1]!Tabel1[[#This Row],[Sidst redigeret]]&gt;TODAY()-40)*([1]!Tabel1[[#This Row],[Status]]="Pågår")</f>
        <v>0</v>
      </c>
      <c r="AH1141" s="13"/>
      <c r="AI1141" s="12"/>
      <c r="AJ1141" s="12" t="s">
        <v>1008</v>
      </c>
      <c r="AK1141" s="12" t="s">
        <v>4017</v>
      </c>
      <c r="AL1141" s="12"/>
      <c r="AM1141" s="12"/>
      <c r="AN1141" s="12"/>
      <c r="AO1141" s="12"/>
      <c r="AP1141" s="12"/>
    </row>
    <row r="1142" spans="1:42">
      <c r="A1142" t="s">
        <v>4018</v>
      </c>
      <c r="B1142" s="8"/>
      <c r="C1142" s="8" t="s">
        <v>4019</v>
      </c>
      <c r="D1142" s="8" t="s">
        <v>720</v>
      </c>
      <c r="E1142" s="8" t="s">
        <v>71</v>
      </c>
      <c r="F1142" s="8" t="s">
        <v>1178</v>
      </c>
      <c r="G1142" s="8" t="s">
        <v>1170</v>
      </c>
      <c r="H1142" s="9">
        <v>1200000</v>
      </c>
      <c r="I1142" s="9">
        <f>[1]!Tabel1[[#This Row],[Honorar]]*[1]!Tabel1[[#This Row],[Sandsynlighed]]</f>
        <v>150000</v>
      </c>
      <c r="J1142" s="10" t="s">
        <v>341</v>
      </c>
      <c r="K1142" s="10" t="s">
        <v>2405</v>
      </c>
      <c r="L1142" s="21"/>
      <c r="M1142" s="11">
        <v>0.01</v>
      </c>
      <c r="N1142" s="1">
        <v>3000</v>
      </c>
      <c r="O1142" s="10">
        <v>46279.611168981479</v>
      </c>
      <c r="P1142" s="10"/>
      <c r="Q1142" s="1" t="s">
        <v>72</v>
      </c>
      <c r="R1142" s="8" t="s">
        <v>343</v>
      </c>
      <c r="S114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4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4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4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4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4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4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4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4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4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4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4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4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42" s="12">
        <f ca="1">[1]!Tabel1[[#This Row],[Vægtet Honorar]]*([1]!Tabel1[[#This Row],[Sidst redigeret]]&gt;TODAY()-40)*([1]!Tabel1[[#This Row],[Er i resplan?]]&lt;&gt;"Ja")*([1]!Tabel1[[#This Row],[Status]]="Pågår")</f>
        <v>150000</v>
      </c>
      <c r="AG1142" s="12">
        <f ca="1">[1]!Tabel1[[#This Row],[Vægtet Honorar]]*([1]!Tabel1[[#This Row],[Sidst redigeret]]&gt;TODAY()-40)*([1]!Tabel1[[#This Row],[Status]]="Pågår")</f>
        <v>150000</v>
      </c>
      <c r="AH1142" s="13"/>
      <c r="AI1142" s="12"/>
      <c r="AJ1142" s="12" t="s">
        <v>1864</v>
      </c>
      <c r="AK1142" s="12"/>
      <c r="AL1142" s="12"/>
      <c r="AM1142" s="12"/>
      <c r="AN1142" s="12"/>
      <c r="AO1142" s="12"/>
      <c r="AP1142" s="12"/>
    </row>
    <row r="1143" spans="1:42" ht="43.5">
      <c r="A1143" t="s">
        <v>4020</v>
      </c>
      <c r="B1143" s="8"/>
      <c r="C1143" s="8" t="s">
        <v>4021</v>
      </c>
      <c r="D1143" s="8" t="s">
        <v>720</v>
      </c>
      <c r="E1143" s="8" t="s">
        <v>71</v>
      </c>
      <c r="F1143" s="8" t="s">
        <v>2118</v>
      </c>
      <c r="G1143" s="8" t="s">
        <v>2118</v>
      </c>
      <c r="H1143" s="9">
        <v>2500000</v>
      </c>
      <c r="I1143" s="9">
        <f>[1]!Tabel1[[#This Row],[Honorar]]*[1]!Tabel1[[#This Row],[Sandsynlighed]]</f>
        <v>100000</v>
      </c>
      <c r="J1143" s="10" t="s">
        <v>341</v>
      </c>
      <c r="K1143" s="10" t="s">
        <v>2405</v>
      </c>
      <c r="L1143" s="21" t="s">
        <v>943</v>
      </c>
      <c r="M1143" s="11">
        <v>0</v>
      </c>
      <c r="N1143" s="1"/>
      <c r="O1143" s="10">
        <v>46279.611168981479</v>
      </c>
      <c r="P1143" s="10"/>
      <c r="Q1143" s="1" t="s">
        <v>72</v>
      </c>
      <c r="R1143" s="8" t="s">
        <v>49</v>
      </c>
      <c r="S114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4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4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4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4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4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4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4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4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4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4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4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4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43" s="12">
        <f ca="1">[1]!Tabel1[[#This Row],[Vægtet Honorar]]*([1]!Tabel1[[#This Row],[Sidst redigeret]]&gt;TODAY()-40)*([1]!Tabel1[[#This Row],[Er i resplan?]]&lt;&gt;"Ja")*([1]!Tabel1[[#This Row],[Status]]="Pågår")</f>
        <v>0</v>
      </c>
      <c r="AG1143" s="12">
        <f ca="1">[1]!Tabel1[[#This Row],[Vægtet Honorar]]*([1]!Tabel1[[#This Row],[Sidst redigeret]]&gt;TODAY()-40)*([1]!Tabel1[[#This Row],[Status]]="Pågår")</f>
        <v>0</v>
      </c>
      <c r="AH1143" s="13"/>
      <c r="AI1143" s="12"/>
      <c r="AJ1143" s="12" t="s">
        <v>4022</v>
      </c>
      <c r="AK1143" s="12"/>
      <c r="AL1143" s="12"/>
      <c r="AM1143" s="12"/>
      <c r="AN1143" s="12"/>
      <c r="AO1143" s="12"/>
      <c r="AP1143" s="12"/>
    </row>
    <row r="1144" spans="1:42" ht="43.5">
      <c r="A1144" t="s">
        <v>4023</v>
      </c>
      <c r="B1144" s="8"/>
      <c r="C1144" s="8" t="s">
        <v>4024</v>
      </c>
      <c r="D1144" s="8" t="s">
        <v>1771</v>
      </c>
      <c r="E1144" s="8" t="s">
        <v>167</v>
      </c>
      <c r="F1144" s="8" t="s">
        <v>4025</v>
      </c>
      <c r="G1144" s="8"/>
      <c r="H1144" s="9">
        <v>4000000</v>
      </c>
      <c r="I1144" s="9">
        <f>[1]!Tabel1[[#This Row],[Honorar]]*[1]!Tabel1[[#This Row],[Sandsynlighed]]</f>
        <v>75000</v>
      </c>
      <c r="J1144" s="10" t="s">
        <v>341</v>
      </c>
      <c r="K1144" s="10" t="s">
        <v>1861</v>
      </c>
      <c r="L1144" s="21" t="s">
        <v>4026</v>
      </c>
      <c r="M1144" s="11">
        <v>0.01</v>
      </c>
      <c r="N1144" s="1"/>
      <c r="O1144" s="10">
        <v>46279.611168981479</v>
      </c>
      <c r="P1144" s="10"/>
      <c r="Q1144" s="1" t="s">
        <v>72</v>
      </c>
      <c r="R1144" s="8" t="s">
        <v>343</v>
      </c>
      <c r="S114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4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4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4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4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4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4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4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4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4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4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4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4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44" s="12">
        <f ca="1">[1]!Tabel1[[#This Row],[Vægtet Honorar]]*([1]!Tabel1[[#This Row],[Sidst redigeret]]&gt;TODAY()-40)*([1]!Tabel1[[#This Row],[Er i resplan?]]&lt;&gt;"Ja")*([1]!Tabel1[[#This Row],[Status]]="Pågår")</f>
        <v>0</v>
      </c>
      <c r="AG1144" s="12">
        <f ca="1">[1]!Tabel1[[#This Row],[Vægtet Honorar]]*([1]!Tabel1[[#This Row],[Sidst redigeret]]&gt;TODAY()-40)*([1]!Tabel1[[#This Row],[Status]]="Pågår")</f>
        <v>0</v>
      </c>
      <c r="AH1144" s="13"/>
      <c r="AI1144" s="12"/>
      <c r="AJ1144" s="12" t="s">
        <v>4027</v>
      </c>
      <c r="AK1144" s="12"/>
      <c r="AL1144" s="12"/>
      <c r="AM1144" s="12"/>
      <c r="AN1144" s="12"/>
      <c r="AO1144" s="12"/>
      <c r="AP1144" s="12"/>
    </row>
    <row r="1145" spans="1:42">
      <c r="A1145" t="s">
        <v>4028</v>
      </c>
      <c r="B1145" s="8"/>
      <c r="C1145" s="8" t="s">
        <v>4029</v>
      </c>
      <c r="D1145" s="8" t="s">
        <v>158</v>
      </c>
      <c r="E1145" s="8" t="s">
        <v>167</v>
      </c>
      <c r="F1145" s="8" t="s">
        <v>4030</v>
      </c>
      <c r="G1145" s="8"/>
      <c r="H1145" s="9">
        <v>400000</v>
      </c>
      <c r="I1145" s="9">
        <f>[1]!Tabel1[[#This Row],[Honorar]]*[1]!Tabel1[[#This Row],[Sandsynlighed]]</f>
        <v>500000</v>
      </c>
      <c r="J1145" s="10" t="s">
        <v>1061</v>
      </c>
      <c r="K1145" s="10" t="s">
        <v>1191</v>
      </c>
      <c r="L1145" s="21"/>
      <c r="M1145" s="11">
        <v>0.8</v>
      </c>
      <c r="N1145" s="1"/>
      <c r="O1145" s="10">
        <v>46279.611168981479</v>
      </c>
      <c r="P1145" s="10"/>
      <c r="Q1145" s="1" t="s">
        <v>72</v>
      </c>
      <c r="R1145" s="8" t="s">
        <v>343</v>
      </c>
      <c r="S114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4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4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4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4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4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4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4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4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4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4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4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4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45" s="12">
        <f ca="1">[1]!Tabel1[[#This Row],[Vægtet Honorar]]*([1]!Tabel1[[#This Row],[Sidst redigeret]]&gt;TODAY()-40)*([1]!Tabel1[[#This Row],[Er i resplan?]]&lt;&gt;"Ja")*([1]!Tabel1[[#This Row],[Status]]="Pågår")</f>
        <v>500000</v>
      </c>
      <c r="AG1145" s="12">
        <f ca="1">[1]!Tabel1[[#This Row],[Vægtet Honorar]]*([1]!Tabel1[[#This Row],[Sidst redigeret]]&gt;TODAY()-40)*([1]!Tabel1[[#This Row],[Status]]="Pågår")</f>
        <v>500000</v>
      </c>
      <c r="AH1145" s="13"/>
      <c r="AI1145" s="12"/>
      <c r="AJ1145" s="12"/>
      <c r="AK1145" s="12"/>
      <c r="AL1145" s="12"/>
      <c r="AM1145" s="12"/>
      <c r="AN1145" s="12" t="s">
        <v>4031</v>
      </c>
      <c r="AO1145" s="12"/>
      <c r="AP1145" s="12"/>
    </row>
    <row r="1146" spans="1:42">
      <c r="A1146" t="s">
        <v>4032</v>
      </c>
      <c r="B1146" s="8"/>
      <c r="C1146" s="8" t="s">
        <v>4033</v>
      </c>
      <c r="D1146" s="8" t="s">
        <v>421</v>
      </c>
      <c r="E1146" s="8" t="s">
        <v>120</v>
      </c>
      <c r="F1146" s="8" t="s">
        <v>4034</v>
      </c>
      <c r="G1146" s="8" t="s">
        <v>4034</v>
      </c>
      <c r="H1146" s="9">
        <v>50000</v>
      </c>
      <c r="I1146" s="9">
        <f>[1]!Tabel1[[#This Row],[Honorar]]*[1]!Tabel1[[#This Row],[Sandsynlighed]]</f>
        <v>40000</v>
      </c>
      <c r="J1146" s="10" t="s">
        <v>329</v>
      </c>
      <c r="K1146" s="10" t="s">
        <v>1191</v>
      </c>
      <c r="L1146" s="21"/>
      <c r="M1146" s="11">
        <v>0.8</v>
      </c>
      <c r="N1146" s="1"/>
      <c r="O1146" s="10">
        <v>46279.611168981479</v>
      </c>
      <c r="P1146" s="10"/>
      <c r="Q1146" s="1" t="s">
        <v>46</v>
      </c>
      <c r="R1146" s="8" t="s">
        <v>47</v>
      </c>
      <c r="S114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4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4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4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4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4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4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4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4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4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4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4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4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46" s="12">
        <f ca="1">[1]!Tabel1[[#This Row],[Vægtet Honorar]]*([1]!Tabel1[[#This Row],[Sidst redigeret]]&gt;TODAY()-40)*([1]!Tabel1[[#This Row],[Er i resplan?]]&lt;&gt;"Ja")*([1]!Tabel1[[#This Row],[Status]]="Pågår")</f>
        <v>40000</v>
      </c>
      <c r="AG1146" s="12">
        <f ca="1">[1]!Tabel1[[#This Row],[Vægtet Honorar]]*([1]!Tabel1[[#This Row],[Sidst redigeret]]&gt;TODAY()-40)*([1]!Tabel1[[#This Row],[Status]]="Pågår")</f>
        <v>40000</v>
      </c>
      <c r="AH1146" s="13">
        <v>46269.49523148148</v>
      </c>
      <c r="AI1146" s="12"/>
      <c r="AJ1146" s="12" t="s">
        <v>2393</v>
      </c>
      <c r="AK1146" s="12"/>
      <c r="AL1146" s="12"/>
      <c r="AM1146" s="12"/>
      <c r="AN1146" s="12"/>
      <c r="AO1146" s="12"/>
      <c r="AP1146" s="12"/>
    </row>
    <row r="1147" spans="1:42">
      <c r="A1147" t="s">
        <v>4035</v>
      </c>
      <c r="B1147" s="8"/>
      <c r="C1147" s="8" t="s">
        <v>4033</v>
      </c>
      <c r="D1147" s="8" t="s">
        <v>421</v>
      </c>
      <c r="E1147" s="8" t="s">
        <v>120</v>
      </c>
      <c r="F1147" s="8" t="s">
        <v>4034</v>
      </c>
      <c r="G1147" s="8" t="s">
        <v>4034</v>
      </c>
      <c r="H1147" s="9">
        <v>50000</v>
      </c>
      <c r="I1147" s="9">
        <f>[1]!Tabel1[[#This Row],[Honorar]]*[1]!Tabel1[[#This Row],[Sandsynlighed]]</f>
        <v>12000</v>
      </c>
      <c r="J1147" s="10" t="s">
        <v>329</v>
      </c>
      <c r="K1147" s="10" t="s">
        <v>1191</v>
      </c>
      <c r="L1147" s="21"/>
      <c r="M1147" s="11">
        <v>0.8</v>
      </c>
      <c r="N1147" s="1"/>
      <c r="O1147" s="10">
        <v>46279.611168981479</v>
      </c>
      <c r="P1147" s="10"/>
      <c r="Q1147" s="1" t="s">
        <v>72</v>
      </c>
      <c r="R1147" s="8" t="s">
        <v>47</v>
      </c>
      <c r="S114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4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4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4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4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4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4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4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4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4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4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4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4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47" s="12">
        <f ca="1">[1]!Tabel1[[#This Row],[Vægtet Honorar]]*([1]!Tabel1[[#This Row],[Sidst redigeret]]&gt;TODAY()-40)*([1]!Tabel1[[#This Row],[Er i resplan?]]&lt;&gt;"Ja")*([1]!Tabel1[[#This Row],[Status]]="Pågår")</f>
        <v>12000</v>
      </c>
      <c r="AG1147" s="12">
        <f ca="1">[1]!Tabel1[[#This Row],[Vægtet Honorar]]*([1]!Tabel1[[#This Row],[Sidst redigeret]]&gt;TODAY()-40)*([1]!Tabel1[[#This Row],[Status]]="Pågår")</f>
        <v>12000</v>
      </c>
      <c r="AH1147" s="13">
        <v>46269.495266203703</v>
      </c>
      <c r="AI1147" s="12"/>
      <c r="AJ1147" s="12" t="s">
        <v>2393</v>
      </c>
      <c r="AK1147" s="12"/>
      <c r="AL1147" s="12"/>
      <c r="AM1147" s="12"/>
      <c r="AN1147" s="12"/>
      <c r="AO1147" s="12"/>
      <c r="AP1147" s="12"/>
    </row>
    <row r="1148" spans="1:42">
      <c r="A1148" t="s">
        <v>4036</v>
      </c>
      <c r="B1148" s="8"/>
      <c r="C1148" s="8" t="s">
        <v>3987</v>
      </c>
      <c r="D1148" s="8" t="s">
        <v>421</v>
      </c>
      <c r="E1148" s="8" t="s">
        <v>120</v>
      </c>
      <c r="F1148" s="8" t="s">
        <v>4034</v>
      </c>
      <c r="G1148" s="8" t="s">
        <v>756</v>
      </c>
      <c r="H1148" s="9">
        <v>450000</v>
      </c>
      <c r="I1148" s="9">
        <f>[1]!Tabel1[[#This Row],[Honorar]]*[1]!Tabel1[[#This Row],[Sandsynlighed]]</f>
        <v>0</v>
      </c>
      <c r="J1148" s="10" t="s">
        <v>329</v>
      </c>
      <c r="K1148" s="10" t="s">
        <v>341</v>
      </c>
      <c r="L1148" s="21"/>
      <c r="M1148" s="11">
        <v>0.5</v>
      </c>
      <c r="N1148" s="1">
        <v>250</v>
      </c>
      <c r="O1148" s="10">
        <v>46279.611168981479</v>
      </c>
      <c r="P1148" s="10"/>
      <c r="Q1148" s="1" t="s">
        <v>46</v>
      </c>
      <c r="R1148" s="8" t="s">
        <v>47</v>
      </c>
      <c r="S114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4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4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4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4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4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4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4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4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4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4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4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4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48" s="12">
        <f ca="1">[1]!Tabel1[[#This Row],[Vægtet Honorar]]*([1]!Tabel1[[#This Row],[Sidst redigeret]]&gt;TODAY()-40)*([1]!Tabel1[[#This Row],[Er i resplan?]]&lt;&gt;"Ja")*([1]!Tabel1[[#This Row],[Status]]="Pågår")</f>
        <v>0</v>
      </c>
      <c r="AG1148" s="12">
        <f ca="1">[1]!Tabel1[[#This Row],[Vægtet Honorar]]*([1]!Tabel1[[#This Row],[Sidst redigeret]]&gt;TODAY()-40)*([1]!Tabel1[[#This Row],[Status]]="Pågår")</f>
        <v>0</v>
      </c>
      <c r="AH1148" s="13"/>
      <c r="AI1148" s="12"/>
      <c r="AJ1148" s="12" t="s">
        <v>754</v>
      </c>
      <c r="AK1148" s="12"/>
      <c r="AL1148" s="12"/>
      <c r="AM1148" s="12"/>
      <c r="AN1148" s="12"/>
      <c r="AO1148" s="12"/>
      <c r="AP1148" s="12"/>
    </row>
    <row r="1149" spans="1:42">
      <c r="A1149" t="s">
        <v>4037</v>
      </c>
      <c r="B1149" s="8"/>
      <c r="C1149" s="8" t="s">
        <v>4038</v>
      </c>
      <c r="D1149" s="8" t="s">
        <v>65</v>
      </c>
      <c r="E1149" s="8" t="s">
        <v>167</v>
      </c>
      <c r="F1149" s="8" t="s">
        <v>4039</v>
      </c>
      <c r="G1149" s="8" t="s">
        <v>4040</v>
      </c>
      <c r="H1149" s="9">
        <v>450000</v>
      </c>
      <c r="I1149" s="9">
        <f>[1]!Tabel1[[#This Row],[Honorar]]*[1]!Tabel1[[#This Row],[Sandsynlighed]]</f>
        <v>40000</v>
      </c>
      <c r="J1149" s="10" t="s">
        <v>329</v>
      </c>
      <c r="K1149" s="10" t="s">
        <v>342</v>
      </c>
      <c r="L1149" s="21"/>
      <c r="M1149" s="11">
        <v>0.5</v>
      </c>
      <c r="N1149" s="1"/>
      <c r="O1149" s="10">
        <v>46279.611168981479</v>
      </c>
      <c r="P1149" s="10"/>
      <c r="Q1149" s="1" t="s">
        <v>72</v>
      </c>
      <c r="R1149" s="8" t="s">
        <v>343</v>
      </c>
      <c r="S114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4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4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4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4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4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4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4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4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4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4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4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4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49" s="12">
        <f ca="1">[1]!Tabel1[[#This Row],[Vægtet Honorar]]*([1]!Tabel1[[#This Row],[Sidst redigeret]]&gt;TODAY()-40)*([1]!Tabel1[[#This Row],[Er i resplan?]]&lt;&gt;"Ja")*([1]!Tabel1[[#This Row],[Status]]="Pågår")</f>
        <v>40000</v>
      </c>
      <c r="AG1149" s="12">
        <f ca="1">[1]!Tabel1[[#This Row],[Vægtet Honorar]]*([1]!Tabel1[[#This Row],[Sidst redigeret]]&gt;TODAY()-40)*([1]!Tabel1[[#This Row],[Status]]="Pågår")</f>
        <v>40000</v>
      </c>
      <c r="AH1149" s="13"/>
      <c r="AI1149" s="12"/>
      <c r="AJ1149" s="12"/>
      <c r="AK1149" s="12"/>
      <c r="AL1149" s="12"/>
      <c r="AM1149" s="12"/>
      <c r="AN1149" s="12"/>
      <c r="AO1149" s="12"/>
      <c r="AP1149" s="12"/>
    </row>
    <row r="1150" spans="1:42" ht="43.5">
      <c r="A1150" t="s">
        <v>4041</v>
      </c>
      <c r="B1150" s="8"/>
      <c r="C1150" s="8" t="s">
        <v>4042</v>
      </c>
      <c r="D1150" s="8" t="s">
        <v>720</v>
      </c>
      <c r="E1150" s="8" t="s">
        <v>71</v>
      </c>
      <c r="F1150" s="8" t="s">
        <v>4043</v>
      </c>
      <c r="G1150" s="8" t="s">
        <v>4043</v>
      </c>
      <c r="H1150" s="9">
        <v>3000000</v>
      </c>
      <c r="I1150" s="9">
        <f>[1]!Tabel1[[#This Row],[Honorar]]*[1]!Tabel1[[#This Row],[Sandsynlighed]]</f>
        <v>320000</v>
      </c>
      <c r="J1150" s="10" t="s">
        <v>341</v>
      </c>
      <c r="K1150" s="10" t="s">
        <v>1062</v>
      </c>
      <c r="L1150" s="21" t="s">
        <v>4044</v>
      </c>
      <c r="M1150" s="11">
        <v>0.01</v>
      </c>
      <c r="N1150" s="1">
        <v>17000</v>
      </c>
      <c r="O1150" s="10">
        <v>46279.611168981479</v>
      </c>
      <c r="P1150" s="10"/>
      <c r="Q1150" s="1" t="s">
        <v>72</v>
      </c>
      <c r="R1150" s="8" t="s">
        <v>343</v>
      </c>
      <c r="S115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5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5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5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5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5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5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5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5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5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5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5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5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50" s="12">
        <f ca="1">[1]!Tabel1[[#This Row],[Vægtet Honorar]]*([1]!Tabel1[[#This Row],[Sidst redigeret]]&gt;TODAY()-40)*([1]!Tabel1[[#This Row],[Er i resplan?]]&lt;&gt;"Ja")*([1]!Tabel1[[#This Row],[Status]]="Pågår")</f>
        <v>320000</v>
      </c>
      <c r="AG1150" s="12">
        <f ca="1">[1]!Tabel1[[#This Row],[Vægtet Honorar]]*([1]!Tabel1[[#This Row],[Sidst redigeret]]&gt;TODAY()-40)*([1]!Tabel1[[#This Row],[Status]]="Pågår")</f>
        <v>320000</v>
      </c>
      <c r="AH1150" s="13"/>
      <c r="AI1150" s="12"/>
      <c r="AJ1150" s="12" t="s">
        <v>3082</v>
      </c>
      <c r="AK1150" s="12"/>
      <c r="AL1150" s="12" t="s">
        <v>3800</v>
      </c>
      <c r="AM1150" s="12"/>
      <c r="AN1150" s="12"/>
      <c r="AO1150" s="12"/>
      <c r="AP1150" s="12"/>
    </row>
    <row r="1151" spans="1:42" ht="72">
      <c r="A1151" t="s">
        <v>4045</v>
      </c>
      <c r="B1151" s="8">
        <v>251184</v>
      </c>
      <c r="C1151" s="8" t="s">
        <v>4046</v>
      </c>
      <c r="D1151" s="8" t="s">
        <v>1886</v>
      </c>
      <c r="E1151" s="8" t="s">
        <v>94</v>
      </c>
      <c r="F1151" s="8" t="s">
        <v>4047</v>
      </c>
      <c r="G1151" s="8" t="s">
        <v>2274</v>
      </c>
      <c r="H1151" s="9">
        <v>20000</v>
      </c>
      <c r="I1151" s="9">
        <f>[1]!Tabel1[[#This Row],[Honorar]]*[1]!Tabel1[[#This Row],[Sandsynlighed]]</f>
        <v>40000</v>
      </c>
      <c r="J1151" s="10" t="s">
        <v>329</v>
      </c>
      <c r="K1151" s="10" t="s">
        <v>1287</v>
      </c>
      <c r="L1151" s="21" t="s">
        <v>4048</v>
      </c>
      <c r="M1151" s="11">
        <v>0.75</v>
      </c>
      <c r="N1151" s="1">
        <v>78</v>
      </c>
      <c r="O1151" s="10">
        <v>46279.611168981479</v>
      </c>
      <c r="P1151" s="1" t="s">
        <v>72</v>
      </c>
      <c r="Q1151" s="1" t="s">
        <v>72</v>
      </c>
      <c r="R1151" s="8" t="s">
        <v>47</v>
      </c>
      <c r="S115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5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5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5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5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5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5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5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5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5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5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5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5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51" s="12">
        <f ca="1">[1]!Tabel1[[#This Row],[Vægtet Honorar]]*([1]!Tabel1[[#This Row],[Sidst redigeret]]&gt;TODAY()-40)*([1]!Tabel1[[#This Row],[Er i resplan?]]&lt;&gt;"Ja")*([1]!Tabel1[[#This Row],[Status]]="Pågår")</f>
        <v>0</v>
      </c>
      <c r="AG1151" s="12">
        <f ca="1">[1]!Tabel1[[#This Row],[Vægtet Honorar]]*([1]!Tabel1[[#This Row],[Sidst redigeret]]&gt;TODAY()-40)*([1]!Tabel1[[#This Row],[Status]]="Pågår")</f>
        <v>0</v>
      </c>
      <c r="AH1151" s="13">
        <v>45719</v>
      </c>
      <c r="AI1151" s="12"/>
      <c r="AJ1151" s="12"/>
      <c r="AK1151" s="12"/>
      <c r="AL1151" s="12"/>
      <c r="AM1151" s="12"/>
      <c r="AN1151" s="12"/>
      <c r="AO1151" s="12"/>
      <c r="AP1151" s="12"/>
    </row>
    <row r="1152" spans="1:42" ht="43.5">
      <c r="A1152" t="s">
        <v>4049</v>
      </c>
      <c r="B1152" s="8"/>
      <c r="C1152" s="8" t="s">
        <v>4050</v>
      </c>
      <c r="D1152" s="8" t="s">
        <v>421</v>
      </c>
      <c r="E1152" s="8" t="s">
        <v>120</v>
      </c>
      <c r="F1152" s="8" t="s">
        <v>4051</v>
      </c>
      <c r="G1152" s="8" t="s">
        <v>2393</v>
      </c>
      <c r="H1152" s="9">
        <v>2500000</v>
      </c>
      <c r="I1152" s="9">
        <f>[1]!Tabel1[[#This Row],[Honorar]]*[1]!Tabel1[[#This Row],[Sandsynlighed]]</f>
        <v>40000</v>
      </c>
      <c r="J1152" s="10" t="s">
        <v>342</v>
      </c>
      <c r="K1152" s="10" t="s">
        <v>1323</v>
      </c>
      <c r="L1152" s="21" t="s">
        <v>4052</v>
      </c>
      <c r="M1152" s="11">
        <v>0.25</v>
      </c>
      <c r="N1152" s="1">
        <v>50000</v>
      </c>
      <c r="O1152" s="10">
        <v>46279.611168981479</v>
      </c>
      <c r="P1152" s="10"/>
      <c r="Q1152" s="1" t="s">
        <v>46</v>
      </c>
      <c r="R1152" s="8" t="s">
        <v>47</v>
      </c>
      <c r="S115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5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5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5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5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5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5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5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5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5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5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5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5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52" s="12">
        <f ca="1">[1]!Tabel1[[#This Row],[Vægtet Honorar]]*([1]!Tabel1[[#This Row],[Sidst redigeret]]&gt;TODAY()-40)*([1]!Tabel1[[#This Row],[Er i resplan?]]&lt;&gt;"Ja")*([1]!Tabel1[[#This Row],[Status]]="Pågår")</f>
        <v>0</v>
      </c>
      <c r="AG1152" s="12">
        <f ca="1">[1]!Tabel1[[#This Row],[Vægtet Honorar]]*([1]!Tabel1[[#This Row],[Sidst redigeret]]&gt;TODAY()-40)*([1]!Tabel1[[#This Row],[Status]]="Pågår")</f>
        <v>0</v>
      </c>
      <c r="AH1152" s="13">
        <v>46269.495347222219</v>
      </c>
      <c r="AI1152" s="12"/>
      <c r="AJ1152" s="12"/>
      <c r="AK1152" s="12"/>
      <c r="AL1152" s="12"/>
      <c r="AM1152" s="12"/>
      <c r="AN1152" s="12"/>
      <c r="AO1152" s="12"/>
      <c r="AP1152" s="12"/>
    </row>
    <row r="1153" spans="1:42" ht="157.5">
      <c r="A1153" t="s">
        <v>4053</v>
      </c>
      <c r="B1153" s="8"/>
      <c r="C1153" s="8" t="s">
        <v>4054</v>
      </c>
      <c r="D1153" s="8" t="s">
        <v>896</v>
      </c>
      <c r="E1153" s="8" t="s">
        <v>94</v>
      </c>
      <c r="F1153" s="8" t="s">
        <v>4055</v>
      </c>
      <c r="G1153" s="8" t="s">
        <v>213</v>
      </c>
      <c r="H1153" s="9">
        <v>7000000</v>
      </c>
      <c r="I1153" s="9">
        <f>[1]!Tabel1[[#This Row],[Honorar]]*[1]!Tabel1[[#This Row],[Sandsynlighed]]</f>
        <v>225000</v>
      </c>
      <c r="J1153" s="10" t="s">
        <v>341</v>
      </c>
      <c r="K1153" s="10" t="s">
        <v>1062</v>
      </c>
      <c r="L1153" s="21" t="s">
        <v>4056</v>
      </c>
      <c r="M1153" s="11">
        <v>0.01</v>
      </c>
      <c r="N1153" s="1">
        <v>5000</v>
      </c>
      <c r="O1153" s="10">
        <v>46279.611168981479</v>
      </c>
      <c r="P1153" s="1" t="s">
        <v>72</v>
      </c>
      <c r="Q1153" s="1" t="s">
        <v>72</v>
      </c>
      <c r="R1153" s="8" t="s">
        <v>49</v>
      </c>
      <c r="S115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5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5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5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5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5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5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5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5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5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5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5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5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53" s="12">
        <f ca="1">[1]!Tabel1[[#This Row],[Vægtet Honorar]]*([1]!Tabel1[[#This Row],[Sidst redigeret]]&gt;TODAY()-40)*([1]!Tabel1[[#This Row],[Er i resplan?]]&lt;&gt;"Ja")*([1]!Tabel1[[#This Row],[Status]]="Pågår")</f>
        <v>0</v>
      </c>
      <c r="AG1153" s="12">
        <f ca="1">[1]!Tabel1[[#This Row],[Vægtet Honorar]]*([1]!Tabel1[[#This Row],[Sidst redigeret]]&gt;TODAY()-40)*([1]!Tabel1[[#This Row],[Status]]="Pågår")</f>
        <v>0</v>
      </c>
      <c r="AH1153" s="13"/>
      <c r="AI1153" s="12"/>
      <c r="AJ1153" s="12" t="s">
        <v>213</v>
      </c>
      <c r="AK1153" s="12"/>
      <c r="AL1153" s="12"/>
      <c r="AM1153" s="12"/>
      <c r="AN1153" s="12" t="s">
        <v>4057</v>
      </c>
      <c r="AO1153" s="12"/>
      <c r="AP1153" s="12"/>
    </row>
    <row r="1154" spans="1:42" ht="43.5">
      <c r="A1154" t="s">
        <v>4058</v>
      </c>
      <c r="B1154" s="8"/>
      <c r="C1154" s="8" t="s">
        <v>4059</v>
      </c>
      <c r="D1154" s="8" t="s">
        <v>44</v>
      </c>
      <c r="E1154" s="8" t="s">
        <v>71</v>
      </c>
      <c r="F1154" s="8" t="s">
        <v>4060</v>
      </c>
      <c r="G1154" s="8" t="s">
        <v>4060</v>
      </c>
      <c r="H1154" s="9">
        <v>500000</v>
      </c>
      <c r="I1154" s="9">
        <f>[1]!Tabel1[[#This Row],[Honorar]]*[1]!Tabel1[[#This Row],[Sandsynlighed]]</f>
        <v>225000</v>
      </c>
      <c r="J1154" s="10" t="s">
        <v>329</v>
      </c>
      <c r="K1154" s="10" t="s">
        <v>1310</v>
      </c>
      <c r="L1154" s="21" t="s">
        <v>4061</v>
      </c>
      <c r="M1154" s="11">
        <v>0</v>
      </c>
      <c r="N1154" s="1">
        <v>1500</v>
      </c>
      <c r="O1154" s="10">
        <v>46279.611168981479</v>
      </c>
      <c r="P1154" s="10"/>
      <c r="Q1154" s="1" t="s">
        <v>72</v>
      </c>
      <c r="R1154" s="8" t="s">
        <v>49</v>
      </c>
      <c r="S115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5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5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5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5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5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5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5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5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5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5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5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5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54" s="12">
        <f ca="1">[1]!Tabel1[[#This Row],[Vægtet Honorar]]*([1]!Tabel1[[#This Row],[Sidst redigeret]]&gt;TODAY()-40)*([1]!Tabel1[[#This Row],[Er i resplan?]]&lt;&gt;"Ja")*([1]!Tabel1[[#This Row],[Status]]="Pågår")</f>
        <v>225000</v>
      </c>
      <c r="AG1154" s="12">
        <f ca="1">[1]!Tabel1[[#This Row],[Vægtet Honorar]]*([1]!Tabel1[[#This Row],[Sidst redigeret]]&gt;TODAY()-40)*([1]!Tabel1[[#This Row],[Status]]="Pågår")</f>
        <v>225000</v>
      </c>
      <c r="AH1154" s="13"/>
      <c r="AI1154" s="12"/>
      <c r="AJ1154" s="12"/>
      <c r="AK1154" s="12"/>
      <c r="AL1154" s="12"/>
      <c r="AM1154" s="12"/>
      <c r="AN1154" s="12"/>
      <c r="AO1154" s="12"/>
      <c r="AP1154" s="12"/>
    </row>
    <row r="1155" spans="1:42" ht="186">
      <c r="A1155" t="s">
        <v>4062</v>
      </c>
      <c r="B1155" s="8"/>
      <c r="C1155" s="8" t="s">
        <v>4063</v>
      </c>
      <c r="D1155" s="8" t="s">
        <v>896</v>
      </c>
      <c r="E1155" s="8" t="s">
        <v>94</v>
      </c>
      <c r="F1155" s="8" t="s">
        <v>2003</v>
      </c>
      <c r="G1155" s="8" t="s">
        <v>2917</v>
      </c>
      <c r="H1155" s="9">
        <v>5000000</v>
      </c>
      <c r="I1155" s="9">
        <f>[1]!Tabel1[[#This Row],[Honorar]]*[1]!Tabel1[[#This Row],[Sandsynlighed]]</f>
        <v>30000</v>
      </c>
      <c r="J1155" s="10" t="s">
        <v>341</v>
      </c>
      <c r="K1155" s="10" t="s">
        <v>1709</v>
      </c>
      <c r="L1155" s="21" t="s">
        <v>4064</v>
      </c>
      <c r="M1155" s="11">
        <v>0.01</v>
      </c>
      <c r="N1155" s="1">
        <v>4000</v>
      </c>
      <c r="O1155" s="10">
        <v>46279.611168981479</v>
      </c>
      <c r="P1155" s="1" t="s">
        <v>72</v>
      </c>
      <c r="Q1155" s="1" t="s">
        <v>72</v>
      </c>
      <c r="R1155" s="8" t="s">
        <v>49</v>
      </c>
      <c r="S115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5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5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5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5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5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5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5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5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5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5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5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5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55" s="12">
        <f ca="1">[1]!Tabel1[[#This Row],[Vægtet Honorar]]*([1]!Tabel1[[#This Row],[Sidst redigeret]]&gt;TODAY()-40)*([1]!Tabel1[[#This Row],[Er i resplan?]]&lt;&gt;"Ja")*([1]!Tabel1[[#This Row],[Status]]="Pågår")</f>
        <v>30000</v>
      </c>
      <c r="AG1155" s="12">
        <f ca="1">[1]!Tabel1[[#This Row],[Vægtet Honorar]]*([1]!Tabel1[[#This Row],[Sidst redigeret]]&gt;TODAY()-40)*([1]!Tabel1[[#This Row],[Status]]="Pågår")</f>
        <v>30000</v>
      </c>
      <c r="AH1155" s="13"/>
      <c r="AI1155" s="12"/>
      <c r="AJ1155" s="12" t="s">
        <v>2917</v>
      </c>
      <c r="AK1155" s="12"/>
      <c r="AL1155" s="12"/>
      <c r="AM1155" s="12"/>
      <c r="AN1155" s="12"/>
      <c r="AO1155" s="12"/>
      <c r="AP1155" s="12"/>
    </row>
    <row r="1156" spans="1:42" ht="129">
      <c r="A1156" t="s">
        <v>4065</v>
      </c>
      <c r="B1156" s="8"/>
      <c r="C1156" s="8" t="s">
        <v>4066</v>
      </c>
      <c r="D1156" s="8" t="s">
        <v>896</v>
      </c>
      <c r="E1156" s="8" t="s">
        <v>94</v>
      </c>
      <c r="F1156" s="8" t="s">
        <v>589</v>
      </c>
      <c r="G1156" s="8" t="s">
        <v>1100</v>
      </c>
      <c r="H1156" s="9">
        <v>15000000</v>
      </c>
      <c r="I1156" s="9">
        <f>[1]!Tabel1[[#This Row],[Honorar]]*[1]!Tabel1[[#This Row],[Sandsynlighed]]</f>
        <v>15000</v>
      </c>
      <c r="J1156" s="10" t="s">
        <v>1062</v>
      </c>
      <c r="K1156" s="10" t="s">
        <v>1709</v>
      </c>
      <c r="L1156" s="21" t="s">
        <v>4067</v>
      </c>
      <c r="M1156" s="11">
        <v>0.01</v>
      </c>
      <c r="N1156" s="1">
        <v>18000</v>
      </c>
      <c r="O1156" s="10">
        <v>46279.611168981479</v>
      </c>
      <c r="P1156" s="1" t="s">
        <v>46</v>
      </c>
      <c r="Q1156" s="1" t="s">
        <v>72</v>
      </c>
      <c r="R1156" s="8" t="s">
        <v>343</v>
      </c>
      <c r="S115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5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5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5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5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5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5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5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5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5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5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5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5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56" s="12">
        <f ca="1">[1]!Tabel1[[#This Row],[Vægtet Honorar]]*([1]!Tabel1[[#This Row],[Sidst redigeret]]&gt;TODAY()-40)*([1]!Tabel1[[#This Row],[Er i resplan?]]&lt;&gt;"Ja")*([1]!Tabel1[[#This Row],[Status]]="Pågår")</f>
        <v>0</v>
      </c>
      <c r="AG1156" s="12">
        <f ca="1">[1]!Tabel1[[#This Row],[Vægtet Honorar]]*([1]!Tabel1[[#This Row],[Sidst redigeret]]&gt;TODAY()-40)*([1]!Tabel1[[#This Row],[Status]]="Pågår")</f>
        <v>0</v>
      </c>
      <c r="AH1156" s="13"/>
      <c r="AI1156" s="12" t="s">
        <v>4068</v>
      </c>
      <c r="AJ1156" s="12" t="s">
        <v>4069</v>
      </c>
      <c r="AK1156" s="12"/>
      <c r="AL1156" s="12"/>
      <c r="AM1156" s="12"/>
      <c r="AN1156" s="12"/>
      <c r="AO1156" s="12"/>
      <c r="AP1156" s="12"/>
    </row>
    <row r="1157" spans="1:42" ht="143.25">
      <c r="A1157" t="s">
        <v>4070</v>
      </c>
      <c r="B1157" s="8"/>
      <c r="C1157" s="8" t="s">
        <v>4071</v>
      </c>
      <c r="D1157" s="8" t="s">
        <v>896</v>
      </c>
      <c r="E1157" s="8" t="s">
        <v>94</v>
      </c>
      <c r="F1157" s="8" t="s">
        <v>589</v>
      </c>
      <c r="G1157" s="8" t="s">
        <v>4072</v>
      </c>
      <c r="H1157" s="9">
        <v>5000000</v>
      </c>
      <c r="I1157" s="9">
        <f>[1]!Tabel1[[#This Row],[Honorar]]*[1]!Tabel1[[#This Row],[Sandsynlighed]]</f>
        <v>625000</v>
      </c>
      <c r="J1157" s="10" t="s">
        <v>341</v>
      </c>
      <c r="K1157" s="10" t="s">
        <v>1709</v>
      </c>
      <c r="L1157" s="21" t="s">
        <v>4073</v>
      </c>
      <c r="M1157" s="11">
        <v>0.01</v>
      </c>
      <c r="N1157" s="1">
        <v>4000</v>
      </c>
      <c r="O1157" s="10">
        <v>46279.611168981479</v>
      </c>
      <c r="P1157" s="1" t="s">
        <v>72</v>
      </c>
      <c r="Q1157" s="1" t="s">
        <v>72</v>
      </c>
      <c r="R1157" s="8" t="s">
        <v>75</v>
      </c>
      <c r="S115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5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5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5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5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5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5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5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5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5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5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5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5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57" s="12">
        <f ca="1">[1]!Tabel1[[#This Row],[Vægtet Honorar]]*([1]!Tabel1[[#This Row],[Sidst redigeret]]&gt;TODAY()-40)*([1]!Tabel1[[#This Row],[Er i resplan?]]&lt;&gt;"Ja")*([1]!Tabel1[[#This Row],[Status]]="Pågår")</f>
        <v>0</v>
      </c>
      <c r="AG1157" s="12">
        <f ca="1">[1]!Tabel1[[#This Row],[Vægtet Honorar]]*([1]!Tabel1[[#This Row],[Sidst redigeret]]&gt;TODAY()-40)*([1]!Tabel1[[#This Row],[Status]]="Pågår")</f>
        <v>0</v>
      </c>
      <c r="AH1157" s="13"/>
      <c r="AI1157" s="12"/>
      <c r="AJ1157" s="12" t="s">
        <v>4072</v>
      </c>
      <c r="AK1157" s="12"/>
      <c r="AL1157" s="12"/>
      <c r="AM1157" s="12"/>
      <c r="AN1157" s="12"/>
      <c r="AO1157" s="12"/>
      <c r="AP1157" s="12"/>
    </row>
    <row r="1158" spans="1:42" ht="114.75">
      <c r="A1158" t="s">
        <v>4074</v>
      </c>
      <c r="B1158" s="8"/>
      <c r="C1158" s="8" t="s">
        <v>3179</v>
      </c>
      <c r="D1158" s="8" t="s">
        <v>896</v>
      </c>
      <c r="E1158" s="8" t="s">
        <v>94</v>
      </c>
      <c r="F1158" s="8" t="s">
        <v>3180</v>
      </c>
      <c r="G1158" s="8" t="s">
        <v>2003</v>
      </c>
      <c r="H1158" s="9">
        <v>3000000</v>
      </c>
      <c r="I1158" s="9">
        <f>[1]!Tabel1[[#This Row],[Honorar]]*[1]!Tabel1[[#This Row],[Sandsynlighed]]</f>
        <v>70000</v>
      </c>
      <c r="J1158" s="10" t="s">
        <v>329</v>
      </c>
      <c r="K1158" s="10" t="s">
        <v>1709</v>
      </c>
      <c r="L1158" s="21" t="s">
        <v>4075</v>
      </c>
      <c r="M1158" s="11">
        <v>0.01</v>
      </c>
      <c r="N1158" s="1">
        <v>3000</v>
      </c>
      <c r="O1158" s="10">
        <v>46279.611168981479</v>
      </c>
      <c r="P1158" s="1" t="s">
        <v>72</v>
      </c>
      <c r="Q1158" s="1" t="s">
        <v>72</v>
      </c>
      <c r="R1158" s="8" t="s">
        <v>49</v>
      </c>
      <c r="S115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5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5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5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5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5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5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5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5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5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5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5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5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58" s="12">
        <f ca="1">[1]!Tabel1[[#This Row],[Vægtet Honorar]]*([1]!Tabel1[[#This Row],[Sidst redigeret]]&gt;TODAY()-40)*([1]!Tabel1[[#This Row],[Er i resplan?]]&lt;&gt;"Ja")*([1]!Tabel1[[#This Row],[Status]]="Pågår")</f>
        <v>0</v>
      </c>
      <c r="AG1158" s="12">
        <f ca="1">[1]!Tabel1[[#This Row],[Vægtet Honorar]]*([1]!Tabel1[[#This Row],[Sidst redigeret]]&gt;TODAY()-40)*([1]!Tabel1[[#This Row],[Status]]="Pågår")</f>
        <v>0</v>
      </c>
      <c r="AH1158" s="13"/>
      <c r="AI1158" s="12"/>
      <c r="AJ1158" s="12" t="s">
        <v>4072</v>
      </c>
      <c r="AK1158" s="12"/>
      <c r="AL1158" s="12"/>
      <c r="AM1158" s="12"/>
      <c r="AN1158" s="12"/>
      <c r="AO1158" s="12"/>
      <c r="AP1158" s="12"/>
    </row>
    <row r="1159" spans="1:42" ht="29.25">
      <c r="A1159" t="s">
        <v>4076</v>
      </c>
      <c r="B1159" s="8"/>
      <c r="C1159" s="8" t="s">
        <v>4077</v>
      </c>
      <c r="D1159" s="8" t="s">
        <v>1468</v>
      </c>
      <c r="E1159" s="8" t="s">
        <v>167</v>
      </c>
      <c r="F1159" s="8" t="s">
        <v>4078</v>
      </c>
      <c r="G1159" s="8" t="s">
        <v>4078</v>
      </c>
      <c r="H1159" s="9">
        <v>639000</v>
      </c>
      <c r="I1159" s="9">
        <f>[1]!Tabel1[[#This Row],[Honorar]]*[1]!Tabel1[[#This Row],[Sandsynlighed]]</f>
        <v>0</v>
      </c>
      <c r="J1159" s="10" t="s">
        <v>329</v>
      </c>
      <c r="K1159" s="10" t="s">
        <v>1191</v>
      </c>
      <c r="L1159" s="21" t="s">
        <v>4079</v>
      </c>
      <c r="M1159" s="11">
        <v>0.8</v>
      </c>
      <c r="N1159" s="1"/>
      <c r="O1159" s="10">
        <v>46279.611168981479</v>
      </c>
      <c r="P1159" s="10" t="s">
        <v>46</v>
      </c>
      <c r="Q1159" s="1" t="s">
        <v>46</v>
      </c>
      <c r="R1159" s="8" t="s">
        <v>47</v>
      </c>
      <c r="S115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5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5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5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5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5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5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5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5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5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5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5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5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59" s="12">
        <f ca="1">[1]!Tabel1[[#This Row],[Vægtet Honorar]]*([1]!Tabel1[[#This Row],[Sidst redigeret]]&gt;TODAY()-40)*([1]!Tabel1[[#This Row],[Er i resplan?]]&lt;&gt;"Ja")*([1]!Tabel1[[#This Row],[Status]]="Pågår")</f>
        <v>0</v>
      </c>
      <c r="AG1159" s="12">
        <f ca="1">[1]!Tabel1[[#This Row],[Vægtet Honorar]]*([1]!Tabel1[[#This Row],[Sidst redigeret]]&gt;TODAY()-40)*([1]!Tabel1[[#This Row],[Status]]="Pågår")</f>
        <v>0</v>
      </c>
      <c r="AH1159" s="13">
        <v>45909.44158564815</v>
      </c>
      <c r="AI1159" s="12"/>
      <c r="AJ1159" s="12"/>
      <c r="AK1159" s="12"/>
      <c r="AL1159" s="12"/>
      <c r="AM1159" s="12"/>
      <c r="AN1159" s="12"/>
      <c r="AO1159" s="12"/>
      <c r="AP1159" s="12"/>
    </row>
    <row r="1160" spans="1:42" ht="86.25">
      <c r="A1160" t="s">
        <v>4080</v>
      </c>
      <c r="B1160" s="8"/>
      <c r="C1160" s="8" t="s">
        <v>4081</v>
      </c>
      <c r="D1160" s="8" t="s">
        <v>707</v>
      </c>
      <c r="E1160" s="8" t="s">
        <v>94</v>
      </c>
      <c r="F1160" s="8" t="s">
        <v>4082</v>
      </c>
      <c r="G1160" s="8" t="s">
        <v>4082</v>
      </c>
      <c r="H1160" s="9">
        <v>170000</v>
      </c>
      <c r="I1160" s="9">
        <f>[1]!Tabel1[[#This Row],[Honorar]]*[1]!Tabel1[[#This Row],[Sandsynlighed]]</f>
        <v>50000</v>
      </c>
      <c r="J1160" s="10" t="s">
        <v>341</v>
      </c>
      <c r="K1160" s="10" t="s">
        <v>341</v>
      </c>
      <c r="L1160" s="21" t="s">
        <v>4083</v>
      </c>
      <c r="M1160" s="11">
        <v>0.15</v>
      </c>
      <c r="N1160" s="1">
        <v>8000</v>
      </c>
      <c r="O1160" s="10">
        <v>46279.611168981479</v>
      </c>
      <c r="P1160" s="1" t="s">
        <v>72</v>
      </c>
      <c r="Q1160" s="1" t="s">
        <v>46</v>
      </c>
      <c r="R1160" s="8" t="s">
        <v>47</v>
      </c>
      <c r="S116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6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6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6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6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6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6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6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6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6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6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6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6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60" s="12">
        <f ca="1">[1]!Tabel1[[#This Row],[Vægtet Honorar]]*([1]!Tabel1[[#This Row],[Sidst redigeret]]&gt;TODAY()-40)*([1]!Tabel1[[#This Row],[Er i resplan?]]&lt;&gt;"Ja")*([1]!Tabel1[[#This Row],[Status]]="Pågår")</f>
        <v>0</v>
      </c>
      <c r="AG1160" s="12">
        <f ca="1">[1]!Tabel1[[#This Row],[Vægtet Honorar]]*([1]!Tabel1[[#This Row],[Sidst redigeret]]&gt;TODAY()-40)*([1]!Tabel1[[#This Row],[Status]]="Pågår")</f>
        <v>0</v>
      </c>
      <c r="AH1160" s="13">
        <v>46267.388321759259</v>
      </c>
      <c r="AI1160" s="12"/>
      <c r="AJ1160" s="12"/>
      <c r="AK1160" s="12"/>
      <c r="AL1160" s="12"/>
      <c r="AM1160" s="12"/>
      <c r="AN1160" s="12"/>
      <c r="AO1160" s="12"/>
      <c r="AP1160" s="12"/>
    </row>
    <row r="1161" spans="1:42" ht="57.75">
      <c r="A1161" t="s">
        <v>4084</v>
      </c>
      <c r="B1161" s="8"/>
      <c r="C1161" s="8" t="s">
        <v>4085</v>
      </c>
      <c r="D1161" s="8" t="s">
        <v>1886</v>
      </c>
      <c r="E1161" s="8" t="s">
        <v>94</v>
      </c>
      <c r="F1161" s="8" t="s">
        <v>4086</v>
      </c>
      <c r="G1161" s="8" t="s">
        <v>4086</v>
      </c>
      <c r="H1161" s="9">
        <f>13500000+635000</f>
        <v>14135000</v>
      </c>
      <c r="I1161" s="9">
        <f>[1]!Tabel1[[#This Row],[Honorar]]*[1]!Tabel1[[#This Row],[Sandsynlighed]]</f>
        <v>150000</v>
      </c>
      <c r="J1161" s="10" t="s">
        <v>329</v>
      </c>
      <c r="K1161" s="10" t="s">
        <v>1191</v>
      </c>
      <c r="L1161" s="21" t="s">
        <v>4087</v>
      </c>
      <c r="M1161" s="11">
        <v>1</v>
      </c>
      <c r="N1161" s="1">
        <v>31000</v>
      </c>
      <c r="O1161" s="10">
        <v>46279.611168981479</v>
      </c>
      <c r="P1161" s="1" t="s">
        <v>72</v>
      </c>
      <c r="Q1161" s="1" t="s">
        <v>46</v>
      </c>
      <c r="R1161" s="8" t="s">
        <v>47</v>
      </c>
      <c r="S116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6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6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6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6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6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6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6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6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6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6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6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6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61" s="12">
        <f ca="1">[1]!Tabel1[[#This Row],[Vægtet Honorar]]*([1]!Tabel1[[#This Row],[Sidst redigeret]]&gt;TODAY()-40)*([1]!Tabel1[[#This Row],[Er i resplan?]]&lt;&gt;"Ja")*([1]!Tabel1[[#This Row],[Status]]="Pågår")</f>
        <v>150000</v>
      </c>
      <c r="AG1161" s="12">
        <f ca="1">[1]!Tabel1[[#This Row],[Vægtet Honorar]]*([1]!Tabel1[[#This Row],[Sidst redigeret]]&gt;TODAY()-40)*([1]!Tabel1[[#This Row],[Status]]="Pågår")</f>
        <v>150000</v>
      </c>
      <c r="AH1161" s="13">
        <v>45909.44158564815</v>
      </c>
      <c r="AI1161" s="12"/>
      <c r="AJ1161" s="12"/>
      <c r="AK1161" s="12"/>
      <c r="AL1161" s="12"/>
      <c r="AM1161" s="12"/>
      <c r="AN1161" s="12"/>
      <c r="AO1161" s="12"/>
      <c r="AP1161" s="12"/>
    </row>
    <row r="1162" spans="1:42">
      <c r="A1162" t="s">
        <v>4088</v>
      </c>
      <c r="B1162" s="8"/>
      <c r="C1162" s="8" t="s">
        <v>4089</v>
      </c>
      <c r="D1162" s="8" t="s">
        <v>158</v>
      </c>
      <c r="E1162" s="8" t="s">
        <v>167</v>
      </c>
      <c r="F1162" s="8" t="s">
        <v>671</v>
      </c>
      <c r="G1162" s="8" t="s">
        <v>4090</v>
      </c>
      <c r="H1162" s="9">
        <v>150000</v>
      </c>
      <c r="I1162" s="9">
        <f>[1]!Tabel1[[#This Row],[Honorar]]*[1]!Tabel1[[#This Row],[Sandsynlighed]]</f>
        <v>50000</v>
      </c>
      <c r="J1162" s="10" t="s">
        <v>329</v>
      </c>
      <c r="K1162" s="10" t="s">
        <v>342</v>
      </c>
      <c r="L1162" s="21"/>
      <c r="M1162" s="11">
        <v>0.2</v>
      </c>
      <c r="N1162" s="1"/>
      <c r="O1162" s="10">
        <v>46279.611168981479</v>
      </c>
      <c r="P1162" s="10"/>
      <c r="Q1162" s="1" t="s">
        <v>72</v>
      </c>
      <c r="R1162" s="8" t="s">
        <v>343</v>
      </c>
      <c r="S116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6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6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6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6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6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6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6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6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6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6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6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6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62" s="12">
        <f ca="1">[1]!Tabel1[[#This Row],[Vægtet Honorar]]*([1]!Tabel1[[#This Row],[Sidst redigeret]]&gt;TODAY()-40)*([1]!Tabel1[[#This Row],[Er i resplan?]]&lt;&gt;"Ja")*([1]!Tabel1[[#This Row],[Status]]="Pågår")</f>
        <v>0</v>
      </c>
      <c r="AG1162" s="12">
        <f ca="1">[1]!Tabel1[[#This Row],[Vægtet Honorar]]*([1]!Tabel1[[#This Row],[Sidst redigeret]]&gt;TODAY()-40)*([1]!Tabel1[[#This Row],[Status]]="Pågår")</f>
        <v>0</v>
      </c>
      <c r="AH1162" s="13"/>
      <c r="AI1162" s="12"/>
      <c r="AJ1162" s="12"/>
      <c r="AK1162" s="12"/>
      <c r="AL1162" s="12"/>
      <c r="AM1162" s="12"/>
      <c r="AN1162" s="12"/>
      <c r="AO1162" s="12"/>
      <c r="AP1162" s="12"/>
    </row>
    <row r="1163" spans="1:42">
      <c r="A1163" t="s">
        <v>4091</v>
      </c>
      <c r="B1163" s="8"/>
      <c r="C1163" s="8" t="s">
        <v>4092</v>
      </c>
      <c r="D1163" s="8" t="s">
        <v>65</v>
      </c>
      <c r="E1163" s="8" t="s">
        <v>167</v>
      </c>
      <c r="F1163" s="8" t="s">
        <v>788</v>
      </c>
      <c r="G1163" s="8" t="s">
        <v>788</v>
      </c>
      <c r="H1163" s="9">
        <v>150000</v>
      </c>
      <c r="I1163" s="9">
        <f>[1]!Tabel1[[#This Row],[Honorar]]*[1]!Tabel1[[#This Row],[Sandsynlighed]]</f>
        <v>30000</v>
      </c>
      <c r="J1163" s="10" t="s">
        <v>329</v>
      </c>
      <c r="K1163" s="10" t="s">
        <v>342</v>
      </c>
      <c r="L1163" s="21"/>
      <c r="M1163" s="11">
        <v>0.9</v>
      </c>
      <c r="N1163" s="1"/>
      <c r="O1163" s="10">
        <v>46279.611168981479</v>
      </c>
      <c r="P1163" s="10"/>
      <c r="Q1163" s="1" t="s">
        <v>72</v>
      </c>
      <c r="R1163" s="8" t="s">
        <v>343</v>
      </c>
      <c r="S116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6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6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6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6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6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6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6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6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6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6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6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6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63" s="12">
        <f ca="1">[1]!Tabel1[[#This Row],[Vægtet Honorar]]*([1]!Tabel1[[#This Row],[Sidst redigeret]]&gt;TODAY()-40)*([1]!Tabel1[[#This Row],[Er i resplan?]]&lt;&gt;"Ja")*([1]!Tabel1[[#This Row],[Status]]="Pågår")</f>
        <v>0</v>
      </c>
      <c r="AG1163" s="12">
        <f ca="1">[1]!Tabel1[[#This Row],[Vægtet Honorar]]*([1]!Tabel1[[#This Row],[Sidst redigeret]]&gt;TODAY()-40)*([1]!Tabel1[[#This Row],[Status]]="Pågår")</f>
        <v>0</v>
      </c>
      <c r="AH1163" s="13"/>
      <c r="AI1163" s="12"/>
      <c r="AJ1163" s="12"/>
      <c r="AK1163" s="12"/>
      <c r="AL1163" s="12"/>
      <c r="AM1163" s="12"/>
      <c r="AN1163" s="12"/>
      <c r="AO1163" s="12"/>
      <c r="AP1163" s="12"/>
    </row>
    <row r="1164" spans="1:42" ht="29.25">
      <c r="A1164" t="s">
        <v>4093</v>
      </c>
      <c r="B1164" s="8"/>
      <c r="C1164" s="8" t="s">
        <v>4094</v>
      </c>
      <c r="D1164" s="8" t="s">
        <v>203</v>
      </c>
      <c r="E1164" s="8" t="s">
        <v>167</v>
      </c>
      <c r="F1164" s="8" t="s">
        <v>589</v>
      </c>
      <c r="G1164" s="8" t="s">
        <v>1975</v>
      </c>
      <c r="H1164" s="9">
        <v>9000000</v>
      </c>
      <c r="I1164" s="9">
        <f>[1]!Tabel1[[#This Row],[Honorar]]*[1]!Tabel1[[#This Row],[Sandsynlighed]]</f>
        <v>511200</v>
      </c>
      <c r="J1164" s="10" t="s">
        <v>1287</v>
      </c>
      <c r="K1164" s="10" t="s">
        <v>342</v>
      </c>
      <c r="L1164" s="21" t="s">
        <v>1052</v>
      </c>
      <c r="M1164" s="11">
        <v>0.01</v>
      </c>
      <c r="N1164" s="1">
        <v>17900</v>
      </c>
      <c r="O1164" s="10">
        <v>46279.611168981479</v>
      </c>
      <c r="P1164" s="10"/>
      <c r="Q1164" s="1" t="s">
        <v>72</v>
      </c>
      <c r="R1164" s="8" t="s">
        <v>49</v>
      </c>
      <c r="S116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6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6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6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6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6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6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6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6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6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6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6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6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64" s="12">
        <f ca="1">[1]!Tabel1[[#This Row],[Vægtet Honorar]]*([1]!Tabel1[[#This Row],[Sidst redigeret]]&gt;TODAY()-40)*([1]!Tabel1[[#This Row],[Er i resplan?]]&lt;&gt;"Ja")*([1]!Tabel1[[#This Row],[Status]]="Pågår")</f>
        <v>0</v>
      </c>
      <c r="AG1164" s="12">
        <f ca="1">[1]!Tabel1[[#This Row],[Vægtet Honorar]]*([1]!Tabel1[[#This Row],[Sidst redigeret]]&gt;TODAY()-40)*([1]!Tabel1[[#This Row],[Status]]="Pågår")</f>
        <v>0</v>
      </c>
      <c r="AH1164" s="13"/>
      <c r="AI1164" s="12"/>
      <c r="AJ1164" s="12" t="s">
        <v>4072</v>
      </c>
      <c r="AK1164" s="12"/>
      <c r="AL1164" s="12"/>
      <c r="AM1164" s="12"/>
      <c r="AN1164" s="12"/>
      <c r="AO1164" s="12"/>
      <c r="AP1164" s="12"/>
    </row>
    <row r="1165" spans="1:42">
      <c r="A1165" t="s">
        <v>4095</v>
      </c>
      <c r="B1165" s="8"/>
      <c r="C1165" s="8" t="s">
        <v>4096</v>
      </c>
      <c r="D1165" s="8" t="s">
        <v>435</v>
      </c>
      <c r="E1165" s="8" t="s">
        <v>167</v>
      </c>
      <c r="F1165" s="8" t="s">
        <v>671</v>
      </c>
      <c r="G1165" s="8" t="s">
        <v>2522</v>
      </c>
      <c r="H1165" s="9">
        <v>920000</v>
      </c>
      <c r="I1165" s="9">
        <f>[1]!Tabel1[[#This Row],[Honorar]]*[1]!Tabel1[[#This Row],[Sandsynlighed]]</f>
        <v>25500</v>
      </c>
      <c r="J1165" s="10" t="s">
        <v>329</v>
      </c>
      <c r="K1165" s="10" t="s">
        <v>1287</v>
      </c>
      <c r="L1165" s="21"/>
      <c r="M1165" s="11">
        <v>1</v>
      </c>
      <c r="N1165" s="1">
        <v>10000</v>
      </c>
      <c r="O1165" s="10">
        <v>46279.611168981479</v>
      </c>
      <c r="P1165" s="10"/>
      <c r="Q1165" s="1" t="s">
        <v>72</v>
      </c>
      <c r="R1165" s="8" t="s">
        <v>47</v>
      </c>
      <c r="S116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6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6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6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6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6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6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6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6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6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6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6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6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65" s="12">
        <f ca="1">[1]!Tabel1[[#This Row],[Vægtet Honorar]]*([1]!Tabel1[[#This Row],[Sidst redigeret]]&gt;TODAY()-40)*([1]!Tabel1[[#This Row],[Er i resplan?]]&lt;&gt;"Ja")*([1]!Tabel1[[#This Row],[Status]]="Pågår")</f>
        <v>0</v>
      </c>
      <c r="AG1165" s="12">
        <f ca="1">[1]!Tabel1[[#This Row],[Vægtet Honorar]]*([1]!Tabel1[[#This Row],[Sidst redigeret]]&gt;TODAY()-40)*([1]!Tabel1[[#This Row],[Status]]="Pågår")</f>
        <v>0</v>
      </c>
      <c r="AH1165" s="13">
        <v>45909.44158564815</v>
      </c>
      <c r="AI1165" s="12"/>
      <c r="AJ1165" s="12"/>
      <c r="AK1165" s="12"/>
      <c r="AL1165" s="12"/>
      <c r="AM1165" s="12"/>
      <c r="AN1165" s="12"/>
      <c r="AO1165" s="12"/>
      <c r="AP1165" s="12"/>
    </row>
    <row r="1166" spans="1:42" ht="72">
      <c r="A1166" t="s">
        <v>4097</v>
      </c>
      <c r="B1166" s="8"/>
      <c r="C1166" s="8" t="s">
        <v>4098</v>
      </c>
      <c r="D1166" s="8" t="s">
        <v>4099</v>
      </c>
      <c r="E1166" s="8" t="s">
        <v>120</v>
      </c>
      <c r="F1166" s="8" t="s">
        <v>4100</v>
      </c>
      <c r="G1166" s="8" t="s">
        <v>4100</v>
      </c>
      <c r="H1166" s="9">
        <v>1300000</v>
      </c>
      <c r="I1166" s="9">
        <f>[1]!Tabel1[[#This Row],[Honorar]]*[1]!Tabel1[[#This Row],[Sandsynlighed]]</f>
        <v>14135000</v>
      </c>
      <c r="J1166" s="10" t="s">
        <v>1287</v>
      </c>
      <c r="K1166" s="10" t="s">
        <v>585</v>
      </c>
      <c r="L1166" s="21" t="s">
        <v>4101</v>
      </c>
      <c r="M1166" s="11">
        <v>0.8</v>
      </c>
      <c r="N1166" s="1">
        <v>2476</v>
      </c>
      <c r="O1166" s="10">
        <v>46279.611168981479</v>
      </c>
      <c r="P1166" s="10"/>
      <c r="Q1166" s="1" t="s">
        <v>46</v>
      </c>
      <c r="R1166" s="8" t="s">
        <v>47</v>
      </c>
      <c r="S116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6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6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6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6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6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6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6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6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6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6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6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6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66" s="12">
        <f ca="1">[1]!Tabel1[[#This Row],[Vægtet Honorar]]*([1]!Tabel1[[#This Row],[Sidst redigeret]]&gt;TODAY()-40)*([1]!Tabel1[[#This Row],[Er i resplan?]]&lt;&gt;"Ja")*([1]!Tabel1[[#This Row],[Status]]="Pågår")</f>
        <v>0</v>
      </c>
      <c r="AG1166" s="12">
        <f ca="1">[1]!Tabel1[[#This Row],[Vægtet Honorar]]*([1]!Tabel1[[#This Row],[Sidst redigeret]]&gt;TODAY()-40)*([1]!Tabel1[[#This Row],[Status]]="Pågår")</f>
        <v>0</v>
      </c>
      <c r="AH1166" s="13">
        <v>46269.495405092595</v>
      </c>
      <c r="AI1166" s="12"/>
      <c r="AJ1166" s="12" t="s">
        <v>4102</v>
      </c>
      <c r="AK1166" s="12" t="s">
        <v>4103</v>
      </c>
      <c r="AL1166" s="12"/>
      <c r="AM1166" s="12"/>
      <c r="AN1166" s="12"/>
      <c r="AO1166" s="12"/>
      <c r="AP1166" s="12"/>
    </row>
    <row r="1167" spans="1:42" ht="43.5">
      <c r="A1167" t="s">
        <v>4104</v>
      </c>
      <c r="B1167" s="8"/>
      <c r="C1167" s="8" t="s">
        <v>4105</v>
      </c>
      <c r="D1167" s="8" t="s">
        <v>707</v>
      </c>
      <c r="E1167" s="8" t="s">
        <v>94</v>
      </c>
      <c r="F1167" s="8" t="s">
        <v>2558</v>
      </c>
      <c r="G1167" s="8" t="s">
        <v>2558</v>
      </c>
      <c r="H1167" s="9">
        <v>50000</v>
      </c>
      <c r="I1167" s="9">
        <f>[1]!Tabel1[[#This Row],[Honorar]]*[1]!Tabel1[[#This Row],[Sandsynlighed]]</f>
        <v>30000</v>
      </c>
      <c r="J1167" s="10" t="s">
        <v>1287</v>
      </c>
      <c r="K1167" s="10" t="s">
        <v>585</v>
      </c>
      <c r="L1167" s="21" t="s">
        <v>4106</v>
      </c>
      <c r="M1167" s="11">
        <v>0.3</v>
      </c>
      <c r="N1167" s="1">
        <v>1000</v>
      </c>
      <c r="O1167" s="10">
        <v>46279.611168981479</v>
      </c>
      <c r="P1167" s="1" t="s">
        <v>72</v>
      </c>
      <c r="Q1167" s="1" t="s">
        <v>72</v>
      </c>
      <c r="R1167" s="8" t="s">
        <v>49</v>
      </c>
      <c r="S116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6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6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6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6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6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6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6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6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6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6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6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6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67" s="12">
        <f ca="1">[1]!Tabel1[[#This Row],[Vægtet Honorar]]*([1]!Tabel1[[#This Row],[Sidst redigeret]]&gt;TODAY()-40)*([1]!Tabel1[[#This Row],[Er i resplan?]]&lt;&gt;"Ja")*([1]!Tabel1[[#This Row],[Status]]="Pågår")</f>
        <v>30000</v>
      </c>
      <c r="AG1167" s="12">
        <f ca="1">[1]!Tabel1[[#This Row],[Vægtet Honorar]]*([1]!Tabel1[[#This Row],[Sidst redigeret]]&gt;TODAY()-40)*([1]!Tabel1[[#This Row],[Status]]="Pågår")</f>
        <v>30000</v>
      </c>
      <c r="AH1167" s="13"/>
      <c r="AI1167" s="12"/>
      <c r="AJ1167" s="12"/>
      <c r="AK1167" s="12"/>
      <c r="AL1167" s="12"/>
      <c r="AM1167" s="12"/>
      <c r="AN1167" s="12"/>
      <c r="AO1167" s="12"/>
      <c r="AP1167" s="12"/>
    </row>
    <row r="1168" spans="1:42">
      <c r="A1168" t="s">
        <v>4107</v>
      </c>
      <c r="B1168" s="8"/>
      <c r="C1168" s="8" t="s">
        <v>4108</v>
      </c>
      <c r="D1168" s="8" t="s">
        <v>2886</v>
      </c>
      <c r="E1168" s="8" t="s">
        <v>120</v>
      </c>
      <c r="F1168" s="8" t="s">
        <v>2687</v>
      </c>
      <c r="G1168" s="8" t="s">
        <v>2959</v>
      </c>
      <c r="H1168" s="9">
        <v>2000000</v>
      </c>
      <c r="I1168" s="9">
        <f>[1]!Tabel1[[#This Row],[Honorar]]*[1]!Tabel1[[#This Row],[Sandsynlighed]]</f>
        <v>135000</v>
      </c>
      <c r="J1168" s="10" t="s">
        <v>1287</v>
      </c>
      <c r="K1168" s="10" t="s">
        <v>585</v>
      </c>
      <c r="L1168" s="21"/>
      <c r="M1168" s="11">
        <v>0.05</v>
      </c>
      <c r="N1168" s="1">
        <v>1845</v>
      </c>
      <c r="O1168" s="10">
        <v>46279.611168981479</v>
      </c>
      <c r="P1168" s="10"/>
      <c r="Q1168" s="1" t="s">
        <v>72</v>
      </c>
      <c r="R1168" s="8" t="s">
        <v>75</v>
      </c>
      <c r="S116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6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6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6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6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6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6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6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6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6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6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6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6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68" s="12">
        <f ca="1">[1]!Tabel1[[#This Row],[Vægtet Honorar]]*([1]!Tabel1[[#This Row],[Sidst redigeret]]&gt;TODAY()-40)*([1]!Tabel1[[#This Row],[Er i resplan?]]&lt;&gt;"Ja")*([1]!Tabel1[[#This Row],[Status]]="Pågår")</f>
        <v>135000</v>
      </c>
      <c r="AG1168" s="12">
        <f ca="1">[1]!Tabel1[[#This Row],[Vægtet Honorar]]*([1]!Tabel1[[#This Row],[Sidst redigeret]]&gt;TODAY()-40)*([1]!Tabel1[[#This Row],[Status]]="Pågår")</f>
        <v>135000</v>
      </c>
      <c r="AH1168" s="13"/>
      <c r="AI1168" s="12" t="s">
        <v>2959</v>
      </c>
      <c r="AJ1168" s="12" t="s">
        <v>3695</v>
      </c>
      <c r="AK1168" s="12"/>
      <c r="AL1168" s="12"/>
      <c r="AM1168" s="12"/>
      <c r="AN1168" s="12"/>
      <c r="AO1168" s="12"/>
      <c r="AP1168" s="12"/>
    </row>
    <row r="1169" spans="1:42">
      <c r="A1169" t="s">
        <v>4109</v>
      </c>
      <c r="B1169" s="8"/>
      <c r="C1169" s="8" t="s">
        <v>4110</v>
      </c>
      <c r="D1169" s="8" t="s">
        <v>2886</v>
      </c>
      <c r="E1169" s="8" t="s">
        <v>120</v>
      </c>
      <c r="F1169" s="8" t="s">
        <v>2687</v>
      </c>
      <c r="G1169" s="8" t="s">
        <v>2944</v>
      </c>
      <c r="H1169" s="9">
        <v>3000000</v>
      </c>
      <c r="I1169" s="9">
        <f>[1]!Tabel1[[#This Row],[Honorar]]*[1]!Tabel1[[#This Row],[Sandsynlighed]]</f>
        <v>90000</v>
      </c>
      <c r="J1169" s="10" t="s">
        <v>585</v>
      </c>
      <c r="K1169" s="10" t="s">
        <v>1323</v>
      </c>
      <c r="L1169" s="21"/>
      <c r="M1169" s="11">
        <v>0.25</v>
      </c>
      <c r="N1169" s="1">
        <v>2650</v>
      </c>
      <c r="O1169" s="10">
        <v>46279.611168981479</v>
      </c>
      <c r="P1169" s="10"/>
      <c r="Q1169" s="1" t="s">
        <v>72</v>
      </c>
      <c r="R1169" s="8" t="s">
        <v>343</v>
      </c>
      <c r="S116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6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6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6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6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6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6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6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6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6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6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6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6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69" s="12">
        <f ca="1">[1]!Tabel1[[#This Row],[Vægtet Honorar]]*([1]!Tabel1[[#This Row],[Sidst redigeret]]&gt;TODAY()-40)*([1]!Tabel1[[#This Row],[Er i resplan?]]&lt;&gt;"Ja")*([1]!Tabel1[[#This Row],[Status]]="Pågår")</f>
        <v>0</v>
      </c>
      <c r="AG1169" s="12">
        <f ca="1">[1]!Tabel1[[#This Row],[Vægtet Honorar]]*([1]!Tabel1[[#This Row],[Sidst redigeret]]&gt;TODAY()-40)*([1]!Tabel1[[#This Row],[Status]]="Pågår")</f>
        <v>0</v>
      </c>
      <c r="AH1169" s="13"/>
      <c r="AI1169" s="12"/>
      <c r="AJ1169" s="12" t="s">
        <v>2944</v>
      </c>
      <c r="AK1169" s="12"/>
      <c r="AL1169" s="12"/>
      <c r="AM1169" s="12"/>
      <c r="AN1169" s="12" t="s">
        <v>4111</v>
      </c>
      <c r="AO1169" s="12"/>
      <c r="AP1169" s="12"/>
    </row>
    <row r="1170" spans="1:42">
      <c r="A1170" t="s">
        <v>4112</v>
      </c>
      <c r="B1170" s="8"/>
      <c r="C1170" s="8" t="s">
        <v>4113</v>
      </c>
      <c r="D1170" s="8" t="s">
        <v>896</v>
      </c>
      <c r="E1170" s="8" t="s">
        <v>94</v>
      </c>
      <c r="F1170" s="8" t="s">
        <v>527</v>
      </c>
      <c r="G1170" s="8" t="s">
        <v>2917</v>
      </c>
      <c r="H1170" s="9">
        <v>120000</v>
      </c>
      <c r="I1170" s="9">
        <f>[1]!Tabel1[[#This Row],[Honorar]]*[1]!Tabel1[[#This Row],[Sandsynlighed]]</f>
        <v>920000</v>
      </c>
      <c r="J1170" s="10" t="s">
        <v>1061</v>
      </c>
      <c r="K1170" s="10" t="s">
        <v>329</v>
      </c>
      <c r="L1170" s="21"/>
      <c r="M1170" s="11">
        <v>0.5</v>
      </c>
      <c r="N1170" s="1">
        <v>500</v>
      </c>
      <c r="O1170" s="10">
        <v>46279.611168981479</v>
      </c>
      <c r="P1170" s="1" t="s">
        <v>72</v>
      </c>
      <c r="Q1170" s="1" t="s">
        <v>72</v>
      </c>
      <c r="R1170" s="8" t="s">
        <v>47</v>
      </c>
      <c r="S117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7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7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7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7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7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7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7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7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7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7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7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7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70" s="12">
        <f ca="1">[1]!Tabel1[[#This Row],[Vægtet Honorar]]*([1]!Tabel1[[#This Row],[Sidst redigeret]]&gt;TODAY()-40)*([1]!Tabel1[[#This Row],[Er i resplan?]]&lt;&gt;"Ja")*([1]!Tabel1[[#This Row],[Status]]="Pågår")</f>
        <v>0</v>
      </c>
      <c r="AG1170" s="12">
        <f ca="1">[1]!Tabel1[[#This Row],[Vægtet Honorar]]*([1]!Tabel1[[#This Row],[Sidst redigeret]]&gt;TODAY()-40)*([1]!Tabel1[[#This Row],[Status]]="Pågår")</f>
        <v>0</v>
      </c>
      <c r="AH1170" s="13">
        <v>45909.44159722222</v>
      </c>
      <c r="AI1170" s="12"/>
      <c r="AJ1170" s="12"/>
      <c r="AK1170" s="12"/>
      <c r="AL1170" s="12"/>
      <c r="AM1170" s="12"/>
      <c r="AN1170" s="12"/>
      <c r="AO1170" s="12"/>
      <c r="AP1170" s="12"/>
    </row>
    <row r="1171" spans="1:42" ht="43.5">
      <c r="A1171" t="s">
        <v>4114</v>
      </c>
      <c r="B1171" s="8"/>
      <c r="C1171" s="8" t="s">
        <v>4115</v>
      </c>
      <c r="D1171" s="8" t="s">
        <v>896</v>
      </c>
      <c r="E1171" s="8" t="s">
        <v>94</v>
      </c>
      <c r="F1171" s="8" t="s">
        <v>4116</v>
      </c>
      <c r="G1171" s="8" t="s">
        <v>1382</v>
      </c>
      <c r="H1171" s="9">
        <v>7000000</v>
      </c>
      <c r="I1171" s="9">
        <f>[1]!Tabel1[[#This Row],[Honorar]]*[1]!Tabel1[[#This Row],[Sandsynlighed]]</f>
        <v>1040000</v>
      </c>
      <c r="J1171" s="10" t="s">
        <v>585</v>
      </c>
      <c r="K1171" s="10" t="s">
        <v>2405</v>
      </c>
      <c r="L1171" s="21" t="s">
        <v>4117</v>
      </c>
      <c r="M1171" s="11">
        <v>0</v>
      </c>
      <c r="N1171" s="1">
        <v>5000</v>
      </c>
      <c r="O1171" s="10">
        <v>46279.611168981479</v>
      </c>
      <c r="P1171" s="1" t="s">
        <v>72</v>
      </c>
      <c r="Q1171" s="1" t="s">
        <v>72</v>
      </c>
      <c r="R1171" s="8" t="s">
        <v>49</v>
      </c>
      <c r="S117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7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7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7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7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7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7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7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7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7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7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7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7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71" s="12">
        <f ca="1">[1]!Tabel1[[#This Row],[Vægtet Honorar]]*([1]!Tabel1[[#This Row],[Sidst redigeret]]&gt;TODAY()-40)*([1]!Tabel1[[#This Row],[Er i resplan?]]&lt;&gt;"Ja")*([1]!Tabel1[[#This Row],[Status]]="Pågår")</f>
        <v>0</v>
      </c>
      <c r="AG1171" s="12">
        <f ca="1">[1]!Tabel1[[#This Row],[Vægtet Honorar]]*([1]!Tabel1[[#This Row],[Sidst redigeret]]&gt;TODAY()-40)*([1]!Tabel1[[#This Row],[Status]]="Pågår")</f>
        <v>0</v>
      </c>
      <c r="AH1171" s="13"/>
      <c r="AI1171" s="12"/>
      <c r="AJ1171" s="12" t="s">
        <v>2944</v>
      </c>
      <c r="AK1171" s="12"/>
      <c r="AL1171" s="12"/>
      <c r="AM1171" s="12"/>
      <c r="AN1171" s="12"/>
      <c r="AO1171" s="12"/>
      <c r="AP1171" s="12"/>
    </row>
    <row r="1172" spans="1:42" ht="86.25">
      <c r="A1172" t="s">
        <v>4118</v>
      </c>
      <c r="B1172" s="8"/>
      <c r="C1172" s="8" t="s">
        <v>4119</v>
      </c>
      <c r="D1172" s="8" t="s">
        <v>2368</v>
      </c>
      <c r="E1172" s="8" t="s">
        <v>94</v>
      </c>
      <c r="F1172" s="8" t="s">
        <v>2248</v>
      </c>
      <c r="G1172" s="8" t="s">
        <v>4120</v>
      </c>
      <c r="H1172" s="9">
        <v>2400000</v>
      </c>
      <c r="I1172" s="9">
        <f>[1]!Tabel1[[#This Row],[Honorar]]*[1]!Tabel1[[#This Row],[Sandsynlighed]]</f>
        <v>15000</v>
      </c>
      <c r="J1172" s="10" t="s">
        <v>1287</v>
      </c>
      <c r="K1172" s="10" t="s">
        <v>585</v>
      </c>
      <c r="L1172" s="21" t="s">
        <v>4121</v>
      </c>
      <c r="M1172" s="11">
        <v>0.2</v>
      </c>
      <c r="N1172" s="1">
        <v>1200</v>
      </c>
      <c r="O1172" s="10">
        <v>46279.611168981479</v>
      </c>
      <c r="P1172" s="1" t="s">
        <v>72</v>
      </c>
      <c r="Q1172" s="1" t="s">
        <v>72</v>
      </c>
      <c r="R1172" s="8" t="s">
        <v>47</v>
      </c>
      <c r="S117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7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7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7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7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7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7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7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7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7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7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7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7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72" s="12">
        <f ca="1">[1]!Tabel1[[#This Row],[Vægtet Honorar]]*([1]!Tabel1[[#This Row],[Sidst redigeret]]&gt;TODAY()-40)*([1]!Tabel1[[#This Row],[Er i resplan?]]&lt;&gt;"Ja")*([1]!Tabel1[[#This Row],[Status]]="Pågår")</f>
        <v>0</v>
      </c>
      <c r="AG1172" s="12">
        <f ca="1">[1]!Tabel1[[#This Row],[Vægtet Honorar]]*([1]!Tabel1[[#This Row],[Sidst redigeret]]&gt;TODAY()-40)*([1]!Tabel1[[#This Row],[Status]]="Pågår")</f>
        <v>0</v>
      </c>
      <c r="AH1172" s="13">
        <v>45910.554039351853</v>
      </c>
      <c r="AI1172" s="12"/>
      <c r="AJ1172" s="12" t="s">
        <v>4122</v>
      </c>
      <c r="AK1172" s="12" t="s">
        <v>4120</v>
      </c>
      <c r="AL1172" s="12"/>
      <c r="AM1172" s="12"/>
      <c r="AN1172" s="12"/>
      <c r="AO1172" s="12"/>
      <c r="AP1172" s="12"/>
    </row>
    <row r="1173" spans="1:42" ht="100.5">
      <c r="A1173" t="s">
        <v>4123</v>
      </c>
      <c r="B1173" s="8"/>
      <c r="C1173" s="8" t="s">
        <v>4124</v>
      </c>
      <c r="D1173" s="8" t="s">
        <v>896</v>
      </c>
      <c r="E1173" s="8" t="s">
        <v>94</v>
      </c>
      <c r="F1173" s="8" t="s">
        <v>4125</v>
      </c>
      <c r="G1173" s="8" t="s">
        <v>213</v>
      </c>
      <c r="H1173" s="9">
        <v>1500000</v>
      </c>
      <c r="I1173" s="9">
        <f>[1]!Tabel1[[#This Row],[Honorar]]*[1]!Tabel1[[#This Row],[Sandsynlighed]]</f>
        <v>100000</v>
      </c>
      <c r="J1173" s="10" t="s">
        <v>1310</v>
      </c>
      <c r="K1173" s="10" t="s">
        <v>585</v>
      </c>
      <c r="L1173" s="21" t="s">
        <v>4126</v>
      </c>
      <c r="M1173" s="11">
        <v>0.01</v>
      </c>
      <c r="N1173" s="1">
        <v>1200</v>
      </c>
      <c r="O1173" s="10">
        <v>46279.611168981479</v>
      </c>
      <c r="P1173" s="1" t="s">
        <v>72</v>
      </c>
      <c r="Q1173" s="1" t="s">
        <v>72</v>
      </c>
      <c r="R1173" s="8" t="s">
        <v>343</v>
      </c>
      <c r="S117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7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7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7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7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7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7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7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7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7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7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7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7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73" s="12">
        <f ca="1">[1]!Tabel1[[#This Row],[Vægtet Honorar]]*([1]!Tabel1[[#This Row],[Sidst redigeret]]&gt;TODAY()-40)*([1]!Tabel1[[#This Row],[Er i resplan?]]&lt;&gt;"Ja")*([1]!Tabel1[[#This Row],[Status]]="Pågår")</f>
        <v>0</v>
      </c>
      <c r="AG1173" s="12">
        <f ca="1">[1]!Tabel1[[#This Row],[Vægtet Honorar]]*([1]!Tabel1[[#This Row],[Sidst redigeret]]&gt;TODAY()-40)*([1]!Tabel1[[#This Row],[Status]]="Pågår")</f>
        <v>0</v>
      </c>
      <c r="AH1173" s="13"/>
      <c r="AI1173" s="12"/>
      <c r="AJ1173" s="12" t="s">
        <v>213</v>
      </c>
      <c r="AK1173" s="12"/>
      <c r="AL1173" s="12"/>
      <c r="AM1173" s="12"/>
      <c r="AN1173" s="12"/>
      <c r="AO1173" s="12"/>
      <c r="AP1173" s="12"/>
    </row>
    <row r="1174" spans="1:42">
      <c r="A1174" t="s">
        <v>4127</v>
      </c>
      <c r="B1174" s="8"/>
      <c r="C1174" s="8" t="s">
        <v>4128</v>
      </c>
      <c r="D1174" s="8" t="s">
        <v>720</v>
      </c>
      <c r="E1174" s="8" t="s">
        <v>71</v>
      </c>
      <c r="F1174" s="8" t="s">
        <v>1833</v>
      </c>
      <c r="G1174" s="8" t="s">
        <v>1833</v>
      </c>
      <c r="H1174" s="9">
        <v>1500000</v>
      </c>
      <c r="I1174" s="9">
        <f>[1]!Tabel1[[#This Row],[Honorar]]*[1]!Tabel1[[#This Row],[Sandsynlighed]]</f>
        <v>750000</v>
      </c>
      <c r="J1174" s="10" t="s">
        <v>1310</v>
      </c>
      <c r="K1174" s="10" t="s">
        <v>1062</v>
      </c>
      <c r="L1174" s="21"/>
      <c r="M1174" s="11">
        <v>0.01</v>
      </c>
      <c r="N1174" s="1">
        <v>1000</v>
      </c>
      <c r="O1174" s="10">
        <v>46279.611168981479</v>
      </c>
      <c r="P1174" s="10"/>
      <c r="Q1174" s="1" t="s">
        <v>72</v>
      </c>
      <c r="R1174" s="8" t="s">
        <v>343</v>
      </c>
      <c r="S117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7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7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7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7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7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7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7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7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7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7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7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7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74" s="12">
        <f ca="1">[1]!Tabel1[[#This Row],[Vægtet Honorar]]*([1]!Tabel1[[#This Row],[Sidst redigeret]]&gt;TODAY()-40)*([1]!Tabel1[[#This Row],[Er i resplan?]]&lt;&gt;"Ja")*([1]!Tabel1[[#This Row],[Status]]="Pågår")</f>
        <v>750000</v>
      </c>
      <c r="AG1174" s="12">
        <f ca="1">[1]!Tabel1[[#This Row],[Vægtet Honorar]]*([1]!Tabel1[[#This Row],[Sidst redigeret]]&gt;TODAY()-40)*([1]!Tabel1[[#This Row],[Status]]="Pågår")</f>
        <v>750000</v>
      </c>
      <c r="AH1174" s="13"/>
      <c r="AI1174" s="12"/>
      <c r="AJ1174" s="12" t="s">
        <v>600</v>
      </c>
      <c r="AK1174" s="12"/>
      <c r="AL1174" s="12"/>
      <c r="AM1174" s="12"/>
      <c r="AN1174" s="12"/>
      <c r="AO1174" s="12"/>
      <c r="AP1174" s="12"/>
    </row>
    <row r="1175" spans="1:42" ht="43.5">
      <c r="A1175" t="s">
        <v>4129</v>
      </c>
      <c r="B1175" s="8"/>
      <c r="C1175" s="8" t="s">
        <v>4130</v>
      </c>
      <c r="D1175" s="8" t="s">
        <v>1771</v>
      </c>
      <c r="E1175" s="8" t="s">
        <v>167</v>
      </c>
      <c r="F1175" s="8" t="s">
        <v>671</v>
      </c>
      <c r="G1175" s="8" t="s">
        <v>671</v>
      </c>
      <c r="H1175" s="9">
        <v>2500000</v>
      </c>
      <c r="I1175" s="9">
        <f>[1]!Tabel1[[#This Row],[Honorar]]*[1]!Tabel1[[#This Row],[Sandsynlighed]]</f>
        <v>60000</v>
      </c>
      <c r="J1175" s="10" t="s">
        <v>1287</v>
      </c>
      <c r="K1175" s="10" t="s">
        <v>1861</v>
      </c>
      <c r="L1175" s="21" t="s">
        <v>4131</v>
      </c>
      <c r="M1175" s="11">
        <v>0.01</v>
      </c>
      <c r="N1175" s="1"/>
      <c r="O1175" s="10">
        <v>46279.611168981479</v>
      </c>
      <c r="P1175" s="10"/>
      <c r="Q1175" s="1" t="s">
        <v>72</v>
      </c>
      <c r="R1175" s="8" t="s">
        <v>49</v>
      </c>
      <c r="S117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7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7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7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7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7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7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7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7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7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7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7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7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75" s="12">
        <f ca="1">[1]!Tabel1[[#This Row],[Vægtet Honorar]]*([1]!Tabel1[[#This Row],[Sidst redigeret]]&gt;TODAY()-40)*([1]!Tabel1[[#This Row],[Er i resplan?]]&lt;&gt;"Ja")*([1]!Tabel1[[#This Row],[Status]]="Pågår")</f>
        <v>0</v>
      </c>
      <c r="AG1175" s="12">
        <f ca="1">[1]!Tabel1[[#This Row],[Vægtet Honorar]]*([1]!Tabel1[[#This Row],[Sidst redigeret]]&gt;TODAY()-40)*([1]!Tabel1[[#This Row],[Status]]="Pågår")</f>
        <v>0</v>
      </c>
      <c r="AH1175" s="13"/>
      <c r="AI1175" s="12"/>
      <c r="AJ1175" s="12" t="s">
        <v>4132</v>
      </c>
      <c r="AK1175" s="12"/>
      <c r="AL1175" s="12"/>
      <c r="AM1175" s="12"/>
      <c r="AN1175" s="12"/>
      <c r="AO1175" s="12"/>
      <c r="AP1175" s="12"/>
    </row>
    <row r="1176" spans="1:42" ht="72">
      <c r="A1176" t="s">
        <v>4133</v>
      </c>
      <c r="B1176" s="8"/>
      <c r="C1176" s="8" t="s">
        <v>4134</v>
      </c>
      <c r="D1176" s="8" t="s">
        <v>421</v>
      </c>
      <c r="E1176" s="8" t="s">
        <v>120</v>
      </c>
      <c r="F1176" s="8" t="s">
        <v>4034</v>
      </c>
      <c r="G1176" s="8" t="s">
        <v>4135</v>
      </c>
      <c r="H1176" s="9">
        <v>50000</v>
      </c>
      <c r="I1176" s="9">
        <f>[1]!Tabel1[[#This Row],[Honorar]]*[1]!Tabel1[[#This Row],[Sandsynlighed]]</f>
        <v>0</v>
      </c>
      <c r="J1176" s="10" t="s">
        <v>329</v>
      </c>
      <c r="K1176" s="10" t="s">
        <v>585</v>
      </c>
      <c r="L1176" s="21" t="s">
        <v>4136</v>
      </c>
      <c r="M1176" s="11">
        <v>0.9</v>
      </c>
      <c r="N1176" s="1"/>
      <c r="O1176" s="10">
        <v>46279.611168981479</v>
      </c>
      <c r="P1176" s="10"/>
      <c r="Q1176" s="1" t="s">
        <v>46</v>
      </c>
      <c r="R1176" s="8" t="s">
        <v>47</v>
      </c>
      <c r="S117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7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7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7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7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7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7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7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7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7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7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7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7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76" s="12">
        <f ca="1">[1]!Tabel1[[#This Row],[Vægtet Honorar]]*([1]!Tabel1[[#This Row],[Sidst redigeret]]&gt;TODAY()-40)*([1]!Tabel1[[#This Row],[Er i resplan?]]&lt;&gt;"Ja")*([1]!Tabel1[[#This Row],[Status]]="Pågår")</f>
        <v>0</v>
      </c>
      <c r="AG1176" s="12">
        <f ca="1">[1]!Tabel1[[#This Row],[Vægtet Honorar]]*([1]!Tabel1[[#This Row],[Sidst redigeret]]&gt;TODAY()-40)*([1]!Tabel1[[#This Row],[Status]]="Pågår")</f>
        <v>0</v>
      </c>
      <c r="AH1176" s="13">
        <v>45909.44159722222</v>
      </c>
      <c r="AI1176" s="12"/>
      <c r="AJ1176" s="12" t="s">
        <v>4135</v>
      </c>
      <c r="AK1176" s="12"/>
      <c r="AL1176" s="12"/>
      <c r="AM1176" s="12"/>
      <c r="AN1176" s="12"/>
      <c r="AO1176" s="12"/>
      <c r="AP1176" s="12"/>
    </row>
    <row r="1177" spans="1:42" ht="129">
      <c r="A1177" t="s">
        <v>4137</v>
      </c>
      <c r="B1177" s="8"/>
      <c r="C1177" s="8" t="s">
        <v>4138</v>
      </c>
      <c r="D1177" s="8" t="s">
        <v>896</v>
      </c>
      <c r="E1177" s="8" t="s">
        <v>94</v>
      </c>
      <c r="F1177" s="8" t="s">
        <v>808</v>
      </c>
      <c r="G1177" s="8" t="s">
        <v>3948</v>
      </c>
      <c r="H1177" s="9">
        <v>2600000</v>
      </c>
      <c r="I1177" s="9">
        <f>[1]!Tabel1[[#This Row],[Honorar]]*[1]!Tabel1[[#This Row],[Sandsynlighed]]</f>
        <v>480000</v>
      </c>
      <c r="J1177" s="10" t="s">
        <v>1287</v>
      </c>
      <c r="K1177" s="10" t="s">
        <v>585</v>
      </c>
      <c r="L1177" s="21" t="s">
        <v>4139</v>
      </c>
      <c r="M1177" s="11">
        <v>0.01</v>
      </c>
      <c r="N1177" s="1" t="s">
        <v>4140</v>
      </c>
      <c r="O1177" s="10">
        <v>46279.611168981479</v>
      </c>
      <c r="P1177" s="1" t="s">
        <v>72</v>
      </c>
      <c r="Q1177" s="1" t="s">
        <v>72</v>
      </c>
      <c r="R1177" s="8" t="s">
        <v>49</v>
      </c>
      <c r="S117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7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7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7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7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7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7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7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7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7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7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7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7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77" s="12">
        <f ca="1">[1]!Tabel1[[#This Row],[Vægtet Honorar]]*([1]!Tabel1[[#This Row],[Sidst redigeret]]&gt;TODAY()-40)*([1]!Tabel1[[#This Row],[Er i resplan?]]&lt;&gt;"Ja")*([1]!Tabel1[[#This Row],[Status]]="Pågår")</f>
        <v>0</v>
      </c>
      <c r="AG1177" s="12">
        <f ca="1">[1]!Tabel1[[#This Row],[Vægtet Honorar]]*([1]!Tabel1[[#This Row],[Sidst redigeret]]&gt;TODAY()-40)*([1]!Tabel1[[#This Row],[Status]]="Pågår")</f>
        <v>0</v>
      </c>
      <c r="AH1177" s="13"/>
      <c r="AI1177" s="12"/>
      <c r="AJ1177" s="12" t="s">
        <v>4141</v>
      </c>
      <c r="AK1177" s="12"/>
      <c r="AL1177" s="12"/>
      <c r="AM1177" s="12"/>
      <c r="AN1177" s="12"/>
      <c r="AO1177" s="12"/>
      <c r="AP1177" s="12"/>
    </row>
    <row r="1178" spans="1:42">
      <c r="A1178" t="s">
        <v>4142</v>
      </c>
      <c r="B1178" s="8"/>
      <c r="C1178" s="8" t="s">
        <v>4143</v>
      </c>
      <c r="D1178" s="8" t="s">
        <v>1623</v>
      </c>
      <c r="E1178" s="8" t="s">
        <v>102</v>
      </c>
      <c r="F1178" s="8" t="s">
        <v>2056</v>
      </c>
      <c r="G1178" s="8" t="s">
        <v>2056</v>
      </c>
      <c r="H1178" s="9">
        <v>1000000</v>
      </c>
      <c r="I1178" s="9">
        <f>[1]!Tabel1[[#This Row],[Honorar]]*[1]!Tabel1[[#This Row],[Sandsynlighed]]</f>
        <v>15000</v>
      </c>
      <c r="J1178" s="10" t="s">
        <v>1310</v>
      </c>
      <c r="K1178" s="10" t="s">
        <v>342</v>
      </c>
      <c r="L1178" s="21"/>
      <c r="M1178" s="11">
        <v>0.5</v>
      </c>
      <c r="N1178" s="1" t="s">
        <v>4144</v>
      </c>
      <c r="O1178" s="10">
        <v>46279.611168981479</v>
      </c>
      <c r="P1178" s="10"/>
      <c r="Q1178" s="1" t="s">
        <v>72</v>
      </c>
      <c r="R1178" s="8" t="s">
        <v>343</v>
      </c>
      <c r="S117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7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7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7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7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7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7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7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7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7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7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7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7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78" s="12">
        <f ca="1">[1]!Tabel1[[#This Row],[Vægtet Honorar]]*([1]!Tabel1[[#This Row],[Sidst redigeret]]&gt;TODAY()-40)*([1]!Tabel1[[#This Row],[Er i resplan?]]&lt;&gt;"Ja")*([1]!Tabel1[[#This Row],[Status]]="Pågår")</f>
        <v>15000</v>
      </c>
      <c r="AG1178" s="12">
        <f ca="1">[1]!Tabel1[[#This Row],[Vægtet Honorar]]*([1]!Tabel1[[#This Row],[Sidst redigeret]]&gt;TODAY()-40)*([1]!Tabel1[[#This Row],[Status]]="Pågår")</f>
        <v>15000</v>
      </c>
      <c r="AH1178" s="13"/>
      <c r="AI1178" s="12"/>
      <c r="AJ1178" s="12"/>
      <c r="AK1178" s="12"/>
      <c r="AL1178" s="12"/>
      <c r="AM1178" s="12"/>
      <c r="AN1178" s="12"/>
      <c r="AO1178" s="12"/>
      <c r="AP1178" s="12"/>
    </row>
    <row r="1179" spans="1:42" ht="114.75">
      <c r="A1179" t="s">
        <v>4145</v>
      </c>
      <c r="B1179" s="8"/>
      <c r="C1179" s="8" t="s">
        <v>4146</v>
      </c>
      <c r="D1179" s="8" t="s">
        <v>119</v>
      </c>
      <c r="E1179" s="8" t="s">
        <v>71</v>
      </c>
      <c r="F1179" s="8" t="s">
        <v>3812</v>
      </c>
      <c r="G1179" s="8" t="s">
        <v>3812</v>
      </c>
      <c r="H1179" s="9">
        <v>561000</v>
      </c>
      <c r="I1179" s="9">
        <f>[1]!Tabel1[[#This Row],[Honorar]]*[1]!Tabel1[[#This Row],[Sandsynlighed]]</f>
        <v>15000</v>
      </c>
      <c r="J1179" s="10" t="s">
        <v>329</v>
      </c>
      <c r="K1179" s="10" t="s">
        <v>1191</v>
      </c>
      <c r="L1179" s="21" t="s">
        <v>4147</v>
      </c>
      <c r="M1179" s="11">
        <v>0.2</v>
      </c>
      <c r="N1179" s="1"/>
      <c r="O1179" s="10">
        <v>46279.611168981479</v>
      </c>
      <c r="P1179" s="10"/>
      <c r="Q1179" s="1" t="s">
        <v>46</v>
      </c>
      <c r="R1179" s="8" t="s">
        <v>343</v>
      </c>
      <c r="S117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7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7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7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7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7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7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7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7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7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7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7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7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79" s="12">
        <f ca="1">[1]!Tabel1[[#This Row],[Vægtet Honorar]]*([1]!Tabel1[[#This Row],[Sidst redigeret]]&gt;TODAY()-40)*([1]!Tabel1[[#This Row],[Er i resplan?]]&lt;&gt;"Ja")*([1]!Tabel1[[#This Row],[Status]]="Pågår")</f>
        <v>15000</v>
      </c>
      <c r="AG1179" s="12">
        <f ca="1">[1]!Tabel1[[#This Row],[Vægtet Honorar]]*([1]!Tabel1[[#This Row],[Sidst redigeret]]&gt;TODAY()-40)*([1]!Tabel1[[#This Row],[Status]]="Pågår")</f>
        <v>15000</v>
      </c>
      <c r="AH1179" s="13"/>
      <c r="AI1179" s="12"/>
      <c r="AJ1179" s="12"/>
      <c r="AK1179" s="12"/>
      <c r="AL1179" s="12"/>
      <c r="AM1179" s="12"/>
      <c r="AN1179" s="12"/>
      <c r="AO1179" s="12"/>
      <c r="AP1179" s="12"/>
    </row>
    <row r="1180" spans="1:42">
      <c r="A1180" t="s">
        <v>4148</v>
      </c>
      <c r="B1180" s="8"/>
      <c r="C1180" s="8" t="s">
        <v>4149</v>
      </c>
      <c r="D1180" s="8" t="s">
        <v>4150</v>
      </c>
      <c r="E1180" s="8" t="s">
        <v>120</v>
      </c>
      <c r="F1180" s="8" t="s">
        <v>4151</v>
      </c>
      <c r="G1180" s="8" t="s">
        <v>2868</v>
      </c>
      <c r="H1180" s="9">
        <v>2000000</v>
      </c>
      <c r="I1180" s="9">
        <f>[1]!Tabel1[[#This Row],[Honorar]]*[1]!Tabel1[[#This Row],[Sandsynlighed]]</f>
        <v>25000</v>
      </c>
      <c r="J1180" s="10" t="s">
        <v>341</v>
      </c>
      <c r="K1180" s="10" t="s">
        <v>1062</v>
      </c>
      <c r="L1180" s="21"/>
      <c r="M1180" s="11">
        <v>0.05</v>
      </c>
      <c r="N1180" s="1"/>
      <c r="O1180" s="10">
        <v>46279.611168981479</v>
      </c>
      <c r="P1180" s="10"/>
      <c r="Q1180" s="1" t="s">
        <v>46</v>
      </c>
      <c r="R1180" s="8" t="s">
        <v>343</v>
      </c>
      <c r="S118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8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8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8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8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8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8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8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8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8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8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8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8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80" s="12">
        <f ca="1">[1]!Tabel1[[#This Row],[Vægtet Honorar]]*([1]!Tabel1[[#This Row],[Sidst redigeret]]&gt;TODAY()-40)*([1]!Tabel1[[#This Row],[Er i resplan?]]&lt;&gt;"Ja")*([1]!Tabel1[[#This Row],[Status]]="Pågår")</f>
        <v>0</v>
      </c>
      <c r="AG1180" s="12">
        <f ca="1">[1]!Tabel1[[#This Row],[Vægtet Honorar]]*([1]!Tabel1[[#This Row],[Sidst redigeret]]&gt;TODAY()-40)*([1]!Tabel1[[#This Row],[Status]]="Pågår")</f>
        <v>0</v>
      </c>
      <c r="AH1180" s="13"/>
      <c r="AI1180" s="12"/>
      <c r="AJ1180" s="12" t="s">
        <v>4152</v>
      </c>
      <c r="AK1180" s="12"/>
      <c r="AL1180" s="12"/>
      <c r="AM1180" s="12"/>
      <c r="AN1180" s="12"/>
      <c r="AO1180" s="12"/>
      <c r="AP1180" s="12"/>
    </row>
    <row r="1181" spans="1:42" ht="157.5">
      <c r="A1181" t="s">
        <v>4153</v>
      </c>
      <c r="B1181" s="8"/>
      <c r="C1181" s="8" t="s">
        <v>4154</v>
      </c>
      <c r="D1181" s="8" t="s">
        <v>896</v>
      </c>
      <c r="E1181" s="8" t="s">
        <v>94</v>
      </c>
      <c r="F1181" s="8" t="s">
        <v>4155</v>
      </c>
      <c r="G1181" s="8" t="s">
        <v>4120</v>
      </c>
      <c r="H1181" s="9">
        <v>4000000</v>
      </c>
      <c r="I1181" s="9">
        <f>[1]!Tabel1[[#This Row],[Honorar]]*[1]!Tabel1[[#This Row],[Sandsynlighed]]</f>
        <v>45000</v>
      </c>
      <c r="J1181" s="10" t="s">
        <v>585</v>
      </c>
      <c r="K1181" s="10" t="s">
        <v>1062</v>
      </c>
      <c r="L1181" s="21" t="s">
        <v>4156</v>
      </c>
      <c r="M1181" s="11">
        <v>0.01</v>
      </c>
      <c r="N1181" s="1"/>
      <c r="O1181" s="10">
        <v>46279.611168981479</v>
      </c>
      <c r="P1181" s="1" t="s">
        <v>72</v>
      </c>
      <c r="Q1181" s="1" t="s">
        <v>72</v>
      </c>
      <c r="R1181" s="8" t="s">
        <v>49</v>
      </c>
      <c r="S118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8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8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8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8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8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8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8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8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8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8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8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8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81" s="12">
        <f ca="1">[1]!Tabel1[[#This Row],[Vægtet Honorar]]*([1]!Tabel1[[#This Row],[Sidst redigeret]]&gt;TODAY()-40)*([1]!Tabel1[[#This Row],[Er i resplan?]]&lt;&gt;"Ja")*([1]!Tabel1[[#This Row],[Status]]="Pågår")</f>
        <v>0</v>
      </c>
      <c r="AG1181" s="12">
        <f ca="1">[1]!Tabel1[[#This Row],[Vægtet Honorar]]*([1]!Tabel1[[#This Row],[Sidst redigeret]]&gt;TODAY()-40)*([1]!Tabel1[[#This Row],[Status]]="Pågår")</f>
        <v>0</v>
      </c>
      <c r="AH1181" s="13"/>
      <c r="AI1181" s="12"/>
      <c r="AJ1181" s="12" t="s">
        <v>2005</v>
      </c>
      <c r="AK1181" s="12" t="s">
        <v>4120</v>
      </c>
      <c r="AL1181" s="12"/>
      <c r="AM1181" s="12"/>
      <c r="AN1181" s="12"/>
      <c r="AO1181" s="12"/>
      <c r="AP1181" s="12"/>
    </row>
    <row r="1182" spans="1:42" ht="72">
      <c r="A1182" t="s">
        <v>4157</v>
      </c>
      <c r="B1182" s="8"/>
      <c r="C1182" s="8" t="s">
        <v>4158</v>
      </c>
      <c r="D1182" s="8" t="s">
        <v>4159</v>
      </c>
      <c r="E1182" s="8" t="s">
        <v>94</v>
      </c>
      <c r="F1182" s="8" t="s">
        <v>589</v>
      </c>
      <c r="G1182" s="8" t="s">
        <v>1213</v>
      </c>
      <c r="H1182" s="9">
        <v>5000000</v>
      </c>
      <c r="I1182" s="9">
        <f>[1]!Tabel1[[#This Row],[Honorar]]*[1]!Tabel1[[#This Row],[Sandsynlighed]]</f>
        <v>26000</v>
      </c>
      <c r="J1182" s="10" t="s">
        <v>329</v>
      </c>
      <c r="K1182" s="10" t="s">
        <v>2093</v>
      </c>
      <c r="L1182" s="21" t="s">
        <v>4160</v>
      </c>
      <c r="M1182" s="11">
        <v>0.2</v>
      </c>
      <c r="N1182" s="1"/>
      <c r="O1182" s="10">
        <v>46279.611168981479</v>
      </c>
      <c r="P1182" s="1" t="s">
        <v>72</v>
      </c>
      <c r="Q1182" s="1" t="s">
        <v>72</v>
      </c>
      <c r="R1182" s="8" t="s">
        <v>49</v>
      </c>
      <c r="S118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8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8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8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8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8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8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8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8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8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8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8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8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82" s="12">
        <f ca="1">[1]!Tabel1[[#This Row],[Vægtet Honorar]]*([1]!Tabel1[[#This Row],[Sidst redigeret]]&gt;TODAY()-40)*([1]!Tabel1[[#This Row],[Er i resplan?]]&lt;&gt;"Ja")*([1]!Tabel1[[#This Row],[Status]]="Pågår")</f>
        <v>0</v>
      </c>
      <c r="AG1182" s="12">
        <f ca="1">[1]!Tabel1[[#This Row],[Vægtet Honorar]]*([1]!Tabel1[[#This Row],[Sidst redigeret]]&gt;TODAY()-40)*([1]!Tabel1[[#This Row],[Status]]="Pågår")</f>
        <v>0</v>
      </c>
      <c r="AH1182" s="13"/>
      <c r="AI1182" s="12"/>
      <c r="AJ1182" s="12" t="s">
        <v>2005</v>
      </c>
      <c r="AK1182" s="12"/>
      <c r="AL1182" s="12"/>
      <c r="AM1182" s="12"/>
      <c r="AN1182" s="12"/>
      <c r="AO1182" s="12"/>
      <c r="AP1182" s="12"/>
    </row>
    <row r="1183" spans="1:42">
      <c r="A1183" t="s">
        <v>4161</v>
      </c>
      <c r="B1183" s="8"/>
      <c r="C1183" s="8" t="s">
        <v>4162</v>
      </c>
      <c r="D1183" s="8" t="s">
        <v>980</v>
      </c>
      <c r="E1183" s="8" t="s">
        <v>71</v>
      </c>
      <c r="F1183" s="8" t="s">
        <v>4163</v>
      </c>
      <c r="G1183" s="8" t="s">
        <v>4163</v>
      </c>
      <c r="H1183" s="9">
        <v>50000</v>
      </c>
      <c r="I1183" s="9">
        <f>[1]!Tabel1[[#This Row],[Honorar]]*[1]!Tabel1[[#This Row],[Sandsynlighed]]</f>
        <v>500000</v>
      </c>
      <c r="J1183" s="10" t="s">
        <v>329</v>
      </c>
      <c r="K1183" s="10" t="s">
        <v>2093</v>
      </c>
      <c r="L1183" s="21"/>
      <c r="M1183" s="11">
        <v>0</v>
      </c>
      <c r="N1183" s="1"/>
      <c r="O1183" s="10">
        <v>46279.611168981479</v>
      </c>
      <c r="P1183" s="10"/>
      <c r="Q1183" s="1" t="s">
        <v>46</v>
      </c>
      <c r="R1183" s="8" t="s">
        <v>75</v>
      </c>
      <c r="S118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8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8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8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8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8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8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8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8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8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8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8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8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83" s="12">
        <f ca="1">[1]!Tabel1[[#This Row],[Vægtet Honorar]]*([1]!Tabel1[[#This Row],[Sidst redigeret]]&gt;TODAY()-40)*([1]!Tabel1[[#This Row],[Er i resplan?]]&lt;&gt;"Ja")*([1]!Tabel1[[#This Row],[Status]]="Pågår")</f>
        <v>500000</v>
      </c>
      <c r="AG1183" s="12">
        <f ca="1">[1]!Tabel1[[#This Row],[Vægtet Honorar]]*([1]!Tabel1[[#This Row],[Sidst redigeret]]&gt;TODAY()-40)*([1]!Tabel1[[#This Row],[Status]]="Pågår")</f>
        <v>500000</v>
      </c>
      <c r="AH1183" s="13"/>
      <c r="AI1183" s="12"/>
      <c r="AJ1183" s="12"/>
      <c r="AK1183" s="12"/>
      <c r="AL1183" s="12"/>
      <c r="AM1183" s="12"/>
      <c r="AN1183" s="12"/>
      <c r="AO1183" s="12"/>
      <c r="AP1183" s="12"/>
    </row>
    <row r="1184" spans="1:42" ht="29.25">
      <c r="A1184" t="s">
        <v>4164</v>
      </c>
      <c r="B1184" s="8"/>
      <c r="C1184" s="8" t="s">
        <v>4165</v>
      </c>
      <c r="D1184" s="8" t="s">
        <v>2886</v>
      </c>
      <c r="E1184" s="8" t="s">
        <v>120</v>
      </c>
      <c r="F1184" s="8" t="s">
        <v>4166</v>
      </c>
      <c r="G1184" s="8" t="s">
        <v>3460</v>
      </c>
      <c r="H1184" s="9">
        <v>2500000</v>
      </c>
      <c r="I1184" s="9">
        <f>[1]!Tabel1[[#This Row],[Honorar]]*[1]!Tabel1[[#This Row],[Sandsynlighed]]</f>
        <v>112200</v>
      </c>
      <c r="J1184" s="10" t="s">
        <v>341</v>
      </c>
      <c r="K1184" s="10" t="s">
        <v>1062</v>
      </c>
      <c r="L1184" s="21" t="s">
        <v>4167</v>
      </c>
      <c r="M1184" s="11">
        <v>0.05</v>
      </c>
      <c r="N1184" s="1">
        <v>12000</v>
      </c>
      <c r="O1184" s="10">
        <v>46279.611168981479</v>
      </c>
      <c r="P1184" s="10"/>
      <c r="Q1184" s="1" t="s">
        <v>72</v>
      </c>
      <c r="R1184" s="8" t="s">
        <v>343</v>
      </c>
      <c r="S118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8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8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8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8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8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8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8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8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8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8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8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8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84" s="12">
        <f ca="1">[1]!Tabel1[[#This Row],[Vægtet Honorar]]*([1]!Tabel1[[#This Row],[Sidst redigeret]]&gt;TODAY()-40)*([1]!Tabel1[[#This Row],[Er i resplan?]]&lt;&gt;"Ja")*([1]!Tabel1[[#This Row],[Status]]="Pågår")</f>
        <v>0</v>
      </c>
      <c r="AG1184" s="12">
        <f ca="1">[1]!Tabel1[[#This Row],[Vægtet Honorar]]*([1]!Tabel1[[#This Row],[Sidst redigeret]]&gt;TODAY()-40)*([1]!Tabel1[[#This Row],[Status]]="Pågår")</f>
        <v>112200</v>
      </c>
      <c r="AH1184" s="13"/>
      <c r="AI1184" s="12"/>
      <c r="AJ1184" s="12" t="s">
        <v>3695</v>
      </c>
      <c r="AK1184" s="12" t="s">
        <v>3460</v>
      </c>
      <c r="AL1184" s="12"/>
      <c r="AM1184" s="12"/>
      <c r="AN1184" s="12"/>
      <c r="AO1184" s="12"/>
      <c r="AP1184" s="12"/>
    </row>
    <row r="1185" spans="1:42" ht="29.25">
      <c r="A1185" t="s">
        <v>4168</v>
      </c>
      <c r="B1185" s="8"/>
      <c r="C1185" s="8" t="s">
        <v>4169</v>
      </c>
      <c r="D1185" s="8" t="s">
        <v>2886</v>
      </c>
      <c r="E1185" s="8" t="s">
        <v>120</v>
      </c>
      <c r="F1185" s="8" t="s">
        <v>4166</v>
      </c>
      <c r="G1185" s="8" t="s">
        <v>3460</v>
      </c>
      <c r="H1185" s="9">
        <v>2000000</v>
      </c>
      <c r="I1185" s="9">
        <f>[1]!Tabel1[[#This Row],[Honorar]]*[1]!Tabel1[[#This Row],[Sandsynlighed]]</f>
        <v>100000</v>
      </c>
      <c r="J1185" s="10" t="s">
        <v>1191</v>
      </c>
      <c r="K1185" s="10" t="s">
        <v>342</v>
      </c>
      <c r="L1185" s="21" t="s">
        <v>4170</v>
      </c>
      <c r="M1185" s="11">
        <v>0.05</v>
      </c>
      <c r="N1185" s="1">
        <v>7500</v>
      </c>
      <c r="O1185" s="10">
        <v>46279.611168981479</v>
      </c>
      <c r="P1185" s="10"/>
      <c r="Q1185" s="1" t="s">
        <v>72</v>
      </c>
      <c r="R1185" s="8" t="s">
        <v>343</v>
      </c>
      <c r="S118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8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8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8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8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8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8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8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8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8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8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8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8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85" s="12">
        <f ca="1">[1]!Tabel1[[#This Row],[Vægtet Honorar]]*([1]!Tabel1[[#This Row],[Sidst redigeret]]&gt;TODAY()-40)*([1]!Tabel1[[#This Row],[Er i resplan?]]&lt;&gt;"Ja")*([1]!Tabel1[[#This Row],[Status]]="Pågår")</f>
        <v>0</v>
      </c>
      <c r="AG1185" s="12">
        <f ca="1">[1]!Tabel1[[#This Row],[Vægtet Honorar]]*([1]!Tabel1[[#This Row],[Sidst redigeret]]&gt;TODAY()-40)*([1]!Tabel1[[#This Row],[Status]]="Pågår")</f>
        <v>100000</v>
      </c>
      <c r="AH1185" s="13"/>
      <c r="AI1185" s="12"/>
      <c r="AJ1185" s="12" t="s">
        <v>3695</v>
      </c>
      <c r="AK1185" s="12" t="s">
        <v>3460</v>
      </c>
      <c r="AL1185" s="12"/>
      <c r="AM1185" s="12"/>
      <c r="AN1185" s="12"/>
      <c r="AO1185" s="12"/>
      <c r="AP1185" s="12"/>
    </row>
    <row r="1186" spans="1:42">
      <c r="A1186" t="s">
        <v>4171</v>
      </c>
      <c r="B1186" s="8"/>
      <c r="C1186" s="8" t="s">
        <v>4172</v>
      </c>
      <c r="D1186" s="8" t="s">
        <v>125</v>
      </c>
      <c r="E1186" s="8" t="s">
        <v>71</v>
      </c>
      <c r="F1186" s="8" t="s">
        <v>4166</v>
      </c>
      <c r="G1186" s="8" t="s">
        <v>4173</v>
      </c>
      <c r="H1186" s="9">
        <v>30000</v>
      </c>
      <c r="I1186" s="9">
        <f>[1]!Tabel1[[#This Row],[Honorar]]*[1]!Tabel1[[#This Row],[Sandsynlighed]]</f>
        <v>40000</v>
      </c>
      <c r="J1186" s="10" t="s">
        <v>329</v>
      </c>
      <c r="K1186" s="10" t="s">
        <v>329</v>
      </c>
      <c r="L1186" s="21"/>
      <c r="M1186" s="11">
        <v>1</v>
      </c>
      <c r="N1186" s="1">
        <v>100</v>
      </c>
      <c r="O1186" s="10">
        <v>46279.611168981479</v>
      </c>
      <c r="P1186" s="10"/>
      <c r="Q1186" s="1" t="s">
        <v>46</v>
      </c>
      <c r="R1186" s="8" t="s">
        <v>47</v>
      </c>
      <c r="S118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8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8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8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8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8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8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8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8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8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8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8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8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86" s="12">
        <f ca="1">[1]!Tabel1[[#This Row],[Vægtet Honorar]]*([1]!Tabel1[[#This Row],[Sidst redigeret]]&gt;TODAY()-40)*([1]!Tabel1[[#This Row],[Er i resplan?]]&lt;&gt;"Ja")*([1]!Tabel1[[#This Row],[Status]]="Pågår")</f>
        <v>0</v>
      </c>
      <c r="AG1186" s="12">
        <f ca="1">[1]!Tabel1[[#This Row],[Vægtet Honorar]]*([1]!Tabel1[[#This Row],[Sidst redigeret]]&gt;TODAY()-40)*([1]!Tabel1[[#This Row],[Status]]="Pågår")</f>
        <v>0</v>
      </c>
      <c r="AH1186" s="13">
        <v>45993.41306712963</v>
      </c>
      <c r="AI1186" s="12"/>
      <c r="AJ1186" s="12"/>
      <c r="AK1186" s="12"/>
      <c r="AL1186" s="12"/>
      <c r="AM1186" s="12"/>
      <c r="AN1186" s="12"/>
      <c r="AO1186" s="12"/>
      <c r="AP1186" s="12"/>
    </row>
    <row r="1187" spans="1:42">
      <c r="A1187" t="s">
        <v>4174</v>
      </c>
      <c r="B1187" s="8"/>
      <c r="C1187" s="8" t="s">
        <v>4175</v>
      </c>
      <c r="D1187" s="8" t="s">
        <v>2886</v>
      </c>
      <c r="E1187" s="8" t="s">
        <v>120</v>
      </c>
      <c r="F1187" s="8" t="s">
        <v>4176</v>
      </c>
      <c r="G1187" s="8" t="s">
        <v>4177</v>
      </c>
      <c r="H1187" s="9">
        <v>300000</v>
      </c>
      <c r="I1187" s="9">
        <f>[1]!Tabel1[[#This Row],[Honorar]]*[1]!Tabel1[[#This Row],[Sandsynlighed]]</f>
        <v>1000000</v>
      </c>
      <c r="J1187" s="10" t="s">
        <v>329</v>
      </c>
      <c r="K1187" s="10" t="s">
        <v>1191</v>
      </c>
      <c r="L1187" s="21"/>
      <c r="M1187" s="11">
        <v>0.75</v>
      </c>
      <c r="N1187" s="1">
        <v>1400</v>
      </c>
      <c r="O1187" s="10">
        <v>46279.611168981479</v>
      </c>
      <c r="P1187" s="10"/>
      <c r="Q1187" s="1" t="s">
        <v>46</v>
      </c>
      <c r="R1187" s="8" t="s">
        <v>75</v>
      </c>
      <c r="S118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8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8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8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8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8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8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8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8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8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8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8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8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87" s="12">
        <f ca="1">[1]!Tabel1[[#This Row],[Vægtet Honorar]]*([1]!Tabel1[[#This Row],[Sidst redigeret]]&gt;TODAY()-40)*([1]!Tabel1[[#This Row],[Er i resplan?]]&lt;&gt;"Ja")*([1]!Tabel1[[#This Row],[Status]]="Pågår")</f>
        <v>0</v>
      </c>
      <c r="AG1187" s="12">
        <f ca="1">[1]!Tabel1[[#This Row],[Vægtet Honorar]]*([1]!Tabel1[[#This Row],[Sidst redigeret]]&gt;TODAY()-40)*([1]!Tabel1[[#This Row],[Status]]="Pågår")</f>
        <v>0</v>
      </c>
      <c r="AH1187" s="13"/>
      <c r="AI1187" s="12"/>
      <c r="AJ1187" s="12" t="s">
        <v>4178</v>
      </c>
      <c r="AK1187" s="12" t="s">
        <v>4177</v>
      </c>
      <c r="AL1187" s="12"/>
      <c r="AM1187" s="12"/>
      <c r="AN1187" s="12"/>
      <c r="AO1187" s="12"/>
      <c r="AP1187" s="12"/>
    </row>
    <row r="1188" spans="1:42">
      <c r="A1188" t="s">
        <v>4179</v>
      </c>
      <c r="B1188" s="8"/>
      <c r="C1188" s="8" t="s">
        <v>4180</v>
      </c>
      <c r="D1188" s="8" t="s">
        <v>2886</v>
      </c>
      <c r="E1188" s="8" t="s">
        <v>120</v>
      </c>
      <c r="F1188" s="8" t="s">
        <v>2657</v>
      </c>
      <c r="G1188" s="8" t="s">
        <v>4177</v>
      </c>
      <c r="H1188" s="9">
        <v>1000000</v>
      </c>
      <c r="I1188" s="9">
        <f>[1]!Tabel1[[#This Row],[Honorar]]*[1]!Tabel1[[#This Row],[Sandsynlighed]]</f>
        <v>0</v>
      </c>
      <c r="J1188" s="10" t="s">
        <v>1287</v>
      </c>
      <c r="K1188" s="10" t="s">
        <v>341</v>
      </c>
      <c r="L1188" s="21"/>
      <c r="M1188" s="11">
        <v>0.2</v>
      </c>
      <c r="N1188" s="1">
        <v>1400</v>
      </c>
      <c r="O1188" s="10">
        <v>46279.611168981479</v>
      </c>
      <c r="P1188" s="10"/>
      <c r="Q1188" s="1" t="s">
        <v>46</v>
      </c>
      <c r="R1188" s="8" t="s">
        <v>75</v>
      </c>
      <c r="S118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8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8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8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8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8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8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8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8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8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8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8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8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88" s="12">
        <f ca="1">[1]!Tabel1[[#This Row],[Vægtet Honorar]]*([1]!Tabel1[[#This Row],[Sidst redigeret]]&gt;TODAY()-40)*([1]!Tabel1[[#This Row],[Er i resplan?]]&lt;&gt;"Ja")*([1]!Tabel1[[#This Row],[Status]]="Pågår")</f>
        <v>0</v>
      </c>
      <c r="AG1188" s="12">
        <f ca="1">[1]!Tabel1[[#This Row],[Vægtet Honorar]]*([1]!Tabel1[[#This Row],[Sidst redigeret]]&gt;TODAY()-40)*([1]!Tabel1[[#This Row],[Status]]="Pågår")</f>
        <v>0</v>
      </c>
      <c r="AH1188" s="13"/>
      <c r="AI1188" s="12"/>
      <c r="AJ1188" s="12" t="s">
        <v>4181</v>
      </c>
      <c r="AK1188" s="12" t="s">
        <v>4177</v>
      </c>
      <c r="AL1188" s="12"/>
      <c r="AM1188" s="12"/>
      <c r="AN1188" s="12"/>
      <c r="AO1188" s="12"/>
      <c r="AP1188" s="12"/>
    </row>
    <row r="1189" spans="1:42" ht="72">
      <c r="A1189" t="s">
        <v>4182</v>
      </c>
      <c r="B1189" s="8"/>
      <c r="C1189" s="8" t="s">
        <v>4183</v>
      </c>
      <c r="D1189" s="8" t="s">
        <v>4159</v>
      </c>
      <c r="E1189" s="8" t="s">
        <v>94</v>
      </c>
      <c r="F1189" s="8" t="s">
        <v>4184</v>
      </c>
      <c r="G1189" s="8" t="s">
        <v>1213</v>
      </c>
      <c r="H1189" s="9">
        <v>6000000</v>
      </c>
      <c r="I1189" s="9">
        <f>[1]!Tabel1[[#This Row],[Honorar]]*[1]!Tabel1[[#This Row],[Sandsynlighed]]</f>
        <v>125000</v>
      </c>
      <c r="J1189" s="10" t="s">
        <v>1191</v>
      </c>
      <c r="K1189" s="10" t="s">
        <v>342</v>
      </c>
      <c r="L1189" s="21" t="s">
        <v>4160</v>
      </c>
      <c r="M1189" s="11">
        <v>0.01</v>
      </c>
      <c r="N1189" s="1">
        <v>1400</v>
      </c>
      <c r="O1189" s="10">
        <v>46279.611168981479</v>
      </c>
      <c r="P1189" s="1" t="s">
        <v>72</v>
      </c>
      <c r="Q1189" s="1" t="s">
        <v>72</v>
      </c>
      <c r="R1189" s="8" t="s">
        <v>49</v>
      </c>
      <c r="S118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8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8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8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8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8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8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8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8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8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8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8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8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89" s="12">
        <f ca="1">[1]!Tabel1[[#This Row],[Vægtet Honorar]]*([1]!Tabel1[[#This Row],[Sidst redigeret]]&gt;TODAY()-40)*([1]!Tabel1[[#This Row],[Er i resplan?]]&lt;&gt;"Ja")*([1]!Tabel1[[#This Row],[Status]]="Pågår")</f>
        <v>125000</v>
      </c>
      <c r="AG1189" s="12">
        <f ca="1">[1]!Tabel1[[#This Row],[Vægtet Honorar]]*([1]!Tabel1[[#This Row],[Sidst redigeret]]&gt;TODAY()-40)*([1]!Tabel1[[#This Row],[Status]]="Pågår")</f>
        <v>125000</v>
      </c>
      <c r="AH1189" s="13"/>
      <c r="AI1189" s="12"/>
      <c r="AJ1189" s="12" t="s">
        <v>1213</v>
      </c>
      <c r="AK1189" s="12"/>
      <c r="AL1189" s="12"/>
      <c r="AM1189" s="12"/>
      <c r="AN1189" s="12"/>
      <c r="AO1189" s="12"/>
      <c r="AP1189" s="12"/>
    </row>
    <row r="1190" spans="1:42" ht="300">
      <c r="A1190" t="s">
        <v>4185</v>
      </c>
      <c r="B1190" s="8"/>
      <c r="C1190" s="8" t="s">
        <v>4186</v>
      </c>
      <c r="D1190" s="8" t="s">
        <v>581</v>
      </c>
      <c r="E1190" s="8" t="s">
        <v>94</v>
      </c>
      <c r="F1190" s="8" t="s">
        <v>4187</v>
      </c>
      <c r="G1190" s="8" t="s">
        <v>2917</v>
      </c>
      <c r="H1190" s="9">
        <v>4000000</v>
      </c>
      <c r="I1190" s="9">
        <f>[1]!Tabel1[[#This Row],[Honorar]]*[1]!Tabel1[[#This Row],[Sandsynlighed]]</f>
        <v>100000</v>
      </c>
      <c r="J1190" s="10" t="s">
        <v>1191</v>
      </c>
      <c r="K1190" s="10" t="s">
        <v>342</v>
      </c>
      <c r="L1190" s="21" t="s">
        <v>4188</v>
      </c>
      <c r="M1190" s="11">
        <v>0.01</v>
      </c>
      <c r="N1190" s="1">
        <v>3500</v>
      </c>
      <c r="O1190" s="10">
        <v>46279.611168981479</v>
      </c>
      <c r="P1190" s="1" t="s">
        <v>46</v>
      </c>
      <c r="Q1190" s="1" t="s">
        <v>72</v>
      </c>
      <c r="R1190" s="8" t="s">
        <v>49</v>
      </c>
      <c r="S119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9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9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9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9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9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9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9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9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9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9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9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9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90" s="12">
        <f ca="1">[1]!Tabel1[[#This Row],[Vægtet Honorar]]*([1]!Tabel1[[#This Row],[Sidst redigeret]]&gt;TODAY()-40)*([1]!Tabel1[[#This Row],[Er i resplan?]]&lt;&gt;"Ja")*([1]!Tabel1[[#This Row],[Status]]="Pågår")</f>
        <v>100000</v>
      </c>
      <c r="AG1190" s="12">
        <f ca="1">[1]!Tabel1[[#This Row],[Vægtet Honorar]]*([1]!Tabel1[[#This Row],[Sidst redigeret]]&gt;TODAY()-40)*([1]!Tabel1[[#This Row],[Status]]="Pågår")</f>
        <v>100000</v>
      </c>
      <c r="AH1190" s="13"/>
      <c r="AI1190" s="12"/>
      <c r="AJ1190" s="12" t="s">
        <v>1213</v>
      </c>
      <c r="AK1190" s="12"/>
      <c r="AL1190" s="12"/>
      <c r="AM1190" s="12"/>
      <c r="AN1190" s="12"/>
      <c r="AO1190" s="12"/>
      <c r="AP1190" s="12"/>
    </row>
    <row r="1191" spans="1:42" ht="72">
      <c r="A1191" t="s">
        <v>4189</v>
      </c>
      <c r="B1191" s="8"/>
      <c r="C1191" s="8" t="s">
        <v>4190</v>
      </c>
      <c r="D1191" s="8" t="s">
        <v>896</v>
      </c>
      <c r="E1191" s="8" t="s">
        <v>94</v>
      </c>
      <c r="F1191" s="8" t="s">
        <v>4187</v>
      </c>
      <c r="G1191" s="8" t="s">
        <v>4187</v>
      </c>
      <c r="H1191" s="9">
        <v>2000000</v>
      </c>
      <c r="I1191" s="9">
        <f>[1]!Tabel1[[#This Row],[Honorar]]*[1]!Tabel1[[#This Row],[Sandsynlighed]]</f>
        <v>30000</v>
      </c>
      <c r="J1191" s="10" t="s">
        <v>1191</v>
      </c>
      <c r="K1191" s="10" t="s">
        <v>342</v>
      </c>
      <c r="L1191" s="21" t="s">
        <v>4191</v>
      </c>
      <c r="M1191" s="11">
        <v>0.01</v>
      </c>
      <c r="N1191" s="1">
        <v>1500</v>
      </c>
      <c r="O1191" s="10">
        <v>46279.611168981479</v>
      </c>
      <c r="P1191" s="1" t="s">
        <v>72</v>
      </c>
      <c r="Q1191" s="1" t="s">
        <v>72</v>
      </c>
      <c r="R1191" s="8" t="s">
        <v>75</v>
      </c>
      <c r="S119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9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9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9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9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9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9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9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9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9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9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9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9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91" s="12">
        <f ca="1">[1]!Tabel1[[#This Row],[Vægtet Honorar]]*([1]!Tabel1[[#This Row],[Sidst redigeret]]&gt;TODAY()-40)*([1]!Tabel1[[#This Row],[Er i resplan?]]&lt;&gt;"Ja")*([1]!Tabel1[[#This Row],[Status]]="Pågår")</f>
        <v>0</v>
      </c>
      <c r="AG1191" s="12">
        <f ca="1">[1]!Tabel1[[#This Row],[Vægtet Honorar]]*([1]!Tabel1[[#This Row],[Sidst redigeret]]&gt;TODAY()-40)*([1]!Tabel1[[#This Row],[Status]]="Pågår")</f>
        <v>0</v>
      </c>
      <c r="AH1191" s="13"/>
      <c r="AI1191" s="12"/>
      <c r="AJ1191" s="12" t="s">
        <v>1737</v>
      </c>
      <c r="AK1191" s="12"/>
      <c r="AL1191" s="12"/>
      <c r="AM1191" s="12"/>
      <c r="AN1191" s="12"/>
      <c r="AO1191" s="12"/>
      <c r="AP1191" s="12"/>
    </row>
    <row r="1192" spans="1:42" ht="72">
      <c r="A1192" t="s">
        <v>4192</v>
      </c>
      <c r="B1192" s="8"/>
      <c r="C1192" s="8" t="s">
        <v>4193</v>
      </c>
      <c r="D1192" s="8" t="s">
        <v>896</v>
      </c>
      <c r="E1192" s="8" t="s">
        <v>94</v>
      </c>
      <c r="F1192" s="8" t="s">
        <v>1394</v>
      </c>
      <c r="G1192" s="8" t="s">
        <v>1394</v>
      </c>
      <c r="H1192" s="9">
        <v>7000000</v>
      </c>
      <c r="I1192" s="9">
        <f>[1]!Tabel1[[#This Row],[Honorar]]*[1]!Tabel1[[#This Row],[Sandsynlighed]]</f>
        <v>225000</v>
      </c>
      <c r="J1192" s="10" t="s">
        <v>1191</v>
      </c>
      <c r="K1192" s="10" t="s">
        <v>342</v>
      </c>
      <c r="L1192" s="21" t="s">
        <v>4160</v>
      </c>
      <c r="M1192" s="11">
        <v>0.01</v>
      </c>
      <c r="N1192" s="1">
        <v>4000</v>
      </c>
      <c r="O1192" s="10">
        <v>46279.611168981479</v>
      </c>
      <c r="P1192" s="1" t="s">
        <v>72</v>
      </c>
      <c r="Q1192" s="1" t="s">
        <v>72</v>
      </c>
      <c r="R1192" s="8" t="s">
        <v>49</v>
      </c>
      <c r="S119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9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9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9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9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9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9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9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9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9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9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9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9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92" s="12">
        <f ca="1">[1]!Tabel1[[#This Row],[Vægtet Honorar]]*([1]!Tabel1[[#This Row],[Sidst redigeret]]&gt;TODAY()-40)*([1]!Tabel1[[#This Row],[Er i resplan?]]&lt;&gt;"Ja")*([1]!Tabel1[[#This Row],[Status]]="Pågår")</f>
        <v>0</v>
      </c>
      <c r="AG1192" s="12">
        <f ca="1">[1]!Tabel1[[#This Row],[Vægtet Honorar]]*([1]!Tabel1[[#This Row],[Sidst redigeret]]&gt;TODAY()-40)*([1]!Tabel1[[#This Row],[Status]]="Pågår")</f>
        <v>0</v>
      </c>
      <c r="AH1192" s="13"/>
      <c r="AI1192" s="12"/>
      <c r="AJ1192" s="12" t="s">
        <v>2005</v>
      </c>
      <c r="AK1192" s="12"/>
      <c r="AL1192" s="12"/>
      <c r="AM1192" s="12"/>
      <c r="AN1192" s="12"/>
      <c r="AO1192" s="12"/>
      <c r="AP1192" s="12"/>
    </row>
    <row r="1193" spans="1:42">
      <c r="A1193" t="s">
        <v>4194</v>
      </c>
      <c r="B1193" s="8"/>
      <c r="C1193" s="8" t="s">
        <v>4195</v>
      </c>
      <c r="D1193" s="8" t="s">
        <v>158</v>
      </c>
      <c r="E1193" s="8" t="s">
        <v>167</v>
      </c>
      <c r="F1193" s="8" t="s">
        <v>1357</v>
      </c>
      <c r="G1193" s="8" t="s">
        <v>1256</v>
      </c>
      <c r="H1193" s="9">
        <v>1</v>
      </c>
      <c r="I1193" s="9">
        <f>[1]!Tabel1[[#This Row],[Honorar]]*[1]!Tabel1[[#This Row],[Sandsynlighed]]</f>
        <v>200000</v>
      </c>
      <c r="J1193" s="10" t="s">
        <v>1287</v>
      </c>
      <c r="K1193" s="10" t="s">
        <v>342</v>
      </c>
      <c r="L1193" s="21"/>
      <c r="M1193" s="11">
        <v>0.01</v>
      </c>
      <c r="N1193" s="1" t="s">
        <v>1015</v>
      </c>
      <c r="O1193" s="10">
        <v>46279.611168981479</v>
      </c>
      <c r="P1193" s="10"/>
      <c r="Q1193" s="1" t="s">
        <v>72</v>
      </c>
      <c r="R1193" s="8" t="s">
        <v>343</v>
      </c>
      <c r="S119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9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9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9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9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9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9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9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9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9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9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9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9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93" s="12">
        <f ca="1">[1]!Tabel1[[#This Row],[Vægtet Honorar]]*([1]!Tabel1[[#This Row],[Sidst redigeret]]&gt;TODAY()-40)*([1]!Tabel1[[#This Row],[Er i resplan?]]&lt;&gt;"Ja")*([1]!Tabel1[[#This Row],[Status]]="Pågår")</f>
        <v>0</v>
      </c>
      <c r="AG1193" s="12">
        <f ca="1">[1]!Tabel1[[#This Row],[Vægtet Honorar]]*([1]!Tabel1[[#This Row],[Sidst redigeret]]&gt;TODAY()-40)*([1]!Tabel1[[#This Row],[Status]]="Pågår")</f>
        <v>0</v>
      </c>
      <c r="AH1193" s="13"/>
      <c r="AI1193" s="12"/>
      <c r="AJ1193" s="12"/>
      <c r="AK1193" s="12" t="s">
        <v>4196</v>
      </c>
      <c r="AL1193" s="12"/>
      <c r="AM1193" s="12" t="s">
        <v>1005</v>
      </c>
      <c r="AN1193" s="12"/>
      <c r="AO1193" s="12"/>
      <c r="AP1193" s="12"/>
    </row>
    <row r="1194" spans="1:42" ht="100.5">
      <c r="A1194" t="s">
        <v>4197</v>
      </c>
      <c r="B1194" s="8"/>
      <c r="C1194" s="8" t="s">
        <v>4198</v>
      </c>
      <c r="D1194" s="8" t="s">
        <v>720</v>
      </c>
      <c r="E1194" s="8" t="s">
        <v>71</v>
      </c>
      <c r="F1194" s="8" t="s">
        <v>4199</v>
      </c>
      <c r="G1194" s="8" t="s">
        <v>4200</v>
      </c>
      <c r="H1194" s="9">
        <v>1000000</v>
      </c>
      <c r="I1194" s="9">
        <f>[1]!Tabel1[[#This Row],[Honorar]]*[1]!Tabel1[[#This Row],[Sandsynlighed]]</f>
        <v>60000</v>
      </c>
      <c r="J1194" s="10" t="s">
        <v>329</v>
      </c>
      <c r="K1194" s="10" t="s">
        <v>342</v>
      </c>
      <c r="L1194" s="21" t="s">
        <v>4201</v>
      </c>
      <c r="M1194" s="11">
        <v>0.25</v>
      </c>
      <c r="N1194" s="1">
        <v>2000</v>
      </c>
      <c r="O1194" s="10">
        <v>46279.611168981479</v>
      </c>
      <c r="P1194" s="10"/>
      <c r="Q1194" s="1" t="s">
        <v>72</v>
      </c>
      <c r="R1194" s="8" t="s">
        <v>75</v>
      </c>
      <c r="S119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9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9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9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9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9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9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9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9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9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9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9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9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94" s="12">
        <f ca="1">[1]!Tabel1[[#This Row],[Vægtet Honorar]]*([1]!Tabel1[[#This Row],[Sidst redigeret]]&gt;TODAY()-40)*([1]!Tabel1[[#This Row],[Er i resplan?]]&lt;&gt;"Ja")*([1]!Tabel1[[#This Row],[Status]]="Pågår")</f>
        <v>0</v>
      </c>
      <c r="AG1194" s="12">
        <f ca="1">[1]!Tabel1[[#This Row],[Vægtet Honorar]]*([1]!Tabel1[[#This Row],[Sidst redigeret]]&gt;TODAY()-40)*([1]!Tabel1[[#This Row],[Status]]="Pågår")</f>
        <v>0</v>
      </c>
      <c r="AH1194" s="13"/>
      <c r="AI1194" s="12"/>
      <c r="AJ1194" s="12"/>
      <c r="AK1194" s="12"/>
      <c r="AL1194" s="12"/>
      <c r="AM1194" s="12"/>
      <c r="AN1194" s="12"/>
      <c r="AO1194" s="12"/>
      <c r="AP1194" s="12"/>
    </row>
    <row r="1195" spans="1:42" ht="57.75">
      <c r="A1195" t="s">
        <v>4202</v>
      </c>
      <c r="B1195" s="8"/>
      <c r="C1195" s="8" t="s">
        <v>4203</v>
      </c>
      <c r="D1195" s="8" t="s">
        <v>134</v>
      </c>
      <c r="E1195" s="8" t="s">
        <v>94</v>
      </c>
      <c r="F1195" s="8" t="s">
        <v>4203</v>
      </c>
      <c r="G1195" s="8" t="s">
        <v>2295</v>
      </c>
      <c r="H1195" s="9">
        <v>15000</v>
      </c>
      <c r="I1195" s="9">
        <f>[1]!Tabel1[[#This Row],[Honorar]]*[1]!Tabel1[[#This Row],[Sandsynlighed]]</f>
        <v>40000</v>
      </c>
      <c r="J1195" s="10" t="s">
        <v>1287</v>
      </c>
      <c r="K1195" s="10" t="s">
        <v>1287</v>
      </c>
      <c r="L1195" s="21" t="s">
        <v>4204</v>
      </c>
      <c r="M1195" s="11">
        <v>0.5</v>
      </c>
      <c r="N1195" s="1" t="s">
        <v>777</v>
      </c>
      <c r="O1195" s="10">
        <v>46279.611168981479</v>
      </c>
      <c r="P1195" s="1" t="s">
        <v>46</v>
      </c>
      <c r="Q1195" s="1" t="s">
        <v>72</v>
      </c>
      <c r="R1195" s="8" t="s">
        <v>47</v>
      </c>
      <c r="S119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9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9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9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9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9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9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9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9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9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9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9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9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95" s="12">
        <f ca="1">[1]!Tabel1[[#This Row],[Vægtet Honorar]]*([1]!Tabel1[[#This Row],[Sidst redigeret]]&gt;TODAY()-40)*([1]!Tabel1[[#This Row],[Er i resplan?]]&lt;&gt;"Ja")*([1]!Tabel1[[#This Row],[Status]]="Pågår")</f>
        <v>0</v>
      </c>
      <c r="AG1195" s="12">
        <f ca="1">[1]!Tabel1[[#This Row],[Vægtet Honorar]]*([1]!Tabel1[[#This Row],[Sidst redigeret]]&gt;TODAY()-40)*([1]!Tabel1[[#This Row],[Status]]="Pågår")</f>
        <v>0</v>
      </c>
      <c r="AH1195" s="13">
        <v>45909.682303240741</v>
      </c>
      <c r="AI1195" s="12"/>
      <c r="AJ1195" s="12"/>
      <c r="AK1195" s="12"/>
      <c r="AL1195" s="12"/>
      <c r="AM1195" s="12"/>
      <c r="AN1195" s="12"/>
      <c r="AO1195" s="12"/>
      <c r="AP1195" s="12"/>
    </row>
    <row r="1196" spans="1:42" ht="29.25">
      <c r="A1196" t="s">
        <v>4205</v>
      </c>
      <c r="B1196" s="8"/>
      <c r="C1196" s="8" t="s">
        <v>4206</v>
      </c>
      <c r="D1196" s="8" t="s">
        <v>1623</v>
      </c>
      <c r="E1196" s="8" t="s">
        <v>102</v>
      </c>
      <c r="F1196" s="8" t="s">
        <v>4207</v>
      </c>
      <c r="G1196" s="8" t="s">
        <v>4208</v>
      </c>
      <c r="H1196" s="9">
        <v>250000</v>
      </c>
      <c r="I1196" s="9">
        <f>[1]!Tabel1[[#This Row],[Honorar]]*[1]!Tabel1[[#This Row],[Sandsynlighed]]</f>
        <v>20000</v>
      </c>
      <c r="J1196" s="10" t="s">
        <v>329</v>
      </c>
      <c r="K1196" s="10" t="s">
        <v>342</v>
      </c>
      <c r="L1196" s="21" t="s">
        <v>4209</v>
      </c>
      <c r="M1196" s="11">
        <v>1</v>
      </c>
      <c r="N1196" s="1">
        <v>4000</v>
      </c>
      <c r="O1196" s="10">
        <v>46279.611168981479</v>
      </c>
      <c r="P1196" s="10"/>
      <c r="Q1196" s="1" t="s">
        <v>72</v>
      </c>
      <c r="R1196" s="8" t="s">
        <v>47</v>
      </c>
      <c r="S119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9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9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9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9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9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9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9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9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9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9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9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9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96" s="12">
        <f ca="1">[1]!Tabel1[[#This Row],[Vægtet Honorar]]*([1]!Tabel1[[#This Row],[Sidst redigeret]]&gt;TODAY()-40)*([1]!Tabel1[[#This Row],[Er i resplan?]]&lt;&gt;"Ja")*([1]!Tabel1[[#This Row],[Status]]="Pågår")</f>
        <v>0</v>
      </c>
      <c r="AG1196" s="12">
        <f ca="1">[1]!Tabel1[[#This Row],[Vægtet Honorar]]*([1]!Tabel1[[#This Row],[Sidst redigeret]]&gt;TODAY()-40)*([1]!Tabel1[[#This Row],[Status]]="Pågår")</f>
        <v>0</v>
      </c>
      <c r="AH1196" s="13">
        <v>45909.44159722222</v>
      </c>
      <c r="AI1196" s="12"/>
      <c r="AJ1196" s="12"/>
      <c r="AK1196" s="12"/>
      <c r="AL1196" s="12"/>
      <c r="AM1196" s="12"/>
      <c r="AN1196" s="12"/>
      <c r="AO1196" s="12"/>
      <c r="AP1196" s="12"/>
    </row>
    <row r="1197" spans="1:42" ht="43.5">
      <c r="A1197" t="s">
        <v>4210</v>
      </c>
      <c r="B1197" s="8"/>
      <c r="C1197" s="8" t="s">
        <v>4211</v>
      </c>
      <c r="D1197" s="8" t="s">
        <v>358</v>
      </c>
      <c r="E1197" s="8" t="s">
        <v>102</v>
      </c>
      <c r="F1197" s="8" t="s">
        <v>547</v>
      </c>
      <c r="G1197" s="8" t="s">
        <v>1672</v>
      </c>
      <c r="H1197" s="9">
        <v>160000</v>
      </c>
      <c r="I1197" s="9">
        <f>[1]!Tabel1[[#This Row],[Honorar]]*[1]!Tabel1[[#This Row],[Sandsynlighed]]</f>
        <v>70000</v>
      </c>
      <c r="J1197" s="10" t="s">
        <v>329</v>
      </c>
      <c r="K1197" s="10" t="s">
        <v>342</v>
      </c>
      <c r="L1197" s="21" t="s">
        <v>4212</v>
      </c>
      <c r="M1197" s="11">
        <v>0.5</v>
      </c>
      <c r="N1197" s="1">
        <v>300</v>
      </c>
      <c r="O1197" s="10">
        <v>46279.611168981479</v>
      </c>
      <c r="P1197" s="10"/>
      <c r="Q1197" s="1" t="s">
        <v>46</v>
      </c>
      <c r="R1197" s="8" t="s">
        <v>49</v>
      </c>
      <c r="S119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9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9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9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9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9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9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9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9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9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9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9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9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97" s="12">
        <f ca="1">[1]!Tabel1[[#This Row],[Vægtet Honorar]]*([1]!Tabel1[[#This Row],[Sidst redigeret]]&gt;TODAY()-40)*([1]!Tabel1[[#This Row],[Er i resplan?]]&lt;&gt;"Ja")*([1]!Tabel1[[#This Row],[Status]]="Pågår")</f>
        <v>0</v>
      </c>
      <c r="AG1197" s="12">
        <f ca="1">[1]!Tabel1[[#This Row],[Vægtet Honorar]]*([1]!Tabel1[[#This Row],[Sidst redigeret]]&gt;TODAY()-40)*([1]!Tabel1[[#This Row],[Status]]="Pågår")</f>
        <v>0</v>
      </c>
      <c r="AH1197" s="13"/>
      <c r="AI1197" s="12"/>
      <c r="AJ1197" s="12"/>
      <c r="AK1197" s="12"/>
      <c r="AL1197" s="12"/>
      <c r="AM1197" s="12"/>
      <c r="AN1197" s="12"/>
      <c r="AO1197" s="12"/>
      <c r="AP1197" s="12"/>
    </row>
    <row r="1198" spans="1:42" ht="43.5">
      <c r="A1198" t="s">
        <v>4213</v>
      </c>
      <c r="B1198" s="8"/>
      <c r="C1198" s="8" t="s">
        <v>4214</v>
      </c>
      <c r="D1198" s="8" t="s">
        <v>134</v>
      </c>
      <c r="E1198" s="8" t="s">
        <v>94</v>
      </c>
      <c r="F1198" s="8" t="s">
        <v>3066</v>
      </c>
      <c r="G1198" s="8" t="s">
        <v>3066</v>
      </c>
      <c r="H1198" s="9">
        <v>10000</v>
      </c>
      <c r="I1198" s="9">
        <f>[1]!Tabel1[[#This Row],[Honorar]]*[1]!Tabel1[[#This Row],[Sandsynlighed]]</f>
        <v>0.01</v>
      </c>
      <c r="J1198" s="10" t="s">
        <v>1287</v>
      </c>
      <c r="K1198" s="10" t="s">
        <v>1287</v>
      </c>
      <c r="L1198" s="21" t="s">
        <v>4215</v>
      </c>
      <c r="M1198" s="11">
        <v>1</v>
      </c>
      <c r="N1198" s="1" t="s">
        <v>777</v>
      </c>
      <c r="O1198" s="10">
        <v>46279.611168981479</v>
      </c>
      <c r="P1198" s="1" t="s">
        <v>46</v>
      </c>
      <c r="Q1198" s="1" t="s">
        <v>72</v>
      </c>
      <c r="R1198" s="8" t="s">
        <v>47</v>
      </c>
      <c r="S119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9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9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9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9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9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9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9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9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9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9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9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9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98" s="12">
        <f ca="1">[1]!Tabel1[[#This Row],[Vægtet Honorar]]*([1]!Tabel1[[#This Row],[Sidst redigeret]]&gt;TODAY()-40)*([1]!Tabel1[[#This Row],[Er i resplan?]]&lt;&gt;"Ja")*([1]!Tabel1[[#This Row],[Status]]="Pågår")</f>
        <v>0.01</v>
      </c>
      <c r="AG1198" s="12">
        <f ca="1">[1]!Tabel1[[#This Row],[Vægtet Honorar]]*([1]!Tabel1[[#This Row],[Sidst redigeret]]&gt;TODAY()-40)*([1]!Tabel1[[#This Row],[Status]]="Pågår")</f>
        <v>0.01</v>
      </c>
      <c r="AH1198" s="13">
        <v>45966.602731481478</v>
      </c>
      <c r="AI1198" s="12"/>
      <c r="AJ1198" s="12"/>
      <c r="AK1198" s="12"/>
      <c r="AL1198" s="12"/>
      <c r="AM1198" s="12"/>
      <c r="AN1198" s="12"/>
      <c r="AO1198" s="12"/>
      <c r="AP1198" s="12"/>
    </row>
    <row r="1199" spans="1:42" ht="29.25">
      <c r="A1199" t="s">
        <v>4216</v>
      </c>
      <c r="B1199" s="8"/>
      <c r="C1199" s="8" t="s">
        <v>4217</v>
      </c>
      <c r="D1199" s="8" t="s">
        <v>720</v>
      </c>
      <c r="E1199" s="8" t="s">
        <v>71</v>
      </c>
      <c r="F1199" s="8" t="s">
        <v>1055</v>
      </c>
      <c r="G1199" s="8" t="s">
        <v>1055</v>
      </c>
      <c r="H1199" s="9">
        <v>1500000</v>
      </c>
      <c r="I1199" s="9">
        <f>[1]!Tabel1[[#This Row],[Honorar]]*[1]!Tabel1[[#This Row],[Sandsynlighed]]</f>
        <v>250000</v>
      </c>
      <c r="J1199" s="10" t="s">
        <v>1287</v>
      </c>
      <c r="K1199" s="10" t="s">
        <v>1191</v>
      </c>
      <c r="L1199" s="21" t="s">
        <v>4218</v>
      </c>
      <c r="M1199" s="11">
        <v>0.1</v>
      </c>
      <c r="N1199" s="1" t="s">
        <v>777</v>
      </c>
      <c r="O1199" s="10">
        <v>46279.611168981479</v>
      </c>
      <c r="P1199" s="10"/>
      <c r="Q1199" s="1" t="s">
        <v>72</v>
      </c>
      <c r="R1199" s="8" t="s">
        <v>343</v>
      </c>
      <c r="S119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19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19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19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19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19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19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19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19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19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19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19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19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199" s="12">
        <f ca="1">[1]!Tabel1[[#This Row],[Vægtet Honorar]]*([1]!Tabel1[[#This Row],[Sidst redigeret]]&gt;TODAY()-40)*([1]!Tabel1[[#This Row],[Er i resplan?]]&lt;&gt;"Ja")*([1]!Tabel1[[#This Row],[Status]]="Pågår")</f>
        <v>0</v>
      </c>
      <c r="AG1199" s="12">
        <f ca="1">[1]!Tabel1[[#This Row],[Vægtet Honorar]]*([1]!Tabel1[[#This Row],[Sidst redigeret]]&gt;TODAY()-40)*([1]!Tabel1[[#This Row],[Status]]="Pågår")</f>
        <v>0</v>
      </c>
      <c r="AH1199" s="13"/>
      <c r="AI1199" s="12"/>
      <c r="AJ1199" s="12"/>
      <c r="AK1199" s="12"/>
      <c r="AL1199" s="12"/>
      <c r="AM1199" s="12"/>
      <c r="AN1199" s="12"/>
      <c r="AO1199" s="12"/>
      <c r="AP1199" s="12"/>
    </row>
    <row r="1200" spans="1:42" ht="57.75">
      <c r="A1200" t="s">
        <v>4219</v>
      </c>
      <c r="B1200" s="8"/>
      <c r="C1200" s="8" t="s">
        <v>4220</v>
      </c>
      <c r="D1200" s="8" t="s">
        <v>44</v>
      </c>
      <c r="E1200" s="8" t="s">
        <v>71</v>
      </c>
      <c r="F1200" s="8" t="s">
        <v>4221</v>
      </c>
      <c r="G1200" s="8" t="s">
        <v>4221</v>
      </c>
      <c r="H1200" s="9">
        <v>100000</v>
      </c>
      <c r="I1200" s="9">
        <f>[1]!Tabel1[[#This Row],[Honorar]]*[1]!Tabel1[[#This Row],[Sandsynlighed]]</f>
        <v>7500</v>
      </c>
      <c r="J1200" s="10" t="s">
        <v>329</v>
      </c>
      <c r="K1200" s="10" t="s">
        <v>1287</v>
      </c>
      <c r="L1200" s="21" t="s">
        <v>4222</v>
      </c>
      <c r="M1200" s="11">
        <v>1</v>
      </c>
      <c r="N1200" s="1" t="s">
        <v>777</v>
      </c>
      <c r="O1200" s="10">
        <v>46279.611168981479</v>
      </c>
      <c r="P1200" s="10"/>
      <c r="Q1200" s="1" t="s">
        <v>46</v>
      </c>
      <c r="R1200" s="8" t="s">
        <v>47</v>
      </c>
      <c r="S120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0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0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0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0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0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0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0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0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0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0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0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0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00" s="12">
        <f ca="1">[1]!Tabel1[[#This Row],[Vægtet Honorar]]*([1]!Tabel1[[#This Row],[Sidst redigeret]]&gt;TODAY()-40)*([1]!Tabel1[[#This Row],[Er i resplan?]]&lt;&gt;"Ja")*([1]!Tabel1[[#This Row],[Status]]="Pågår")</f>
        <v>0</v>
      </c>
      <c r="AG1200" s="12">
        <f ca="1">[1]!Tabel1[[#This Row],[Vægtet Honorar]]*([1]!Tabel1[[#This Row],[Sidst redigeret]]&gt;TODAY()-40)*([1]!Tabel1[[#This Row],[Status]]="Pågår")</f>
        <v>0</v>
      </c>
      <c r="AH1200" s="13">
        <v>45909.44159722222</v>
      </c>
      <c r="AI1200" s="12"/>
      <c r="AJ1200" s="12"/>
      <c r="AK1200" s="12"/>
      <c r="AL1200" s="12"/>
      <c r="AM1200" s="12"/>
      <c r="AN1200" s="12"/>
      <c r="AO1200" s="12"/>
      <c r="AP1200" s="12"/>
    </row>
    <row r="1201" spans="1:42" ht="43.5">
      <c r="A1201" t="s">
        <v>4223</v>
      </c>
      <c r="B1201" s="8"/>
      <c r="C1201" s="8" t="s">
        <v>4224</v>
      </c>
      <c r="D1201" s="8" t="s">
        <v>158</v>
      </c>
      <c r="E1201" s="8" t="s">
        <v>167</v>
      </c>
      <c r="F1201" s="8" t="s">
        <v>4225</v>
      </c>
      <c r="G1201" s="8" t="s">
        <v>4225</v>
      </c>
      <c r="H1201" s="9">
        <v>175000</v>
      </c>
      <c r="I1201" s="9">
        <f>[1]!Tabel1[[#This Row],[Honorar]]*[1]!Tabel1[[#This Row],[Sandsynlighed]]</f>
        <v>250000</v>
      </c>
      <c r="J1201" s="10" t="s">
        <v>329</v>
      </c>
      <c r="K1201" s="10" t="s">
        <v>1191</v>
      </c>
      <c r="L1201" s="21" t="s">
        <v>4226</v>
      </c>
      <c r="M1201" s="11">
        <v>0.2</v>
      </c>
      <c r="N1201" s="1" t="s">
        <v>777</v>
      </c>
      <c r="O1201" s="10">
        <v>46279.611168981479</v>
      </c>
      <c r="P1201" s="10"/>
      <c r="Q1201" s="1" t="s">
        <v>72</v>
      </c>
      <c r="R1201" s="8" t="s">
        <v>343</v>
      </c>
      <c r="S120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0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0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0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0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0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0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0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0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0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0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0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0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01" s="12">
        <f ca="1">[1]!Tabel1[[#This Row],[Vægtet Honorar]]*([1]!Tabel1[[#This Row],[Sidst redigeret]]&gt;TODAY()-40)*([1]!Tabel1[[#This Row],[Er i resplan?]]&lt;&gt;"Ja")*([1]!Tabel1[[#This Row],[Status]]="Pågår")</f>
        <v>0</v>
      </c>
      <c r="AG1201" s="12">
        <f ca="1">[1]!Tabel1[[#This Row],[Vægtet Honorar]]*([1]!Tabel1[[#This Row],[Sidst redigeret]]&gt;TODAY()-40)*([1]!Tabel1[[#This Row],[Status]]="Pågår")</f>
        <v>0</v>
      </c>
      <c r="AH1201" s="13"/>
      <c r="AI1201" s="12"/>
      <c r="AJ1201" s="12"/>
      <c r="AK1201" s="12"/>
      <c r="AL1201" s="12"/>
      <c r="AM1201" s="12"/>
      <c r="AN1201" s="12"/>
      <c r="AO1201" s="12"/>
      <c r="AP1201" s="12"/>
    </row>
    <row r="1202" spans="1:42" ht="72">
      <c r="A1202" t="s">
        <v>4227</v>
      </c>
      <c r="B1202" s="8"/>
      <c r="C1202" s="8" t="s">
        <v>4228</v>
      </c>
      <c r="D1202" s="8" t="s">
        <v>2886</v>
      </c>
      <c r="E1202" s="8" t="s">
        <v>120</v>
      </c>
      <c r="F1202" s="8"/>
      <c r="G1202" s="8"/>
      <c r="H1202" s="9">
        <v>50000</v>
      </c>
      <c r="I1202" s="9">
        <f>[1]!Tabel1[[#This Row],[Honorar]]*[1]!Tabel1[[#This Row],[Sandsynlighed]]</f>
        <v>80000</v>
      </c>
      <c r="J1202" s="10" t="s">
        <v>1287</v>
      </c>
      <c r="K1202" s="10" t="s">
        <v>1191</v>
      </c>
      <c r="L1202" s="21" t="s">
        <v>4229</v>
      </c>
      <c r="M1202" s="11">
        <v>0.75</v>
      </c>
      <c r="N1202" s="1" t="s">
        <v>777</v>
      </c>
      <c r="O1202" s="10">
        <v>46279.611168981479</v>
      </c>
      <c r="P1202" s="10"/>
      <c r="Q1202" s="1" t="s">
        <v>46</v>
      </c>
      <c r="R1202" s="8" t="s">
        <v>75</v>
      </c>
      <c r="S120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0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0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0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0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0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0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0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0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0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0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0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0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02" s="12">
        <f ca="1">[1]!Tabel1[[#This Row],[Vægtet Honorar]]*([1]!Tabel1[[#This Row],[Sidst redigeret]]&gt;TODAY()-40)*([1]!Tabel1[[#This Row],[Er i resplan?]]&lt;&gt;"Ja")*([1]!Tabel1[[#This Row],[Status]]="Pågår")</f>
        <v>0</v>
      </c>
      <c r="AG1202" s="12">
        <f ca="1">[1]!Tabel1[[#This Row],[Vægtet Honorar]]*([1]!Tabel1[[#This Row],[Sidst redigeret]]&gt;TODAY()-40)*([1]!Tabel1[[#This Row],[Status]]="Pågår")</f>
        <v>0</v>
      </c>
      <c r="AH1202" s="13"/>
      <c r="AI1202" s="12"/>
      <c r="AJ1202" s="12"/>
      <c r="AK1202" s="12"/>
      <c r="AL1202" s="12"/>
      <c r="AM1202" s="12"/>
      <c r="AN1202" s="12"/>
      <c r="AO1202" s="12"/>
      <c r="AP1202" s="12"/>
    </row>
    <row r="1203" spans="1:42" ht="72">
      <c r="A1203" t="s">
        <v>4230</v>
      </c>
      <c r="B1203" s="8"/>
      <c r="C1203" s="8" t="s">
        <v>4231</v>
      </c>
      <c r="D1203" s="8" t="s">
        <v>3790</v>
      </c>
      <c r="E1203" s="8" t="s">
        <v>120</v>
      </c>
      <c r="F1203" s="8" t="s">
        <v>4232</v>
      </c>
      <c r="G1203" s="8" t="s">
        <v>4232</v>
      </c>
      <c r="H1203" s="9">
        <v>25000</v>
      </c>
      <c r="I1203" s="9">
        <f>[1]!Tabel1[[#This Row],[Honorar]]*[1]!Tabel1[[#This Row],[Sandsynlighed]]</f>
        <v>10000</v>
      </c>
      <c r="J1203" s="10" t="s">
        <v>329</v>
      </c>
      <c r="K1203" s="10" t="s">
        <v>1287</v>
      </c>
      <c r="L1203" s="21" t="s">
        <v>4229</v>
      </c>
      <c r="M1203" s="11">
        <v>0.25</v>
      </c>
      <c r="N1203" s="1" t="s">
        <v>777</v>
      </c>
      <c r="O1203" s="10">
        <v>46279.611168981479</v>
      </c>
      <c r="P1203" s="10"/>
      <c r="Q1203" s="1" t="s">
        <v>72</v>
      </c>
      <c r="R1203" s="8" t="s">
        <v>343</v>
      </c>
      <c r="S120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0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0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0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0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0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0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0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0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0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0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0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0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03" s="12">
        <f ca="1">[1]!Tabel1[[#This Row],[Vægtet Honorar]]*([1]!Tabel1[[#This Row],[Sidst redigeret]]&gt;TODAY()-40)*([1]!Tabel1[[#This Row],[Er i resplan?]]&lt;&gt;"Ja")*([1]!Tabel1[[#This Row],[Status]]="Pågår")</f>
        <v>0</v>
      </c>
      <c r="AG1203" s="12">
        <f ca="1">[1]!Tabel1[[#This Row],[Vægtet Honorar]]*([1]!Tabel1[[#This Row],[Sidst redigeret]]&gt;TODAY()-40)*([1]!Tabel1[[#This Row],[Status]]="Pågår")</f>
        <v>0</v>
      </c>
      <c r="AH1203" s="13"/>
      <c r="AI1203" s="12"/>
      <c r="AJ1203" s="12"/>
      <c r="AK1203" s="12"/>
      <c r="AL1203" s="12"/>
      <c r="AM1203" s="12"/>
      <c r="AN1203" s="12"/>
      <c r="AO1203" s="12"/>
      <c r="AP1203" s="12"/>
    </row>
    <row r="1204" spans="1:42" ht="29.25">
      <c r="A1204" t="s">
        <v>4233</v>
      </c>
      <c r="B1204" s="8"/>
      <c r="C1204" s="8" t="s">
        <v>4234</v>
      </c>
      <c r="D1204" s="8" t="s">
        <v>720</v>
      </c>
      <c r="E1204" s="8" t="s">
        <v>71</v>
      </c>
      <c r="F1204" s="8" t="s">
        <v>4235</v>
      </c>
      <c r="G1204" s="8" t="s">
        <v>1012</v>
      </c>
      <c r="H1204" s="9">
        <v>120000</v>
      </c>
      <c r="I1204" s="9">
        <f>[1]!Tabel1[[#This Row],[Honorar]]*[1]!Tabel1[[#This Row],[Sandsynlighed]]</f>
        <v>150000</v>
      </c>
      <c r="J1204" s="10" t="s">
        <v>329</v>
      </c>
      <c r="K1204" s="10" t="s">
        <v>1287</v>
      </c>
      <c r="L1204" s="21" t="s">
        <v>4236</v>
      </c>
      <c r="M1204" s="11">
        <v>0.75</v>
      </c>
      <c r="N1204" s="1" t="s">
        <v>777</v>
      </c>
      <c r="O1204" s="10">
        <v>46279.611168981479</v>
      </c>
      <c r="P1204" s="10"/>
      <c r="Q1204" s="1" t="s">
        <v>46</v>
      </c>
      <c r="R1204" s="8" t="s">
        <v>47</v>
      </c>
      <c r="S120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0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0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0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0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0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0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0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0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0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0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0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0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04" s="12">
        <f ca="1">[1]!Tabel1[[#This Row],[Vægtet Honorar]]*([1]!Tabel1[[#This Row],[Sidst redigeret]]&gt;TODAY()-40)*([1]!Tabel1[[#This Row],[Er i resplan?]]&lt;&gt;"Ja")*([1]!Tabel1[[#This Row],[Status]]="Pågår")</f>
        <v>150000</v>
      </c>
      <c r="AG1204" s="12">
        <f ca="1">[1]!Tabel1[[#This Row],[Vægtet Honorar]]*([1]!Tabel1[[#This Row],[Sidst redigeret]]&gt;TODAY()-40)*([1]!Tabel1[[#This Row],[Status]]="Pågår")</f>
        <v>150000</v>
      </c>
      <c r="AH1204" s="13">
        <v>45993.410370370373</v>
      </c>
      <c r="AI1204" s="12"/>
      <c r="AJ1204" s="12"/>
      <c r="AK1204" s="12"/>
      <c r="AL1204" s="12"/>
      <c r="AM1204" s="12"/>
      <c r="AN1204" s="12"/>
      <c r="AO1204" s="12"/>
      <c r="AP1204" s="12"/>
    </row>
    <row r="1205" spans="1:42" ht="43.5">
      <c r="A1205" t="s">
        <v>4237</v>
      </c>
      <c r="B1205" s="8"/>
      <c r="C1205" s="8" t="s">
        <v>4238</v>
      </c>
      <c r="D1205" s="8" t="s">
        <v>2886</v>
      </c>
      <c r="E1205" s="8" t="s">
        <v>120</v>
      </c>
      <c r="F1205" s="8" t="s">
        <v>2687</v>
      </c>
      <c r="G1205" s="8" t="s">
        <v>1170</v>
      </c>
      <c r="H1205" s="9">
        <v>4000000</v>
      </c>
      <c r="I1205" s="9">
        <f>[1]!Tabel1[[#This Row],[Honorar]]*[1]!Tabel1[[#This Row],[Sandsynlighed]]</f>
        <v>100000</v>
      </c>
      <c r="J1205" s="10" t="s">
        <v>1191</v>
      </c>
      <c r="K1205" s="10" t="s">
        <v>342</v>
      </c>
      <c r="L1205" s="21" t="s">
        <v>4239</v>
      </c>
      <c r="M1205" s="11">
        <v>0</v>
      </c>
      <c r="N1205" s="1" t="s">
        <v>777</v>
      </c>
      <c r="O1205" s="10">
        <v>46279.611168981479</v>
      </c>
      <c r="P1205" s="10"/>
      <c r="Q1205" s="1" t="s">
        <v>72</v>
      </c>
      <c r="R1205" s="8" t="s">
        <v>49</v>
      </c>
      <c r="S120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0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0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0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0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0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0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0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0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0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0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0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0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05" s="12">
        <f ca="1">[1]!Tabel1[[#This Row],[Vægtet Honorar]]*([1]!Tabel1[[#This Row],[Sidst redigeret]]&gt;TODAY()-40)*([1]!Tabel1[[#This Row],[Er i resplan?]]&lt;&gt;"Ja")*([1]!Tabel1[[#This Row],[Status]]="Pågår")</f>
        <v>0</v>
      </c>
      <c r="AG1205" s="12">
        <f ca="1">[1]!Tabel1[[#This Row],[Vægtet Honorar]]*([1]!Tabel1[[#This Row],[Sidst redigeret]]&gt;TODAY()-40)*([1]!Tabel1[[#This Row],[Status]]="Pågår")</f>
        <v>0</v>
      </c>
      <c r="AH1205" s="13"/>
      <c r="AI1205" s="12"/>
      <c r="AJ1205" s="12"/>
      <c r="AK1205" s="12" t="s">
        <v>2917</v>
      </c>
      <c r="AL1205" s="12"/>
      <c r="AM1205" s="12"/>
      <c r="AN1205" s="12"/>
      <c r="AO1205" s="12"/>
      <c r="AP1205" s="12"/>
    </row>
    <row r="1206" spans="1:42">
      <c r="A1206" t="s">
        <v>4240</v>
      </c>
      <c r="B1206" s="8"/>
      <c r="C1206" s="8" t="s">
        <v>4241</v>
      </c>
      <c r="D1206" s="8" t="s">
        <v>725</v>
      </c>
      <c r="E1206" s="8" t="s">
        <v>120</v>
      </c>
      <c r="F1206" s="8" t="s">
        <v>4242</v>
      </c>
      <c r="G1206" s="8" t="s">
        <v>4242</v>
      </c>
      <c r="H1206" s="9">
        <v>450000</v>
      </c>
      <c r="I1206" s="9">
        <f>[1]!Tabel1[[#This Row],[Honorar]]*[1]!Tabel1[[#This Row],[Sandsynlighed]]</f>
        <v>35000</v>
      </c>
      <c r="J1206" s="10" t="s">
        <v>1287</v>
      </c>
      <c r="K1206" s="10" t="s">
        <v>2405</v>
      </c>
      <c r="L1206" s="21"/>
      <c r="M1206" s="11">
        <v>0.5</v>
      </c>
      <c r="N1206" s="1" t="s">
        <v>777</v>
      </c>
      <c r="O1206" s="10">
        <v>46279.611168981479</v>
      </c>
      <c r="P1206" s="10"/>
      <c r="Q1206" s="1" t="s">
        <v>46</v>
      </c>
      <c r="R1206" s="8" t="s">
        <v>49</v>
      </c>
      <c r="S120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0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0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0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0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0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0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0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0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0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0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0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0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06" s="12">
        <f ca="1">[1]!Tabel1[[#This Row],[Vægtet Honorar]]*([1]!Tabel1[[#This Row],[Sidst redigeret]]&gt;TODAY()-40)*([1]!Tabel1[[#This Row],[Er i resplan?]]&lt;&gt;"Ja")*([1]!Tabel1[[#This Row],[Status]]="Pågår")</f>
        <v>35000</v>
      </c>
      <c r="AG1206" s="12">
        <f ca="1">[1]!Tabel1[[#This Row],[Vægtet Honorar]]*([1]!Tabel1[[#This Row],[Sidst redigeret]]&gt;TODAY()-40)*([1]!Tabel1[[#This Row],[Status]]="Pågår")</f>
        <v>35000</v>
      </c>
      <c r="AH1206" s="13"/>
      <c r="AI1206" s="12"/>
      <c r="AJ1206" s="12"/>
      <c r="AK1206" s="12"/>
      <c r="AL1206" s="12"/>
      <c r="AM1206" s="12"/>
      <c r="AN1206" s="12"/>
      <c r="AO1206" s="12"/>
      <c r="AP1206" s="12"/>
    </row>
    <row r="1207" spans="1:42">
      <c r="A1207" t="s">
        <v>4243</v>
      </c>
      <c r="B1207" s="8"/>
      <c r="C1207" s="8" t="s">
        <v>4244</v>
      </c>
      <c r="D1207" s="8" t="s">
        <v>1037</v>
      </c>
      <c r="E1207" s="8" t="s">
        <v>71</v>
      </c>
      <c r="F1207" s="8" t="s">
        <v>1152</v>
      </c>
      <c r="G1207" s="8" t="s">
        <v>1152</v>
      </c>
      <c r="H1207" s="9">
        <v>3000000</v>
      </c>
      <c r="I1207" s="9">
        <f>[1]!Tabel1[[#This Row],[Honorar]]*[1]!Tabel1[[#This Row],[Sandsynlighed]]</f>
        <v>37500</v>
      </c>
      <c r="J1207" s="10" t="s">
        <v>1191</v>
      </c>
      <c r="K1207" s="10" t="s">
        <v>2405</v>
      </c>
      <c r="L1207" s="21" t="s">
        <v>3638</v>
      </c>
      <c r="M1207" s="11">
        <v>0.02</v>
      </c>
      <c r="N1207" s="1" t="s">
        <v>777</v>
      </c>
      <c r="O1207" s="10">
        <v>46279.611168981479</v>
      </c>
      <c r="P1207" s="10"/>
      <c r="Q1207" s="1" t="s">
        <v>72</v>
      </c>
      <c r="R1207" s="8" t="s">
        <v>343</v>
      </c>
      <c r="S120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0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0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0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0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0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0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0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0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0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0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0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0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07" s="12">
        <f ca="1">[1]!Tabel1[[#This Row],[Vægtet Honorar]]*([1]!Tabel1[[#This Row],[Sidst redigeret]]&gt;TODAY()-40)*([1]!Tabel1[[#This Row],[Er i resplan?]]&lt;&gt;"Ja")*([1]!Tabel1[[#This Row],[Status]]="Pågår")</f>
        <v>0</v>
      </c>
      <c r="AG1207" s="12">
        <f ca="1">[1]!Tabel1[[#This Row],[Vægtet Honorar]]*([1]!Tabel1[[#This Row],[Sidst redigeret]]&gt;TODAY()-40)*([1]!Tabel1[[#This Row],[Status]]="Pågår")</f>
        <v>0</v>
      </c>
      <c r="AH1207" s="13"/>
      <c r="AI1207" s="12"/>
      <c r="AJ1207" s="12" t="s">
        <v>929</v>
      </c>
      <c r="AK1207" s="12"/>
      <c r="AL1207" s="12"/>
      <c r="AM1207" s="12"/>
      <c r="AN1207" s="12"/>
      <c r="AO1207" s="12"/>
      <c r="AP1207" s="12"/>
    </row>
    <row r="1208" spans="1:42">
      <c r="A1208" t="s">
        <v>4245</v>
      </c>
      <c r="B1208" s="8"/>
      <c r="C1208" s="8" t="s">
        <v>4246</v>
      </c>
      <c r="D1208" s="8" t="s">
        <v>358</v>
      </c>
      <c r="E1208" s="8" t="s">
        <v>102</v>
      </c>
      <c r="F1208" s="8" t="s">
        <v>1152</v>
      </c>
      <c r="G1208" s="8" t="s">
        <v>3340</v>
      </c>
      <c r="H1208" s="9">
        <v>80000</v>
      </c>
      <c r="I1208" s="9">
        <f>[1]!Tabel1[[#This Row],[Honorar]]*[1]!Tabel1[[#This Row],[Sandsynlighed]]</f>
        <v>6250</v>
      </c>
      <c r="J1208" s="10" t="s">
        <v>1287</v>
      </c>
      <c r="K1208" s="10" t="s">
        <v>2405</v>
      </c>
      <c r="L1208" s="21" t="s">
        <v>4247</v>
      </c>
      <c r="M1208" s="11">
        <v>0.8</v>
      </c>
      <c r="N1208" s="1" t="s">
        <v>777</v>
      </c>
      <c r="O1208" s="10">
        <v>46279.611168981479</v>
      </c>
      <c r="P1208" s="10"/>
      <c r="Q1208" s="1" t="s">
        <v>72</v>
      </c>
      <c r="R1208" s="8" t="s">
        <v>47</v>
      </c>
      <c r="S120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0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0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0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0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0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0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0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0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0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0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0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0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08" s="12">
        <f ca="1">[1]!Tabel1[[#This Row],[Vægtet Honorar]]*([1]!Tabel1[[#This Row],[Sidst redigeret]]&gt;TODAY()-40)*([1]!Tabel1[[#This Row],[Er i resplan?]]&lt;&gt;"Ja")*([1]!Tabel1[[#This Row],[Status]]="Pågår")</f>
        <v>6250</v>
      </c>
      <c r="AG1208" s="12">
        <f ca="1">[1]!Tabel1[[#This Row],[Vægtet Honorar]]*([1]!Tabel1[[#This Row],[Sidst redigeret]]&gt;TODAY()-40)*([1]!Tabel1[[#This Row],[Status]]="Pågår")</f>
        <v>6250</v>
      </c>
      <c r="AH1208" s="13">
        <v>45909.44159722222</v>
      </c>
      <c r="AI1208" s="12"/>
      <c r="AJ1208" s="12"/>
      <c r="AK1208" s="12"/>
      <c r="AL1208" s="12"/>
      <c r="AM1208" s="12"/>
      <c r="AN1208" s="12"/>
      <c r="AO1208" s="12"/>
      <c r="AP1208" s="12"/>
    </row>
    <row r="1209" spans="1:42">
      <c r="A1209" t="s">
        <v>4248</v>
      </c>
      <c r="B1209" s="8"/>
      <c r="C1209" s="8" t="s">
        <v>4249</v>
      </c>
      <c r="D1209" s="8" t="s">
        <v>358</v>
      </c>
      <c r="E1209" s="8" t="s">
        <v>102</v>
      </c>
      <c r="F1209" s="8" t="s">
        <v>4250</v>
      </c>
      <c r="G1209" s="8" t="s">
        <v>4251</v>
      </c>
      <c r="H1209" s="9">
        <v>80000</v>
      </c>
      <c r="I1209" s="9">
        <f>[1]!Tabel1[[#This Row],[Honorar]]*[1]!Tabel1[[#This Row],[Sandsynlighed]]</f>
        <v>90000</v>
      </c>
      <c r="J1209" s="10" t="s">
        <v>329</v>
      </c>
      <c r="K1209" s="10" t="s">
        <v>1310</v>
      </c>
      <c r="L1209" s="21" t="s">
        <v>4247</v>
      </c>
      <c r="M1209" s="11">
        <v>0.75</v>
      </c>
      <c r="N1209" s="1">
        <v>465</v>
      </c>
      <c r="O1209" s="10">
        <v>46279.611168981479</v>
      </c>
      <c r="P1209" s="10"/>
      <c r="Q1209" s="1" t="s">
        <v>72</v>
      </c>
      <c r="R1209" s="8" t="s">
        <v>49</v>
      </c>
      <c r="S120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0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0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0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0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0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0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0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0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0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0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0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0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09" s="12">
        <f ca="1">[1]!Tabel1[[#This Row],[Vægtet Honorar]]*([1]!Tabel1[[#This Row],[Sidst redigeret]]&gt;TODAY()-40)*([1]!Tabel1[[#This Row],[Er i resplan?]]&lt;&gt;"Ja")*([1]!Tabel1[[#This Row],[Status]]="Pågår")</f>
        <v>0</v>
      </c>
      <c r="AG1209" s="12">
        <f ca="1">[1]!Tabel1[[#This Row],[Vægtet Honorar]]*([1]!Tabel1[[#This Row],[Sidst redigeret]]&gt;TODAY()-40)*([1]!Tabel1[[#This Row],[Status]]="Pågår")</f>
        <v>0</v>
      </c>
      <c r="AH1209" s="13"/>
      <c r="AI1209" s="12"/>
      <c r="AJ1209" s="12"/>
      <c r="AK1209" s="12"/>
      <c r="AL1209" s="12"/>
      <c r="AM1209" s="12"/>
      <c r="AN1209" s="12"/>
      <c r="AO1209" s="12"/>
      <c r="AP1209" s="12"/>
    </row>
    <row r="1210" spans="1:42">
      <c r="A1210" t="s">
        <v>4252</v>
      </c>
      <c r="B1210" s="8"/>
      <c r="C1210" s="8" t="s">
        <v>4253</v>
      </c>
      <c r="D1210" s="8" t="s">
        <v>4254</v>
      </c>
      <c r="E1210" s="8" t="s">
        <v>167</v>
      </c>
      <c r="F1210" s="8" t="s">
        <v>4250</v>
      </c>
      <c r="G1210" s="8" t="s">
        <v>2450</v>
      </c>
      <c r="H1210" s="9">
        <v>300000</v>
      </c>
      <c r="I1210" s="9">
        <f>[1]!Tabel1[[#This Row],[Honorar]]*[1]!Tabel1[[#This Row],[Sandsynlighed]]</f>
        <v>0</v>
      </c>
      <c r="J1210" s="10" t="s">
        <v>329</v>
      </c>
      <c r="K1210" s="10" t="s">
        <v>1191</v>
      </c>
      <c r="L1210" s="21" t="s">
        <v>4255</v>
      </c>
      <c r="M1210" s="11">
        <v>0.25</v>
      </c>
      <c r="N1210" s="1" t="s">
        <v>777</v>
      </c>
      <c r="O1210" s="10">
        <v>46279.611168981479</v>
      </c>
      <c r="P1210" s="10"/>
      <c r="Q1210" s="1" t="s">
        <v>72</v>
      </c>
      <c r="R1210" s="8" t="s">
        <v>343</v>
      </c>
      <c r="S121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1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1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1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1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1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1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1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1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1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1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1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1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10" s="12">
        <f ca="1">[1]!Tabel1[[#This Row],[Vægtet Honorar]]*([1]!Tabel1[[#This Row],[Sidst redigeret]]&gt;TODAY()-40)*([1]!Tabel1[[#This Row],[Er i resplan?]]&lt;&gt;"Ja")*([1]!Tabel1[[#This Row],[Status]]="Pågår")</f>
        <v>0</v>
      </c>
      <c r="AG1210" s="12">
        <f ca="1">[1]!Tabel1[[#This Row],[Vægtet Honorar]]*([1]!Tabel1[[#This Row],[Sidst redigeret]]&gt;TODAY()-40)*([1]!Tabel1[[#This Row],[Status]]="Pågår")</f>
        <v>0</v>
      </c>
      <c r="AH1210" s="13"/>
      <c r="AI1210" s="12"/>
      <c r="AJ1210" s="12"/>
      <c r="AK1210" s="12"/>
      <c r="AL1210" s="12"/>
      <c r="AM1210" s="12"/>
      <c r="AN1210" s="12"/>
      <c r="AO1210" s="12"/>
      <c r="AP1210" s="12"/>
    </row>
    <row r="1211" spans="1:42">
      <c r="A1211" t="s">
        <v>4256</v>
      </c>
      <c r="B1211" s="8"/>
      <c r="C1211" s="8" t="s">
        <v>4257</v>
      </c>
      <c r="D1211" s="8" t="s">
        <v>70</v>
      </c>
      <c r="E1211" s="8" t="s">
        <v>102</v>
      </c>
      <c r="F1211" s="8" t="s">
        <v>1119</v>
      </c>
      <c r="G1211" s="8" t="s">
        <v>1119</v>
      </c>
      <c r="H1211" s="9">
        <v>3000000</v>
      </c>
      <c r="I1211" s="9">
        <f>[1]!Tabel1[[#This Row],[Honorar]]*[1]!Tabel1[[#This Row],[Sandsynlighed]]</f>
        <v>225000</v>
      </c>
      <c r="J1211" s="10" t="s">
        <v>329</v>
      </c>
      <c r="K1211" s="10" t="s">
        <v>1191</v>
      </c>
      <c r="L1211" s="21"/>
      <c r="M1211" s="11">
        <v>0.5</v>
      </c>
      <c r="N1211" s="1" t="s">
        <v>777</v>
      </c>
      <c r="O1211" s="10">
        <v>46279.611168981479</v>
      </c>
      <c r="P1211" s="10"/>
      <c r="Q1211" s="1" t="s">
        <v>46</v>
      </c>
      <c r="R1211" s="8" t="s">
        <v>47</v>
      </c>
      <c r="S121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1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1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1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1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1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1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1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1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1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1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1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1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11" s="12">
        <f ca="1">[1]!Tabel1[[#This Row],[Vægtet Honorar]]*([1]!Tabel1[[#This Row],[Sidst redigeret]]&gt;TODAY()-40)*([1]!Tabel1[[#This Row],[Er i resplan?]]&lt;&gt;"Ja")*([1]!Tabel1[[#This Row],[Status]]="Pågår")</f>
        <v>0</v>
      </c>
      <c r="AG1211" s="12">
        <f ca="1">[1]!Tabel1[[#This Row],[Vægtet Honorar]]*([1]!Tabel1[[#This Row],[Sidst redigeret]]&gt;TODAY()-40)*([1]!Tabel1[[#This Row],[Status]]="Pågår")</f>
        <v>0</v>
      </c>
      <c r="AH1211" s="13">
        <v>45909.44159722222</v>
      </c>
      <c r="AI1211" s="12"/>
      <c r="AJ1211" s="12"/>
      <c r="AK1211" s="12"/>
      <c r="AL1211" s="12"/>
      <c r="AM1211" s="12"/>
      <c r="AN1211" s="12"/>
      <c r="AO1211" s="12"/>
      <c r="AP1211" s="12"/>
    </row>
    <row r="1212" spans="1:42">
      <c r="A1212" t="s">
        <v>4258</v>
      </c>
      <c r="B1212" s="8"/>
      <c r="C1212" s="8" t="s">
        <v>4259</v>
      </c>
      <c r="D1212" s="8" t="s">
        <v>70</v>
      </c>
      <c r="E1212" s="8" t="s">
        <v>102</v>
      </c>
      <c r="F1212" s="8" t="s">
        <v>1119</v>
      </c>
      <c r="G1212" s="8" t="s">
        <v>1119</v>
      </c>
      <c r="H1212" s="9">
        <v>6700000</v>
      </c>
      <c r="I1212" s="9">
        <f>[1]!Tabel1[[#This Row],[Honorar]]*[1]!Tabel1[[#This Row],[Sandsynlighed]]</f>
        <v>60000</v>
      </c>
      <c r="J1212" s="10" t="s">
        <v>342</v>
      </c>
      <c r="K1212" s="10" t="s">
        <v>2405</v>
      </c>
      <c r="L1212" s="21"/>
      <c r="M1212" s="11">
        <v>0.05</v>
      </c>
      <c r="N1212" s="1" t="s">
        <v>777</v>
      </c>
      <c r="O1212" s="10">
        <v>46279.611168981479</v>
      </c>
      <c r="P1212" s="10"/>
      <c r="Q1212" s="1" t="s">
        <v>72</v>
      </c>
      <c r="R1212" s="8" t="s">
        <v>343</v>
      </c>
      <c r="S121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1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1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1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1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1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1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1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1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1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1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1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1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12" s="12">
        <f ca="1">[1]!Tabel1[[#This Row],[Vægtet Honorar]]*([1]!Tabel1[[#This Row],[Sidst redigeret]]&gt;TODAY()-40)*([1]!Tabel1[[#This Row],[Er i resplan?]]&lt;&gt;"Ja")*([1]!Tabel1[[#This Row],[Status]]="Pågår")</f>
        <v>60000</v>
      </c>
      <c r="AG1212" s="12">
        <f ca="1">[1]!Tabel1[[#This Row],[Vægtet Honorar]]*([1]!Tabel1[[#This Row],[Sidst redigeret]]&gt;TODAY()-40)*([1]!Tabel1[[#This Row],[Status]]="Pågår")</f>
        <v>60000</v>
      </c>
      <c r="AH1212" s="13"/>
      <c r="AI1212" s="12"/>
      <c r="AJ1212" s="12"/>
      <c r="AK1212" s="12"/>
      <c r="AL1212" s="12"/>
      <c r="AM1212" s="12"/>
      <c r="AN1212" s="12"/>
      <c r="AO1212" s="12"/>
      <c r="AP1212" s="12"/>
    </row>
    <row r="1213" spans="1:42" ht="29.25">
      <c r="A1213" t="s">
        <v>4260</v>
      </c>
      <c r="B1213" s="8"/>
      <c r="C1213" s="8" t="s">
        <v>4261</v>
      </c>
      <c r="D1213" s="8" t="s">
        <v>980</v>
      </c>
      <c r="E1213" s="8" t="s">
        <v>71</v>
      </c>
      <c r="F1213" s="8" t="s">
        <v>1119</v>
      </c>
      <c r="G1213" s="8" t="s">
        <v>4262</v>
      </c>
      <c r="H1213" s="9">
        <v>155000</v>
      </c>
      <c r="I1213" s="9">
        <f>[1]!Tabel1[[#This Row],[Honorar]]*[1]!Tabel1[[#This Row],[Sandsynlighed]]</f>
        <v>64000</v>
      </c>
      <c r="J1213" s="10" t="s">
        <v>328</v>
      </c>
      <c r="K1213" s="10" t="s">
        <v>1287</v>
      </c>
      <c r="L1213" s="21" t="s">
        <v>1056</v>
      </c>
      <c r="M1213" s="11">
        <v>0</v>
      </c>
      <c r="N1213" s="1" t="s">
        <v>777</v>
      </c>
      <c r="O1213" s="10">
        <v>46279.611168981479</v>
      </c>
      <c r="P1213" s="10"/>
      <c r="Q1213" s="1" t="s">
        <v>72</v>
      </c>
      <c r="R1213" s="8" t="s">
        <v>75</v>
      </c>
      <c r="S121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1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1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1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1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1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1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1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1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1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1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1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1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13" s="12">
        <f ca="1">[1]!Tabel1[[#This Row],[Vægtet Honorar]]*([1]!Tabel1[[#This Row],[Sidst redigeret]]&gt;TODAY()-40)*([1]!Tabel1[[#This Row],[Er i resplan?]]&lt;&gt;"Ja")*([1]!Tabel1[[#This Row],[Status]]="Pågår")</f>
        <v>0</v>
      </c>
      <c r="AG1213" s="12">
        <f ca="1">[1]!Tabel1[[#This Row],[Vægtet Honorar]]*([1]!Tabel1[[#This Row],[Sidst redigeret]]&gt;TODAY()-40)*([1]!Tabel1[[#This Row],[Status]]="Pågår")</f>
        <v>0</v>
      </c>
      <c r="AH1213" s="13"/>
      <c r="AI1213" s="12"/>
      <c r="AJ1213" s="12"/>
      <c r="AK1213" s="12"/>
      <c r="AL1213" s="12"/>
      <c r="AM1213" s="12"/>
      <c r="AN1213" s="12"/>
      <c r="AO1213" s="12"/>
      <c r="AP1213" s="12"/>
    </row>
    <row r="1214" spans="1:42" ht="43.5">
      <c r="A1214" t="s">
        <v>4263</v>
      </c>
      <c r="B1214" s="8"/>
      <c r="C1214" s="8" t="s">
        <v>4264</v>
      </c>
      <c r="D1214" s="8" t="s">
        <v>1771</v>
      </c>
      <c r="E1214" s="8" t="s">
        <v>167</v>
      </c>
      <c r="F1214" s="8" t="s">
        <v>4265</v>
      </c>
      <c r="G1214" s="8" t="s">
        <v>4265</v>
      </c>
      <c r="H1214" s="9">
        <v>2500000</v>
      </c>
      <c r="I1214" s="9">
        <f>[1]!Tabel1[[#This Row],[Honorar]]*[1]!Tabel1[[#This Row],[Sandsynlighed]]</f>
        <v>60000</v>
      </c>
      <c r="J1214" s="10" t="s">
        <v>1287</v>
      </c>
      <c r="K1214" s="10" t="s">
        <v>342</v>
      </c>
      <c r="L1214" s="21" t="s">
        <v>1213</v>
      </c>
      <c r="M1214" s="11">
        <v>0</v>
      </c>
      <c r="N1214" s="1" t="s">
        <v>4266</v>
      </c>
      <c r="O1214" s="10">
        <v>46279.611168981479</v>
      </c>
      <c r="P1214" s="10"/>
      <c r="Q1214" s="1" t="s">
        <v>72</v>
      </c>
      <c r="R1214" s="8" t="s">
        <v>75</v>
      </c>
      <c r="S121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1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1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1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1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1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1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1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1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1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1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1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1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14" s="12">
        <f ca="1">[1]!Tabel1[[#This Row],[Vægtet Honorar]]*([1]!Tabel1[[#This Row],[Sidst redigeret]]&gt;TODAY()-40)*([1]!Tabel1[[#This Row],[Er i resplan?]]&lt;&gt;"Ja")*([1]!Tabel1[[#This Row],[Status]]="Pågår")</f>
        <v>0</v>
      </c>
      <c r="AG1214" s="12">
        <f ca="1">[1]!Tabel1[[#This Row],[Vægtet Honorar]]*([1]!Tabel1[[#This Row],[Sidst redigeret]]&gt;TODAY()-40)*([1]!Tabel1[[#This Row],[Status]]="Pågår")</f>
        <v>0</v>
      </c>
      <c r="AH1214" s="13"/>
      <c r="AI1214" s="12"/>
      <c r="AJ1214" s="12" t="s">
        <v>2005</v>
      </c>
      <c r="AK1214" s="12"/>
      <c r="AL1214" s="12"/>
      <c r="AM1214" s="12" t="s">
        <v>1287</v>
      </c>
      <c r="AN1214" s="12" t="s">
        <v>4267</v>
      </c>
      <c r="AO1214" s="12" t="s">
        <v>4268</v>
      </c>
      <c r="AP1214" s="12"/>
    </row>
    <row r="1215" spans="1:42">
      <c r="A1215" t="s">
        <v>4269</v>
      </c>
      <c r="B1215" s="8"/>
      <c r="C1215" s="8" t="s">
        <v>4270</v>
      </c>
      <c r="D1215" s="8" t="s">
        <v>4254</v>
      </c>
      <c r="E1215" s="8" t="s">
        <v>167</v>
      </c>
      <c r="F1215" s="8" t="s">
        <v>885</v>
      </c>
      <c r="G1215" s="8" t="s">
        <v>885</v>
      </c>
      <c r="H1215" s="9">
        <v>75000</v>
      </c>
      <c r="I1215" s="9">
        <f>[1]!Tabel1[[#This Row],[Honorar]]*[1]!Tabel1[[#This Row],[Sandsynlighed]]</f>
        <v>75000</v>
      </c>
      <c r="J1215" s="10" t="s">
        <v>329</v>
      </c>
      <c r="K1215" s="10" t="s">
        <v>342</v>
      </c>
      <c r="L1215" s="21"/>
      <c r="M1215" s="11">
        <v>0.5</v>
      </c>
      <c r="N1215" s="1"/>
      <c r="O1215" s="10">
        <v>46279.611168981479</v>
      </c>
      <c r="P1215" s="10"/>
      <c r="Q1215" s="1" t="s">
        <v>72</v>
      </c>
      <c r="R1215" s="8" t="s">
        <v>343</v>
      </c>
      <c r="S121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1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1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1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1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1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1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1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1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1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1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1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1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15" s="12">
        <f ca="1">[1]!Tabel1[[#This Row],[Vægtet Honorar]]*([1]!Tabel1[[#This Row],[Sidst redigeret]]&gt;TODAY()-40)*([1]!Tabel1[[#This Row],[Er i resplan?]]&lt;&gt;"Ja")*([1]!Tabel1[[#This Row],[Status]]="Pågår")</f>
        <v>75000</v>
      </c>
      <c r="AG1215" s="12">
        <f ca="1">[1]!Tabel1[[#This Row],[Vægtet Honorar]]*([1]!Tabel1[[#This Row],[Sidst redigeret]]&gt;TODAY()-40)*([1]!Tabel1[[#This Row],[Status]]="Pågår")</f>
        <v>75000</v>
      </c>
      <c r="AH1215" s="13"/>
      <c r="AI1215" s="12"/>
      <c r="AJ1215" s="12"/>
      <c r="AK1215" s="12"/>
      <c r="AL1215" s="12"/>
      <c r="AM1215" s="12"/>
      <c r="AN1215" s="12"/>
      <c r="AO1215" s="12"/>
      <c r="AP1215" s="12"/>
    </row>
    <row r="1216" spans="1:42">
      <c r="A1216" t="s">
        <v>4271</v>
      </c>
      <c r="B1216" s="8"/>
      <c r="C1216" s="8" t="s">
        <v>4272</v>
      </c>
      <c r="D1216" s="8" t="s">
        <v>896</v>
      </c>
      <c r="E1216" s="8" t="s">
        <v>94</v>
      </c>
      <c r="F1216" s="8" t="s">
        <v>589</v>
      </c>
      <c r="G1216" s="8" t="s">
        <v>4273</v>
      </c>
      <c r="H1216" s="9">
        <v>44000000</v>
      </c>
      <c r="I1216" s="9">
        <f>[1]!Tabel1[[#This Row],[Honorar]]*[1]!Tabel1[[#This Row],[Sandsynlighed]]</f>
        <v>1500000</v>
      </c>
      <c r="J1216" s="10" t="s">
        <v>1191</v>
      </c>
      <c r="K1216" s="10" t="s">
        <v>342</v>
      </c>
      <c r="L1216" s="21"/>
      <c r="M1216" s="11">
        <v>0.01</v>
      </c>
      <c r="N1216" s="1">
        <v>25500</v>
      </c>
      <c r="O1216" s="10">
        <v>46279.611168981479</v>
      </c>
      <c r="P1216" s="1" t="s">
        <v>46</v>
      </c>
      <c r="Q1216" s="1" t="s">
        <v>72</v>
      </c>
      <c r="R1216" s="8" t="s">
        <v>75</v>
      </c>
      <c r="S121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1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1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1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1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1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1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1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1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1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1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1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1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16" s="12">
        <f ca="1">[1]!Tabel1[[#This Row],[Vægtet Honorar]]*([1]!Tabel1[[#This Row],[Sidst redigeret]]&gt;TODAY()-40)*([1]!Tabel1[[#This Row],[Er i resplan?]]&lt;&gt;"Ja")*([1]!Tabel1[[#This Row],[Status]]="Pågår")</f>
        <v>0</v>
      </c>
      <c r="AG1216" s="12">
        <f ca="1">[1]!Tabel1[[#This Row],[Vægtet Honorar]]*([1]!Tabel1[[#This Row],[Sidst redigeret]]&gt;TODAY()-40)*([1]!Tabel1[[#This Row],[Status]]="Pågår")</f>
        <v>0</v>
      </c>
      <c r="AH1216" s="13"/>
      <c r="AI1216" s="12"/>
      <c r="AJ1216" s="12" t="s">
        <v>4273</v>
      </c>
      <c r="AK1216" s="12"/>
      <c r="AL1216" s="12"/>
      <c r="AM1216" s="12"/>
      <c r="AN1216" s="12"/>
      <c r="AO1216" s="12"/>
      <c r="AP1216" s="12"/>
    </row>
    <row r="1217" spans="1:42" ht="29.25">
      <c r="A1217" t="s">
        <v>4274</v>
      </c>
      <c r="B1217" s="8"/>
      <c r="C1217" s="8" t="s">
        <v>4275</v>
      </c>
      <c r="D1217" s="8" t="s">
        <v>358</v>
      </c>
      <c r="E1217" s="8" t="s">
        <v>102</v>
      </c>
      <c r="F1217" s="8" t="s">
        <v>4276</v>
      </c>
      <c r="G1217" s="8" t="s">
        <v>3489</v>
      </c>
      <c r="H1217" s="9">
        <v>500000</v>
      </c>
      <c r="I1217" s="9">
        <f>[1]!Tabel1[[#This Row],[Honorar]]*[1]!Tabel1[[#This Row],[Sandsynlighed]]</f>
        <v>335000</v>
      </c>
      <c r="J1217" s="10" t="s">
        <v>1287</v>
      </c>
      <c r="K1217" s="10" t="s">
        <v>342</v>
      </c>
      <c r="L1217" s="21" t="s">
        <v>3467</v>
      </c>
      <c r="M1217" s="11">
        <v>0.33</v>
      </c>
      <c r="N1217" s="1">
        <v>2500</v>
      </c>
      <c r="O1217" s="10">
        <v>46279.611168981479</v>
      </c>
      <c r="P1217" s="10"/>
      <c r="Q1217" s="1" t="s">
        <v>72</v>
      </c>
      <c r="R1217" s="8" t="s">
        <v>343</v>
      </c>
      <c r="S121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1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1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1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1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1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1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1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1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1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1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1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1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17" s="12">
        <f ca="1">[1]!Tabel1[[#This Row],[Vægtet Honorar]]*([1]!Tabel1[[#This Row],[Sidst redigeret]]&gt;TODAY()-40)*([1]!Tabel1[[#This Row],[Er i resplan?]]&lt;&gt;"Ja")*([1]!Tabel1[[#This Row],[Status]]="Pågår")</f>
        <v>335000</v>
      </c>
      <c r="AG1217" s="12">
        <f ca="1">[1]!Tabel1[[#This Row],[Vægtet Honorar]]*([1]!Tabel1[[#This Row],[Sidst redigeret]]&gt;TODAY()-40)*([1]!Tabel1[[#This Row],[Status]]="Pågår")</f>
        <v>335000</v>
      </c>
      <c r="AH1217" s="13"/>
      <c r="AI1217" s="12"/>
      <c r="AJ1217" s="12"/>
      <c r="AK1217" s="12"/>
      <c r="AL1217" s="12"/>
      <c r="AM1217" s="12"/>
      <c r="AN1217" s="12"/>
      <c r="AO1217" s="12"/>
      <c r="AP1217" s="12"/>
    </row>
    <row r="1218" spans="1:42" ht="57.75">
      <c r="A1218" t="s">
        <v>4277</v>
      </c>
      <c r="B1218" s="8"/>
      <c r="C1218" s="8" t="s">
        <v>4278</v>
      </c>
      <c r="D1218" s="8" t="s">
        <v>134</v>
      </c>
      <c r="E1218" s="8" t="s">
        <v>94</v>
      </c>
      <c r="F1218" s="8" t="s">
        <v>1486</v>
      </c>
      <c r="G1218" s="8" t="s">
        <v>1486</v>
      </c>
      <c r="H1218" s="9">
        <v>250000</v>
      </c>
      <c r="I1218" s="9">
        <f>[1]!Tabel1[[#This Row],[Honorar]]*[1]!Tabel1[[#This Row],[Sandsynlighed]]</f>
        <v>0</v>
      </c>
      <c r="J1218" s="10" t="s">
        <v>341</v>
      </c>
      <c r="K1218" s="10" t="s">
        <v>342</v>
      </c>
      <c r="L1218" s="21" t="s">
        <v>4279</v>
      </c>
      <c r="M1218" s="11">
        <v>0.1</v>
      </c>
      <c r="N1218" s="1" t="s">
        <v>777</v>
      </c>
      <c r="O1218" s="10">
        <v>46279.611168981479</v>
      </c>
      <c r="P1218" s="1" t="s">
        <v>46</v>
      </c>
      <c r="Q1218" s="1" t="s">
        <v>72</v>
      </c>
      <c r="R1218" s="8" t="s">
        <v>49</v>
      </c>
      <c r="S121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1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1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1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1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1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1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1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1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1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1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1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1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18" s="12">
        <f ca="1">[1]!Tabel1[[#This Row],[Vægtet Honorar]]*([1]!Tabel1[[#This Row],[Sidst redigeret]]&gt;TODAY()-40)*([1]!Tabel1[[#This Row],[Er i resplan?]]&lt;&gt;"Ja")*([1]!Tabel1[[#This Row],[Status]]="Pågår")</f>
        <v>0</v>
      </c>
      <c r="AG1218" s="12">
        <f ca="1">[1]!Tabel1[[#This Row],[Vægtet Honorar]]*([1]!Tabel1[[#This Row],[Sidst redigeret]]&gt;TODAY()-40)*([1]!Tabel1[[#This Row],[Status]]="Pågår")</f>
        <v>0</v>
      </c>
      <c r="AH1218" s="13"/>
      <c r="AI1218" s="12"/>
      <c r="AJ1218" s="12"/>
      <c r="AK1218" s="12"/>
      <c r="AL1218" s="12"/>
      <c r="AM1218" s="12"/>
      <c r="AN1218" s="12"/>
      <c r="AO1218" s="12"/>
      <c r="AP1218" s="12"/>
    </row>
    <row r="1219" spans="1:42" ht="57.75">
      <c r="A1219" t="s">
        <v>4280</v>
      </c>
      <c r="B1219" s="8"/>
      <c r="C1219" s="8" t="s">
        <v>4281</v>
      </c>
      <c r="D1219" s="8" t="s">
        <v>65</v>
      </c>
      <c r="E1219" s="8" t="s">
        <v>167</v>
      </c>
      <c r="F1219" s="8" t="s">
        <v>671</v>
      </c>
      <c r="G1219" s="8" t="s">
        <v>671</v>
      </c>
      <c r="H1219" s="9">
        <v>15000</v>
      </c>
      <c r="I1219" s="9">
        <f>[1]!Tabel1[[#This Row],[Honorar]]*[1]!Tabel1[[#This Row],[Sandsynlighed]]</f>
        <v>0</v>
      </c>
      <c r="J1219" s="10" t="s">
        <v>329</v>
      </c>
      <c r="K1219" s="10" t="s">
        <v>329</v>
      </c>
      <c r="L1219" s="21" t="s">
        <v>4282</v>
      </c>
      <c r="M1219" s="11">
        <v>1</v>
      </c>
      <c r="N1219" s="1" t="s">
        <v>777</v>
      </c>
      <c r="O1219" s="10">
        <v>46279.611168981479</v>
      </c>
      <c r="P1219" s="10"/>
      <c r="Q1219" s="1" t="s">
        <v>72</v>
      </c>
      <c r="R1219" s="8" t="s">
        <v>343</v>
      </c>
      <c r="S121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1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1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1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1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1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1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1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1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1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1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1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1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19" s="12">
        <f ca="1">[1]!Tabel1[[#This Row],[Vægtet Honorar]]*([1]!Tabel1[[#This Row],[Sidst redigeret]]&gt;TODAY()-40)*([1]!Tabel1[[#This Row],[Er i resplan?]]&lt;&gt;"Ja")*([1]!Tabel1[[#This Row],[Status]]="Pågår")</f>
        <v>0</v>
      </c>
      <c r="AG1219" s="12">
        <f ca="1">[1]!Tabel1[[#This Row],[Vægtet Honorar]]*([1]!Tabel1[[#This Row],[Sidst redigeret]]&gt;TODAY()-40)*([1]!Tabel1[[#This Row],[Status]]="Pågår")</f>
        <v>0</v>
      </c>
      <c r="AH1219" s="13"/>
      <c r="AI1219" s="12"/>
      <c r="AJ1219" s="12"/>
      <c r="AK1219" s="12"/>
      <c r="AL1219" s="12"/>
      <c r="AM1219" s="12"/>
      <c r="AN1219" s="12"/>
      <c r="AO1219" s="12"/>
      <c r="AP1219" s="12"/>
    </row>
    <row r="1220" spans="1:42" ht="114.75">
      <c r="A1220" t="s">
        <v>4283</v>
      </c>
      <c r="B1220" s="8"/>
      <c r="C1220" s="8" t="s">
        <v>4284</v>
      </c>
      <c r="D1220" s="8" t="s">
        <v>134</v>
      </c>
      <c r="E1220" s="8" t="s">
        <v>94</v>
      </c>
      <c r="F1220" s="8" t="s">
        <v>2068</v>
      </c>
      <c r="G1220" s="8" t="s">
        <v>2068</v>
      </c>
      <c r="H1220" s="9">
        <v>150000</v>
      </c>
      <c r="I1220" s="9">
        <f>[1]!Tabel1[[#This Row],[Honorar]]*[1]!Tabel1[[#This Row],[Sandsynlighed]]</f>
        <v>37500</v>
      </c>
      <c r="J1220" s="10" t="s">
        <v>341</v>
      </c>
      <c r="K1220" s="10" t="s">
        <v>341</v>
      </c>
      <c r="L1220" s="21" t="s">
        <v>4285</v>
      </c>
      <c r="M1220" s="11">
        <v>0.1</v>
      </c>
      <c r="N1220" s="1" t="s">
        <v>777</v>
      </c>
      <c r="O1220" s="10">
        <v>46279.611168981479</v>
      </c>
      <c r="P1220" s="1" t="s">
        <v>46</v>
      </c>
      <c r="Q1220" s="1" t="s">
        <v>72</v>
      </c>
      <c r="R1220" s="8" t="s">
        <v>49</v>
      </c>
      <c r="S122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2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2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2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2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2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2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2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2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2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2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2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2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20" s="12">
        <f ca="1">[1]!Tabel1[[#This Row],[Vægtet Honorar]]*([1]!Tabel1[[#This Row],[Sidst redigeret]]&gt;TODAY()-40)*([1]!Tabel1[[#This Row],[Er i resplan?]]&lt;&gt;"Ja")*([1]!Tabel1[[#This Row],[Status]]="Pågår")</f>
        <v>37500</v>
      </c>
      <c r="AG1220" s="12">
        <f ca="1">[1]!Tabel1[[#This Row],[Vægtet Honorar]]*([1]!Tabel1[[#This Row],[Sidst redigeret]]&gt;TODAY()-40)*([1]!Tabel1[[#This Row],[Status]]="Pågår")</f>
        <v>37500</v>
      </c>
      <c r="AH1220" s="13"/>
      <c r="AI1220" s="12"/>
      <c r="AJ1220" s="12"/>
      <c r="AK1220" s="12"/>
      <c r="AL1220" s="12"/>
      <c r="AM1220" s="12"/>
      <c r="AN1220" s="12"/>
      <c r="AO1220" s="12"/>
      <c r="AP1220" s="12"/>
    </row>
    <row r="1221" spans="1:42" ht="114.75">
      <c r="A1221" t="s">
        <v>4286</v>
      </c>
      <c r="B1221" s="8"/>
      <c r="C1221" s="8" t="s">
        <v>4287</v>
      </c>
      <c r="D1221" s="8" t="s">
        <v>435</v>
      </c>
      <c r="E1221" s="8" t="s">
        <v>167</v>
      </c>
      <c r="F1221" s="8" t="s">
        <v>2068</v>
      </c>
      <c r="G1221" s="8" t="s">
        <v>2522</v>
      </c>
      <c r="H1221" s="9">
        <v>50000</v>
      </c>
      <c r="I1221" s="9">
        <f>[1]!Tabel1[[#This Row],[Honorar]]*[1]!Tabel1[[#This Row],[Sandsynlighed]]</f>
        <v>440000</v>
      </c>
      <c r="J1221" s="10" t="s">
        <v>1068</v>
      </c>
      <c r="K1221" s="10" t="s">
        <v>1191</v>
      </c>
      <c r="L1221" s="21" t="s">
        <v>4288</v>
      </c>
      <c r="M1221" s="11">
        <v>0.5</v>
      </c>
      <c r="N1221" s="1" t="s">
        <v>777</v>
      </c>
      <c r="O1221" s="10">
        <v>46279.611168981479</v>
      </c>
      <c r="P1221" s="10"/>
      <c r="Q1221" s="1" t="s">
        <v>72</v>
      </c>
      <c r="R1221" s="8" t="s">
        <v>343</v>
      </c>
      <c r="S122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2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2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2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2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2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2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2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2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2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2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2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2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21" s="12">
        <f ca="1">[1]!Tabel1[[#This Row],[Vægtet Honorar]]*([1]!Tabel1[[#This Row],[Sidst redigeret]]&gt;TODAY()-40)*([1]!Tabel1[[#This Row],[Er i resplan?]]&lt;&gt;"Ja")*([1]!Tabel1[[#This Row],[Status]]="Pågår")</f>
        <v>0</v>
      </c>
      <c r="AG1221" s="12">
        <f ca="1">[1]!Tabel1[[#This Row],[Vægtet Honorar]]*([1]!Tabel1[[#This Row],[Sidst redigeret]]&gt;TODAY()-40)*([1]!Tabel1[[#This Row],[Status]]="Pågår")</f>
        <v>0</v>
      </c>
      <c r="AH1221" s="13"/>
      <c r="AI1221" s="12"/>
      <c r="AJ1221" s="12"/>
      <c r="AK1221" s="12"/>
      <c r="AL1221" s="12"/>
      <c r="AM1221" s="12"/>
      <c r="AN1221" s="12"/>
      <c r="AO1221" s="12"/>
      <c r="AP1221" s="12"/>
    </row>
    <row r="1222" spans="1:42">
      <c r="A1222" t="s">
        <v>4289</v>
      </c>
      <c r="B1222" s="8"/>
      <c r="C1222" s="8" t="s">
        <v>4290</v>
      </c>
      <c r="D1222" s="8" t="s">
        <v>720</v>
      </c>
      <c r="E1222" s="8" t="s">
        <v>71</v>
      </c>
      <c r="F1222" s="8" t="s">
        <v>4290</v>
      </c>
      <c r="G1222" s="8" t="s">
        <v>2570</v>
      </c>
      <c r="H1222" s="9">
        <v>100000</v>
      </c>
      <c r="I1222" s="9">
        <f>[1]!Tabel1[[#This Row],[Honorar]]*[1]!Tabel1[[#This Row],[Sandsynlighed]]</f>
        <v>165000</v>
      </c>
      <c r="J1222" s="10" t="s">
        <v>1287</v>
      </c>
      <c r="K1222" s="10" t="s">
        <v>1191</v>
      </c>
      <c r="L1222" s="21"/>
      <c r="M1222" s="11">
        <v>0.05</v>
      </c>
      <c r="N1222" s="1" t="s">
        <v>777</v>
      </c>
      <c r="O1222" s="10">
        <v>46279.611168981479</v>
      </c>
      <c r="P1222" s="10"/>
      <c r="Q1222" s="1" t="s">
        <v>72</v>
      </c>
      <c r="R1222" s="8" t="s">
        <v>343</v>
      </c>
      <c r="S122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2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2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2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2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2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2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2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2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2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2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2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2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22" s="12">
        <f ca="1">[1]!Tabel1[[#This Row],[Vægtet Honorar]]*([1]!Tabel1[[#This Row],[Sidst redigeret]]&gt;TODAY()-40)*([1]!Tabel1[[#This Row],[Er i resplan?]]&lt;&gt;"Ja")*([1]!Tabel1[[#This Row],[Status]]="Pågår")</f>
        <v>165000</v>
      </c>
      <c r="AG1222" s="12">
        <f ca="1">[1]!Tabel1[[#This Row],[Vægtet Honorar]]*([1]!Tabel1[[#This Row],[Sidst redigeret]]&gt;TODAY()-40)*([1]!Tabel1[[#This Row],[Status]]="Pågår")</f>
        <v>165000</v>
      </c>
      <c r="AH1222" s="13"/>
      <c r="AI1222" s="12"/>
      <c r="AJ1222" s="12"/>
      <c r="AK1222" s="12"/>
      <c r="AL1222" s="12"/>
      <c r="AM1222" s="12"/>
      <c r="AN1222" s="12"/>
      <c r="AO1222" s="12"/>
      <c r="AP1222" s="12"/>
    </row>
    <row r="1223" spans="1:42" ht="57.75">
      <c r="A1223" t="s">
        <v>4291</v>
      </c>
      <c r="B1223" s="8"/>
      <c r="C1223" s="8" t="s">
        <v>4292</v>
      </c>
      <c r="D1223" s="8" t="s">
        <v>720</v>
      </c>
      <c r="E1223" s="8" t="s">
        <v>71</v>
      </c>
      <c r="F1223" s="8" t="s">
        <v>547</v>
      </c>
      <c r="G1223" s="8" t="s">
        <v>547</v>
      </c>
      <c r="H1223" s="9">
        <v>500000</v>
      </c>
      <c r="I1223" s="9">
        <f>[1]!Tabel1[[#This Row],[Honorar]]*[1]!Tabel1[[#This Row],[Sandsynlighed]]</f>
        <v>25000</v>
      </c>
      <c r="J1223" s="10" t="s">
        <v>1287</v>
      </c>
      <c r="K1223" s="10" t="s">
        <v>1191</v>
      </c>
      <c r="L1223" s="21" t="s">
        <v>4293</v>
      </c>
      <c r="M1223" s="11">
        <v>1</v>
      </c>
      <c r="N1223" s="1">
        <v>2000</v>
      </c>
      <c r="O1223" s="10">
        <v>46279.611168981479</v>
      </c>
      <c r="P1223" s="10"/>
      <c r="Q1223" s="1" t="s">
        <v>46</v>
      </c>
      <c r="R1223" s="8" t="s">
        <v>47</v>
      </c>
      <c r="S122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2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2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2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2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2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2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2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2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2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2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2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2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23" s="12">
        <f ca="1">[1]!Tabel1[[#This Row],[Vægtet Honorar]]*([1]!Tabel1[[#This Row],[Sidst redigeret]]&gt;TODAY()-40)*([1]!Tabel1[[#This Row],[Er i resplan?]]&lt;&gt;"Ja")*([1]!Tabel1[[#This Row],[Status]]="Pågår")</f>
        <v>0</v>
      </c>
      <c r="AG1223" s="12">
        <f ca="1">[1]!Tabel1[[#This Row],[Vægtet Honorar]]*([1]!Tabel1[[#This Row],[Sidst redigeret]]&gt;TODAY()-40)*([1]!Tabel1[[#This Row],[Status]]="Pågår")</f>
        <v>0</v>
      </c>
      <c r="AH1223" s="13">
        <v>45909.441608796296</v>
      </c>
      <c r="AI1223" s="12"/>
      <c r="AJ1223" s="12"/>
      <c r="AK1223" s="12"/>
      <c r="AL1223" s="12"/>
      <c r="AM1223" s="12"/>
      <c r="AN1223" s="12"/>
      <c r="AO1223" s="12"/>
      <c r="AP1223" s="12"/>
    </row>
    <row r="1224" spans="1:42" ht="43.5">
      <c r="A1224" t="s">
        <v>4294</v>
      </c>
      <c r="B1224" s="8"/>
      <c r="C1224" s="8" t="s">
        <v>4295</v>
      </c>
      <c r="D1224" s="8" t="s">
        <v>1771</v>
      </c>
      <c r="E1224" s="8" t="s">
        <v>167</v>
      </c>
      <c r="F1224" s="8" t="s">
        <v>4296</v>
      </c>
      <c r="G1224" s="8" t="s">
        <v>671</v>
      </c>
      <c r="H1224" s="9">
        <v>500000</v>
      </c>
      <c r="I1224" s="9">
        <f>[1]!Tabel1[[#This Row],[Honorar]]*[1]!Tabel1[[#This Row],[Sandsynlighed]]</f>
        <v>15000</v>
      </c>
      <c r="J1224" s="10" t="s">
        <v>585</v>
      </c>
      <c r="K1224" s="10" t="s">
        <v>898</v>
      </c>
      <c r="L1224" s="21" t="s">
        <v>4297</v>
      </c>
      <c r="M1224" s="11">
        <v>0.01</v>
      </c>
      <c r="N1224" s="1"/>
      <c r="O1224" s="10">
        <v>46279.611168981479</v>
      </c>
      <c r="P1224" s="10"/>
      <c r="Q1224" s="1" t="s">
        <v>72</v>
      </c>
      <c r="R1224" s="8" t="s">
        <v>343</v>
      </c>
      <c r="S122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2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2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2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2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2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2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2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2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2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2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2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2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24" s="12">
        <f ca="1">[1]!Tabel1[[#This Row],[Vægtet Honorar]]*([1]!Tabel1[[#This Row],[Sidst redigeret]]&gt;TODAY()-40)*([1]!Tabel1[[#This Row],[Er i resplan?]]&lt;&gt;"Ja")*([1]!Tabel1[[#This Row],[Status]]="Pågår")</f>
        <v>15000</v>
      </c>
      <c r="AG1224" s="12">
        <f ca="1">[1]!Tabel1[[#This Row],[Vægtet Honorar]]*([1]!Tabel1[[#This Row],[Sidst redigeret]]&gt;TODAY()-40)*([1]!Tabel1[[#This Row],[Status]]="Pågår")</f>
        <v>15000</v>
      </c>
      <c r="AH1224" s="13"/>
      <c r="AI1224" s="12"/>
      <c r="AJ1224" s="12" t="s">
        <v>213</v>
      </c>
      <c r="AK1224" s="12"/>
      <c r="AL1224" s="12"/>
      <c r="AM1224" s="12"/>
      <c r="AN1224" s="12"/>
      <c r="AO1224" s="12"/>
      <c r="AP1224" s="12"/>
    </row>
    <row r="1225" spans="1:42" ht="72">
      <c r="A1225" t="s">
        <v>4298</v>
      </c>
      <c r="B1225" s="8"/>
      <c r="C1225" s="8" t="s">
        <v>4299</v>
      </c>
      <c r="D1225" s="8" t="s">
        <v>158</v>
      </c>
      <c r="E1225" s="8" t="s">
        <v>167</v>
      </c>
      <c r="F1225" s="8" t="s">
        <v>1333</v>
      </c>
      <c r="G1225" s="8" t="s">
        <v>4090</v>
      </c>
      <c r="H1225" s="9">
        <v>400000</v>
      </c>
      <c r="I1225" s="9">
        <f>[1]!Tabel1[[#This Row],[Honorar]]*[1]!Tabel1[[#This Row],[Sandsynlighed]]</f>
        <v>15000</v>
      </c>
      <c r="J1225" s="10" t="s">
        <v>1191</v>
      </c>
      <c r="K1225" s="10" t="s">
        <v>4300</v>
      </c>
      <c r="L1225" s="21" t="s">
        <v>4301</v>
      </c>
      <c r="M1225" s="11">
        <v>0.01</v>
      </c>
      <c r="N1225" s="1"/>
      <c r="O1225" s="10">
        <v>46279.611168981479</v>
      </c>
      <c r="P1225" s="10"/>
      <c r="Q1225" s="1" t="s">
        <v>72</v>
      </c>
      <c r="R1225" s="8" t="s">
        <v>343</v>
      </c>
      <c r="S122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2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2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2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2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2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2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2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2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2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2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2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2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25" s="12">
        <f ca="1">[1]!Tabel1[[#This Row],[Vægtet Honorar]]*([1]!Tabel1[[#This Row],[Sidst redigeret]]&gt;TODAY()-40)*([1]!Tabel1[[#This Row],[Er i resplan?]]&lt;&gt;"Ja")*([1]!Tabel1[[#This Row],[Status]]="Pågår")</f>
        <v>0</v>
      </c>
      <c r="AG1225" s="12">
        <f ca="1">[1]!Tabel1[[#This Row],[Vægtet Honorar]]*([1]!Tabel1[[#This Row],[Sidst redigeret]]&gt;TODAY()-40)*([1]!Tabel1[[#This Row],[Status]]="Pågår")</f>
        <v>0</v>
      </c>
      <c r="AH1225" s="13"/>
      <c r="AI1225" s="12"/>
      <c r="AJ1225" s="12" t="s">
        <v>4090</v>
      </c>
      <c r="AK1225" s="12" t="s">
        <v>4302</v>
      </c>
      <c r="AL1225" s="12"/>
      <c r="AM1225" s="12"/>
      <c r="AN1225" s="12" t="s">
        <v>4303</v>
      </c>
      <c r="AO1225" s="12"/>
      <c r="AP1225" s="12"/>
    </row>
    <row r="1226" spans="1:42" ht="86.25">
      <c r="A1226" t="s">
        <v>4304</v>
      </c>
      <c r="B1226" s="8"/>
      <c r="C1226" s="8" t="s">
        <v>4305</v>
      </c>
      <c r="D1226" s="8" t="s">
        <v>158</v>
      </c>
      <c r="E1226" s="8" t="s">
        <v>167</v>
      </c>
      <c r="F1226" s="8" t="s">
        <v>4306</v>
      </c>
      <c r="G1226" s="8" t="s">
        <v>4307</v>
      </c>
      <c r="H1226" s="9">
        <v>150000</v>
      </c>
      <c r="I1226" s="9">
        <f>[1]!Tabel1[[#This Row],[Honorar]]*[1]!Tabel1[[#This Row],[Sandsynlighed]]</f>
        <v>25000</v>
      </c>
      <c r="J1226" s="10" t="s">
        <v>1287</v>
      </c>
      <c r="K1226" s="10" t="s">
        <v>342</v>
      </c>
      <c r="L1226" s="21" t="s">
        <v>4308</v>
      </c>
      <c r="M1226" s="11">
        <v>0.01</v>
      </c>
      <c r="N1226" s="1"/>
      <c r="O1226" s="10">
        <v>46279.611168981479</v>
      </c>
      <c r="P1226" s="10"/>
      <c r="Q1226" s="1" t="s">
        <v>72</v>
      </c>
      <c r="R1226" s="8" t="s">
        <v>343</v>
      </c>
      <c r="S122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2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2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2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2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2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2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2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2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2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2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2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2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26" s="12">
        <f ca="1">[1]!Tabel1[[#This Row],[Vægtet Honorar]]*([1]!Tabel1[[#This Row],[Sidst redigeret]]&gt;TODAY()-40)*([1]!Tabel1[[#This Row],[Er i resplan?]]&lt;&gt;"Ja")*([1]!Tabel1[[#This Row],[Status]]="Pågår")</f>
        <v>25000</v>
      </c>
      <c r="AG1226" s="12">
        <f ca="1">[1]!Tabel1[[#This Row],[Vægtet Honorar]]*([1]!Tabel1[[#This Row],[Sidst redigeret]]&gt;TODAY()-40)*([1]!Tabel1[[#This Row],[Status]]="Pågår")</f>
        <v>25000</v>
      </c>
      <c r="AH1226" s="13"/>
      <c r="AI1226" s="12"/>
      <c r="AJ1226" s="12"/>
      <c r="AK1226" s="12" t="s">
        <v>4309</v>
      </c>
      <c r="AL1226" s="12"/>
      <c r="AM1226" s="12"/>
      <c r="AN1226" s="12" t="s">
        <v>4310</v>
      </c>
      <c r="AO1226" s="12"/>
      <c r="AP1226" s="12"/>
    </row>
    <row r="1227" spans="1:42">
      <c r="A1227" t="s">
        <v>4311</v>
      </c>
      <c r="B1227" s="8"/>
      <c r="C1227" s="8" t="s">
        <v>4312</v>
      </c>
      <c r="D1227" s="8" t="s">
        <v>2886</v>
      </c>
      <c r="E1227" s="8" t="s">
        <v>120</v>
      </c>
      <c r="F1227" s="8" t="s">
        <v>726</v>
      </c>
      <c r="G1227" s="8" t="s">
        <v>3252</v>
      </c>
      <c r="H1227" s="9">
        <v>500000</v>
      </c>
      <c r="I1227" s="9">
        <f>[1]!Tabel1[[#This Row],[Honorar]]*[1]!Tabel1[[#This Row],[Sandsynlighed]]</f>
        <v>5000</v>
      </c>
      <c r="J1227" s="10" t="s">
        <v>1287</v>
      </c>
      <c r="K1227" s="10" t="s">
        <v>342</v>
      </c>
      <c r="L1227" s="21"/>
      <c r="M1227" s="11"/>
      <c r="N1227" s="1"/>
      <c r="O1227" s="10">
        <v>46279.611168981479</v>
      </c>
      <c r="P1227" s="10"/>
      <c r="Q1227" s="1" t="s">
        <v>72</v>
      </c>
      <c r="R1227" s="8" t="s">
        <v>75</v>
      </c>
      <c r="S122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2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2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2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2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2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2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2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2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2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2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2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2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27" s="12">
        <f ca="1">[1]!Tabel1[[#This Row],[Vægtet Honorar]]*([1]!Tabel1[[#This Row],[Sidst redigeret]]&gt;TODAY()-40)*([1]!Tabel1[[#This Row],[Er i resplan?]]&lt;&gt;"Ja")*([1]!Tabel1[[#This Row],[Status]]="Pågår")</f>
        <v>5000</v>
      </c>
      <c r="AG1227" s="12">
        <f ca="1">[1]!Tabel1[[#This Row],[Vægtet Honorar]]*([1]!Tabel1[[#This Row],[Sidst redigeret]]&gt;TODAY()-40)*([1]!Tabel1[[#This Row],[Status]]="Pågår")</f>
        <v>5000</v>
      </c>
      <c r="AH1227" s="13"/>
      <c r="AI1227" s="12"/>
      <c r="AJ1227" s="12" t="s">
        <v>3252</v>
      </c>
      <c r="AK1227" s="12"/>
      <c r="AL1227" s="12"/>
      <c r="AM1227" s="12"/>
      <c r="AN1227" s="12"/>
      <c r="AO1227" s="12"/>
      <c r="AP1227" s="12"/>
    </row>
    <row r="1228" spans="1:42">
      <c r="A1228" t="s">
        <v>4313</v>
      </c>
      <c r="B1228" s="8"/>
      <c r="C1228" s="8" t="s">
        <v>4314</v>
      </c>
      <c r="D1228" s="8" t="s">
        <v>720</v>
      </c>
      <c r="E1228" s="8" t="s">
        <v>71</v>
      </c>
      <c r="F1228" s="8" t="s">
        <v>1012</v>
      </c>
      <c r="G1228" s="8" t="s">
        <v>1012</v>
      </c>
      <c r="H1228" s="9">
        <v>150000</v>
      </c>
      <c r="I1228" s="9">
        <f>[1]!Tabel1[[#This Row],[Honorar]]*[1]!Tabel1[[#This Row],[Sandsynlighed]]</f>
        <v>500000</v>
      </c>
      <c r="J1228" s="10" t="s">
        <v>1287</v>
      </c>
      <c r="K1228" s="10" t="s">
        <v>1191</v>
      </c>
      <c r="L1228" s="21"/>
      <c r="M1228" s="11">
        <v>1</v>
      </c>
      <c r="N1228" s="1"/>
      <c r="O1228" s="10">
        <v>46279.611168981479</v>
      </c>
      <c r="P1228" s="10"/>
      <c r="Q1228" s="1" t="s">
        <v>46</v>
      </c>
      <c r="R1228" s="8" t="s">
        <v>47</v>
      </c>
      <c r="S122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2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2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2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2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2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2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2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2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2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2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2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2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28" s="12">
        <f ca="1">[1]!Tabel1[[#This Row],[Vægtet Honorar]]*([1]!Tabel1[[#This Row],[Sidst redigeret]]&gt;TODAY()-40)*([1]!Tabel1[[#This Row],[Er i resplan?]]&lt;&gt;"Ja")*([1]!Tabel1[[#This Row],[Status]]="Pågår")</f>
        <v>0</v>
      </c>
      <c r="AG1228" s="12">
        <f ca="1">[1]!Tabel1[[#This Row],[Vægtet Honorar]]*([1]!Tabel1[[#This Row],[Sidst redigeret]]&gt;TODAY()-40)*([1]!Tabel1[[#This Row],[Status]]="Pågår")</f>
        <v>0</v>
      </c>
      <c r="AH1228" s="13">
        <v>45909.441608796296</v>
      </c>
      <c r="AI1228" s="12"/>
      <c r="AJ1228" s="12"/>
      <c r="AK1228" s="12"/>
      <c r="AL1228" s="12"/>
      <c r="AM1228" s="12"/>
      <c r="AN1228" s="12"/>
      <c r="AO1228" s="12"/>
      <c r="AP1228" s="12"/>
    </row>
    <row r="1229" spans="1:42" ht="43.5">
      <c r="A1229" t="s">
        <v>4315</v>
      </c>
      <c r="B1229" s="8"/>
      <c r="C1229" s="8" t="s">
        <v>4316</v>
      </c>
      <c r="D1229" s="8" t="s">
        <v>1771</v>
      </c>
      <c r="E1229" s="8" t="s">
        <v>167</v>
      </c>
      <c r="F1229" s="8" t="s">
        <v>4317</v>
      </c>
      <c r="G1229" s="8" t="s">
        <v>4318</v>
      </c>
      <c r="H1229" s="9">
        <v>3500000</v>
      </c>
      <c r="I1229" s="9">
        <f>[1]!Tabel1[[#This Row],[Honorar]]*[1]!Tabel1[[#This Row],[Sandsynlighed]]</f>
        <v>5000</v>
      </c>
      <c r="J1229" s="10" t="s">
        <v>1287</v>
      </c>
      <c r="K1229" s="10" t="s">
        <v>1191</v>
      </c>
      <c r="L1229" s="21" t="s">
        <v>4319</v>
      </c>
      <c r="M1229" s="11">
        <v>0</v>
      </c>
      <c r="N1229" s="1" t="s">
        <v>1073</v>
      </c>
      <c r="O1229" s="10">
        <v>46279.611168981479</v>
      </c>
      <c r="P1229" s="10"/>
      <c r="Q1229" s="1" t="s">
        <v>72</v>
      </c>
      <c r="R1229" s="8" t="s">
        <v>49</v>
      </c>
      <c r="S122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2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2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2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2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2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2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2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2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2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2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2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2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29" s="12">
        <f ca="1">[1]!Tabel1[[#This Row],[Vægtet Honorar]]*([1]!Tabel1[[#This Row],[Sidst redigeret]]&gt;TODAY()-40)*([1]!Tabel1[[#This Row],[Er i resplan?]]&lt;&gt;"Ja")*([1]!Tabel1[[#This Row],[Status]]="Pågår")</f>
        <v>5000</v>
      </c>
      <c r="AG1229" s="12">
        <f ca="1">[1]!Tabel1[[#This Row],[Vægtet Honorar]]*([1]!Tabel1[[#This Row],[Sidst redigeret]]&gt;TODAY()-40)*([1]!Tabel1[[#This Row],[Status]]="Pågår")</f>
        <v>5000</v>
      </c>
      <c r="AH1229" s="13"/>
      <c r="AI1229" s="12"/>
      <c r="AJ1229" s="12" t="s">
        <v>4320</v>
      </c>
      <c r="AK1229" s="12"/>
      <c r="AL1229" s="12"/>
      <c r="AM1229" s="12"/>
      <c r="AN1229" s="12" t="s">
        <v>4321</v>
      </c>
      <c r="AO1229" s="12"/>
      <c r="AP1229" s="12"/>
    </row>
    <row r="1230" spans="1:42" ht="57.75">
      <c r="A1230" t="s">
        <v>4322</v>
      </c>
      <c r="B1230" s="8"/>
      <c r="C1230" s="8" t="s">
        <v>4323</v>
      </c>
      <c r="D1230" s="8" t="s">
        <v>1771</v>
      </c>
      <c r="E1230" s="8" t="s">
        <v>167</v>
      </c>
      <c r="F1230" s="8" t="s">
        <v>4317</v>
      </c>
      <c r="G1230" s="8" t="s">
        <v>4318</v>
      </c>
      <c r="H1230" s="9">
        <v>1000000</v>
      </c>
      <c r="I1230" s="9">
        <f>[1]!Tabel1[[#This Row],[Honorar]]*[1]!Tabel1[[#This Row],[Sandsynlighed]]</f>
        <v>4000</v>
      </c>
      <c r="J1230" s="10" t="s">
        <v>1287</v>
      </c>
      <c r="K1230" s="10" t="s">
        <v>1191</v>
      </c>
      <c r="L1230" s="21" t="s">
        <v>4324</v>
      </c>
      <c r="M1230" s="11">
        <v>0</v>
      </c>
      <c r="N1230" s="1" t="s">
        <v>4325</v>
      </c>
      <c r="O1230" s="10">
        <v>46279.611168981479</v>
      </c>
      <c r="P1230" s="10"/>
      <c r="Q1230" s="1" t="s">
        <v>72</v>
      </c>
      <c r="R1230" s="8" t="s">
        <v>49</v>
      </c>
      <c r="S123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3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3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3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3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3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3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3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3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3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3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3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3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30" s="12">
        <f ca="1">[1]!Tabel1[[#This Row],[Vægtet Honorar]]*([1]!Tabel1[[#This Row],[Sidst redigeret]]&gt;TODAY()-40)*([1]!Tabel1[[#This Row],[Er i resplan?]]&lt;&gt;"Ja")*([1]!Tabel1[[#This Row],[Status]]="Pågår")</f>
        <v>4000</v>
      </c>
      <c r="AG1230" s="12">
        <f ca="1">[1]!Tabel1[[#This Row],[Vægtet Honorar]]*([1]!Tabel1[[#This Row],[Sidst redigeret]]&gt;TODAY()-40)*([1]!Tabel1[[#This Row],[Status]]="Pågår")</f>
        <v>4000</v>
      </c>
      <c r="AH1230" s="13"/>
      <c r="AI1230" s="12"/>
      <c r="AJ1230" s="12" t="s">
        <v>4320</v>
      </c>
      <c r="AK1230" s="12"/>
      <c r="AL1230" s="12"/>
      <c r="AM1230" s="12"/>
      <c r="AN1230" s="12" t="s">
        <v>4321</v>
      </c>
      <c r="AO1230" s="12"/>
      <c r="AP1230" s="12"/>
    </row>
    <row r="1231" spans="1:42" ht="43.5">
      <c r="A1231" t="s">
        <v>4326</v>
      </c>
      <c r="B1231" s="8"/>
      <c r="C1231" s="8" t="s">
        <v>4327</v>
      </c>
      <c r="D1231" s="8" t="s">
        <v>1771</v>
      </c>
      <c r="E1231" s="8" t="s">
        <v>167</v>
      </c>
      <c r="F1231" s="8" t="s">
        <v>741</v>
      </c>
      <c r="G1231" s="8" t="s">
        <v>4328</v>
      </c>
      <c r="H1231" s="9">
        <v>1000000</v>
      </c>
      <c r="I1231" s="9">
        <f>[1]!Tabel1[[#This Row],[Honorar]]*[1]!Tabel1[[#This Row],[Sandsynlighed]]</f>
        <v>1500</v>
      </c>
      <c r="J1231" s="10" t="s">
        <v>341</v>
      </c>
      <c r="K1231" s="10" t="s">
        <v>342</v>
      </c>
      <c r="L1231" s="21" t="s">
        <v>4329</v>
      </c>
      <c r="M1231" s="11">
        <v>0.01</v>
      </c>
      <c r="N1231" s="1"/>
      <c r="O1231" s="10">
        <v>46279.611168981479</v>
      </c>
      <c r="P1231" s="10"/>
      <c r="Q1231" s="1" t="s">
        <v>72</v>
      </c>
      <c r="R1231" s="8" t="s">
        <v>343</v>
      </c>
      <c r="S123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3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3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3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3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3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3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3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3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3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3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3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3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31" s="12">
        <f ca="1">[1]!Tabel1[[#This Row],[Vægtet Honorar]]*([1]!Tabel1[[#This Row],[Sidst redigeret]]&gt;TODAY()-40)*([1]!Tabel1[[#This Row],[Er i resplan?]]&lt;&gt;"Ja")*([1]!Tabel1[[#This Row],[Status]]="Pågår")</f>
        <v>1500</v>
      </c>
      <c r="AG1231" s="12">
        <f ca="1">[1]!Tabel1[[#This Row],[Vægtet Honorar]]*([1]!Tabel1[[#This Row],[Sidst redigeret]]&gt;TODAY()-40)*([1]!Tabel1[[#This Row],[Status]]="Pågår")</f>
        <v>1500</v>
      </c>
      <c r="AH1231" s="13"/>
      <c r="AI1231" s="12"/>
      <c r="AJ1231" s="12" t="s">
        <v>4132</v>
      </c>
      <c r="AK1231" s="12"/>
      <c r="AL1231" s="12"/>
      <c r="AM1231" s="12"/>
      <c r="AN1231" s="12"/>
      <c r="AO1231" s="12"/>
      <c r="AP1231" s="12"/>
    </row>
    <row r="1232" spans="1:42" ht="43.5">
      <c r="A1232" t="s">
        <v>4330</v>
      </c>
      <c r="B1232" s="8"/>
      <c r="C1232" s="8" t="s">
        <v>4331</v>
      </c>
      <c r="D1232" s="8" t="s">
        <v>1771</v>
      </c>
      <c r="E1232" s="8" t="s">
        <v>167</v>
      </c>
      <c r="F1232" s="8" t="s">
        <v>741</v>
      </c>
      <c r="G1232" s="8" t="s">
        <v>4328</v>
      </c>
      <c r="H1232" s="9">
        <v>800000</v>
      </c>
      <c r="I1232" s="9">
        <f>[1]!Tabel1[[#This Row],[Honorar]]*[1]!Tabel1[[#This Row],[Sandsynlighed]]</f>
        <v>0</v>
      </c>
      <c r="J1232" s="10" t="s">
        <v>341</v>
      </c>
      <c r="K1232" s="10" t="s">
        <v>342</v>
      </c>
      <c r="L1232" s="21" t="s">
        <v>4332</v>
      </c>
      <c r="M1232" s="11">
        <v>0.01</v>
      </c>
      <c r="N1232" s="1"/>
      <c r="O1232" s="10">
        <v>46279.611168981479</v>
      </c>
      <c r="P1232" s="10"/>
      <c r="Q1232" s="1" t="s">
        <v>72</v>
      </c>
      <c r="R1232" s="8" t="s">
        <v>343</v>
      </c>
      <c r="S123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3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3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3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3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3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3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3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3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3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3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3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3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32" s="12">
        <f ca="1">[1]!Tabel1[[#This Row],[Vægtet Honorar]]*([1]!Tabel1[[#This Row],[Sidst redigeret]]&gt;TODAY()-40)*([1]!Tabel1[[#This Row],[Er i resplan?]]&lt;&gt;"Ja")*([1]!Tabel1[[#This Row],[Status]]="Pågår")</f>
        <v>0</v>
      </c>
      <c r="AG1232" s="12">
        <f ca="1">[1]!Tabel1[[#This Row],[Vægtet Honorar]]*([1]!Tabel1[[#This Row],[Sidst redigeret]]&gt;TODAY()-40)*([1]!Tabel1[[#This Row],[Status]]="Pågår")</f>
        <v>0</v>
      </c>
      <c r="AH1232" s="13"/>
      <c r="AI1232" s="12"/>
      <c r="AJ1232" s="12" t="s">
        <v>4132</v>
      </c>
      <c r="AK1232" s="12"/>
      <c r="AL1232" s="12"/>
      <c r="AM1232" s="12"/>
      <c r="AN1232" s="12"/>
      <c r="AO1232" s="12"/>
      <c r="AP1232" s="12"/>
    </row>
    <row r="1233" spans="1:42">
      <c r="A1233" t="s">
        <v>4333</v>
      </c>
      <c r="B1233" s="8"/>
      <c r="C1233" s="8" t="s">
        <v>4334</v>
      </c>
      <c r="D1233" s="8" t="s">
        <v>4254</v>
      </c>
      <c r="E1233" s="8" t="s">
        <v>167</v>
      </c>
      <c r="F1233" s="8" t="s">
        <v>2450</v>
      </c>
      <c r="G1233" s="8" t="s">
        <v>2450</v>
      </c>
      <c r="H1233" s="9">
        <v>400000</v>
      </c>
      <c r="I1233" s="9">
        <f>[1]!Tabel1[[#This Row],[Honorar]]*[1]!Tabel1[[#This Row],[Sandsynlighed]]</f>
        <v>150000</v>
      </c>
      <c r="J1233" s="10" t="s">
        <v>329</v>
      </c>
      <c r="K1233" s="10" t="s">
        <v>1191</v>
      </c>
      <c r="L1233" s="21"/>
      <c r="M1233" s="11">
        <v>0.25</v>
      </c>
      <c r="N1233" s="1"/>
      <c r="O1233" s="10">
        <v>46279.611168981479</v>
      </c>
      <c r="P1233" s="10"/>
      <c r="Q1233" s="1" t="s">
        <v>72</v>
      </c>
      <c r="R1233" s="8" t="s">
        <v>343</v>
      </c>
      <c r="S123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3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3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3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3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3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3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3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3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3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3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3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3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33" s="12">
        <f ca="1">[1]!Tabel1[[#This Row],[Vægtet Honorar]]*([1]!Tabel1[[#This Row],[Sidst redigeret]]&gt;TODAY()-40)*([1]!Tabel1[[#This Row],[Er i resplan?]]&lt;&gt;"Ja")*([1]!Tabel1[[#This Row],[Status]]="Pågår")</f>
        <v>0</v>
      </c>
      <c r="AG1233" s="12">
        <f ca="1">[1]!Tabel1[[#This Row],[Vægtet Honorar]]*([1]!Tabel1[[#This Row],[Sidst redigeret]]&gt;TODAY()-40)*([1]!Tabel1[[#This Row],[Status]]="Pågår")</f>
        <v>0</v>
      </c>
      <c r="AH1233" s="13"/>
      <c r="AI1233" s="12"/>
      <c r="AJ1233" s="12"/>
      <c r="AK1233" s="12"/>
      <c r="AL1233" s="12"/>
      <c r="AM1233" s="12"/>
      <c r="AN1233" s="12"/>
      <c r="AO1233" s="12"/>
      <c r="AP1233" s="12"/>
    </row>
    <row r="1234" spans="1:42">
      <c r="A1234" t="s">
        <v>4335</v>
      </c>
      <c r="B1234" s="8"/>
      <c r="C1234" s="8" t="s">
        <v>4336</v>
      </c>
      <c r="D1234" s="8" t="s">
        <v>44</v>
      </c>
      <c r="E1234" s="8" t="s">
        <v>71</v>
      </c>
      <c r="F1234" s="8" t="s">
        <v>4337</v>
      </c>
      <c r="G1234" s="8" t="s">
        <v>1213</v>
      </c>
      <c r="H1234" s="9">
        <v>250000</v>
      </c>
      <c r="I1234" s="9">
        <f>[1]!Tabel1[[#This Row],[Honorar]]*[1]!Tabel1[[#This Row],[Sandsynlighed]]</f>
        <v>0</v>
      </c>
      <c r="J1234" s="10" t="s">
        <v>329</v>
      </c>
      <c r="K1234" s="10" t="s">
        <v>1191</v>
      </c>
      <c r="L1234" s="21"/>
      <c r="M1234" s="11">
        <v>1</v>
      </c>
      <c r="N1234" s="1"/>
      <c r="O1234" s="10">
        <v>46279.611168981479</v>
      </c>
      <c r="P1234" s="10"/>
      <c r="Q1234" s="1" t="s">
        <v>46</v>
      </c>
      <c r="R1234" s="8" t="s">
        <v>47</v>
      </c>
      <c r="S123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3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3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3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3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3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3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3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3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3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3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3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3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34" s="12">
        <f ca="1">[1]!Tabel1[[#This Row],[Vægtet Honorar]]*([1]!Tabel1[[#This Row],[Sidst redigeret]]&gt;TODAY()-40)*([1]!Tabel1[[#This Row],[Er i resplan?]]&lt;&gt;"Ja")*([1]!Tabel1[[#This Row],[Status]]="Pågår")</f>
        <v>0</v>
      </c>
      <c r="AG1234" s="12">
        <f ca="1">[1]!Tabel1[[#This Row],[Vægtet Honorar]]*([1]!Tabel1[[#This Row],[Sidst redigeret]]&gt;TODAY()-40)*([1]!Tabel1[[#This Row],[Status]]="Pågår")</f>
        <v>0</v>
      </c>
      <c r="AH1234" s="13">
        <v>45981.368067129632</v>
      </c>
      <c r="AI1234" s="12"/>
      <c r="AJ1234" s="12"/>
      <c r="AK1234" s="12"/>
      <c r="AL1234" s="12"/>
      <c r="AM1234" s="12"/>
      <c r="AN1234" s="12"/>
      <c r="AO1234" s="12"/>
      <c r="AP1234" s="12"/>
    </row>
    <row r="1235" spans="1:42">
      <c r="A1235" t="s">
        <v>4338</v>
      </c>
      <c r="B1235" s="8"/>
      <c r="C1235" s="8" t="s">
        <v>4339</v>
      </c>
      <c r="D1235" s="8" t="s">
        <v>44</v>
      </c>
      <c r="E1235" s="8" t="s">
        <v>71</v>
      </c>
      <c r="F1235" s="8" t="s">
        <v>4340</v>
      </c>
      <c r="G1235" s="8" t="s">
        <v>4341</v>
      </c>
      <c r="H1235" s="9">
        <v>750000</v>
      </c>
      <c r="I1235" s="9">
        <f>[1]!Tabel1[[#This Row],[Honorar]]*[1]!Tabel1[[#This Row],[Sandsynlighed]]</f>
        <v>0</v>
      </c>
      <c r="J1235" s="10" t="s">
        <v>329</v>
      </c>
      <c r="K1235" s="10" t="s">
        <v>1191</v>
      </c>
      <c r="L1235" s="21"/>
      <c r="M1235" s="11">
        <v>0</v>
      </c>
      <c r="N1235" s="1"/>
      <c r="O1235" s="10">
        <v>46279.611168981479</v>
      </c>
      <c r="P1235" s="10"/>
      <c r="Q1235" s="1" t="s">
        <v>72</v>
      </c>
      <c r="R1235" s="8" t="s">
        <v>75</v>
      </c>
      <c r="S123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3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3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3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3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3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3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3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3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3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3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3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3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35" s="12">
        <f ca="1">[1]!Tabel1[[#This Row],[Vægtet Honorar]]*([1]!Tabel1[[#This Row],[Sidst redigeret]]&gt;TODAY()-40)*([1]!Tabel1[[#This Row],[Er i resplan?]]&lt;&gt;"Ja")*([1]!Tabel1[[#This Row],[Status]]="Pågår")</f>
        <v>0</v>
      </c>
      <c r="AG1235" s="12">
        <f ca="1">[1]!Tabel1[[#This Row],[Vægtet Honorar]]*([1]!Tabel1[[#This Row],[Sidst redigeret]]&gt;TODAY()-40)*([1]!Tabel1[[#This Row],[Status]]="Pågår")</f>
        <v>0</v>
      </c>
      <c r="AH1235" s="13"/>
      <c r="AI1235" s="12"/>
      <c r="AJ1235" s="12"/>
      <c r="AK1235" s="12"/>
      <c r="AL1235" s="12"/>
      <c r="AM1235" s="12"/>
      <c r="AN1235" s="12"/>
      <c r="AO1235" s="12"/>
      <c r="AP1235" s="12"/>
    </row>
    <row r="1236" spans="1:42" ht="86.25">
      <c r="A1236" t="s">
        <v>4342</v>
      </c>
      <c r="B1236" s="8"/>
      <c r="C1236" s="8" t="s">
        <v>4343</v>
      </c>
      <c r="D1236" s="8" t="s">
        <v>2368</v>
      </c>
      <c r="E1236" s="8" t="s">
        <v>94</v>
      </c>
      <c r="F1236" s="8" t="s">
        <v>2210</v>
      </c>
      <c r="G1236" s="8" t="s">
        <v>1213</v>
      </c>
      <c r="H1236" s="9">
        <v>1950000</v>
      </c>
      <c r="I1236" s="9">
        <f>[1]!Tabel1[[#This Row],[Honorar]]*[1]!Tabel1[[#This Row],[Sandsynlighed]]</f>
        <v>10000</v>
      </c>
      <c r="J1236" s="10" t="s">
        <v>1287</v>
      </c>
      <c r="K1236" s="10" t="s">
        <v>341</v>
      </c>
      <c r="L1236" s="21" t="s">
        <v>4344</v>
      </c>
      <c r="M1236" s="11">
        <v>0.2</v>
      </c>
      <c r="N1236" s="1"/>
      <c r="O1236" s="10">
        <v>46279.611168981479</v>
      </c>
      <c r="P1236" s="1" t="s">
        <v>72</v>
      </c>
      <c r="Q1236" s="1" t="s">
        <v>72</v>
      </c>
      <c r="R1236" s="8" t="s">
        <v>75</v>
      </c>
      <c r="S123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3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3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3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3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3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3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3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3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3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3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3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3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36" s="12">
        <f ca="1">[1]!Tabel1[[#This Row],[Vægtet Honorar]]*([1]!Tabel1[[#This Row],[Sidst redigeret]]&gt;TODAY()-40)*([1]!Tabel1[[#This Row],[Er i resplan?]]&lt;&gt;"Ja")*([1]!Tabel1[[#This Row],[Status]]="Pågår")</f>
        <v>10000</v>
      </c>
      <c r="AG1236" s="12">
        <f ca="1">[1]!Tabel1[[#This Row],[Vægtet Honorar]]*([1]!Tabel1[[#This Row],[Sidst redigeret]]&gt;TODAY()-40)*([1]!Tabel1[[#This Row],[Status]]="Pågår")</f>
        <v>10000</v>
      </c>
      <c r="AH1236" s="13"/>
      <c r="AI1236" s="12"/>
      <c r="AJ1236" s="12" t="s">
        <v>1213</v>
      </c>
      <c r="AK1236" s="12"/>
      <c r="AL1236" s="12"/>
      <c r="AM1236" s="12"/>
      <c r="AN1236" s="12"/>
      <c r="AO1236" s="12"/>
      <c r="AP1236" s="12"/>
    </row>
    <row r="1237" spans="1:42" ht="57.75">
      <c r="A1237" t="s">
        <v>4345</v>
      </c>
      <c r="B1237" s="8"/>
      <c r="C1237" s="8" t="s">
        <v>4346</v>
      </c>
      <c r="D1237" s="8" t="s">
        <v>896</v>
      </c>
      <c r="E1237" s="8" t="s">
        <v>94</v>
      </c>
      <c r="F1237" s="8" t="s">
        <v>4347</v>
      </c>
      <c r="G1237" s="8" t="s">
        <v>2393</v>
      </c>
      <c r="H1237" s="9">
        <v>25000000</v>
      </c>
      <c r="I1237" s="9">
        <f>[1]!Tabel1[[#This Row],[Honorar]]*[1]!Tabel1[[#This Row],[Sandsynlighed]]</f>
        <v>8000</v>
      </c>
      <c r="J1237" s="10" t="s">
        <v>341</v>
      </c>
      <c r="K1237" s="10" t="s">
        <v>1861</v>
      </c>
      <c r="L1237" s="21" t="s">
        <v>4348</v>
      </c>
      <c r="M1237" s="11">
        <v>0.01</v>
      </c>
      <c r="N1237" s="1"/>
      <c r="O1237" s="10">
        <v>46279.611168981479</v>
      </c>
      <c r="P1237" s="1" t="s">
        <v>72</v>
      </c>
      <c r="Q1237" s="1" t="s">
        <v>72</v>
      </c>
      <c r="R1237" s="8" t="s">
        <v>49</v>
      </c>
      <c r="S123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3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3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3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3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3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3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3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3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3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3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3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3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37" s="12">
        <f ca="1">[1]!Tabel1[[#This Row],[Vægtet Honorar]]*([1]!Tabel1[[#This Row],[Sidst redigeret]]&gt;TODAY()-40)*([1]!Tabel1[[#This Row],[Er i resplan?]]&lt;&gt;"Ja")*([1]!Tabel1[[#This Row],[Status]]="Pågår")</f>
        <v>8000</v>
      </c>
      <c r="AG1237" s="12">
        <f ca="1">[1]!Tabel1[[#This Row],[Vægtet Honorar]]*([1]!Tabel1[[#This Row],[Sidst redigeret]]&gt;TODAY()-40)*([1]!Tabel1[[#This Row],[Status]]="Pågår")</f>
        <v>8000</v>
      </c>
      <c r="AH1237" s="13"/>
      <c r="AI1237" s="12"/>
      <c r="AJ1237" s="12" t="s">
        <v>2393</v>
      </c>
      <c r="AK1237" s="12"/>
      <c r="AL1237" s="12"/>
      <c r="AM1237" s="12"/>
      <c r="AN1237" s="12"/>
      <c r="AO1237" s="12"/>
      <c r="AP1237" s="12"/>
    </row>
    <row r="1238" spans="1:42">
      <c r="A1238" t="s">
        <v>4349</v>
      </c>
      <c r="B1238" s="8"/>
      <c r="C1238" s="8" t="s">
        <v>4350</v>
      </c>
      <c r="D1238" s="8" t="s">
        <v>896</v>
      </c>
      <c r="E1238" s="8" t="s">
        <v>94</v>
      </c>
      <c r="F1238" s="8" t="s">
        <v>4351</v>
      </c>
      <c r="G1238" s="8" t="s">
        <v>2107</v>
      </c>
      <c r="H1238" s="9">
        <v>15000000</v>
      </c>
      <c r="I1238" s="9">
        <f>[1]!Tabel1[[#This Row],[Honorar]]*[1]!Tabel1[[#This Row],[Sandsynlighed]]</f>
        <v>100000</v>
      </c>
      <c r="J1238" s="10" t="s">
        <v>341</v>
      </c>
      <c r="K1238" s="10" t="s">
        <v>1861</v>
      </c>
      <c r="L1238" s="21"/>
      <c r="M1238" s="11">
        <v>0.01</v>
      </c>
      <c r="N1238" s="1"/>
      <c r="O1238" s="10">
        <v>46279.611168981479</v>
      </c>
      <c r="P1238" s="1" t="s">
        <v>72</v>
      </c>
      <c r="Q1238" s="1" t="s">
        <v>72</v>
      </c>
      <c r="R1238" s="8" t="s">
        <v>75</v>
      </c>
      <c r="S123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3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3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3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3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3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3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3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3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3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3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3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3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38" s="12">
        <f ca="1">[1]!Tabel1[[#This Row],[Vægtet Honorar]]*([1]!Tabel1[[#This Row],[Sidst redigeret]]&gt;TODAY()-40)*([1]!Tabel1[[#This Row],[Er i resplan?]]&lt;&gt;"Ja")*([1]!Tabel1[[#This Row],[Status]]="Pågår")</f>
        <v>100000</v>
      </c>
      <c r="AG1238" s="12">
        <f ca="1">[1]!Tabel1[[#This Row],[Vægtet Honorar]]*([1]!Tabel1[[#This Row],[Sidst redigeret]]&gt;TODAY()-40)*([1]!Tabel1[[#This Row],[Status]]="Pågår")</f>
        <v>100000</v>
      </c>
      <c r="AH1238" s="13"/>
      <c r="AI1238" s="12"/>
      <c r="AJ1238" s="12" t="s">
        <v>2107</v>
      </c>
      <c r="AK1238" s="12"/>
      <c r="AL1238" s="12"/>
      <c r="AM1238" s="12"/>
      <c r="AN1238" s="12"/>
      <c r="AO1238" s="12"/>
      <c r="AP1238" s="12"/>
    </row>
    <row r="1239" spans="1:42" ht="57.75">
      <c r="A1239" t="s">
        <v>4352</v>
      </c>
      <c r="B1239" s="8"/>
      <c r="C1239" s="8" t="s">
        <v>4353</v>
      </c>
      <c r="D1239" s="8" t="s">
        <v>896</v>
      </c>
      <c r="E1239" s="8" t="s">
        <v>94</v>
      </c>
      <c r="F1239" s="8" t="s">
        <v>4354</v>
      </c>
      <c r="G1239" s="8" t="s">
        <v>1796</v>
      </c>
      <c r="H1239" s="9">
        <v>10000000</v>
      </c>
      <c r="I1239" s="9">
        <f>[1]!Tabel1[[#This Row],[Honorar]]*[1]!Tabel1[[#This Row],[Sandsynlighed]]</f>
        <v>250000</v>
      </c>
      <c r="J1239" s="10" t="s">
        <v>1310</v>
      </c>
      <c r="K1239" s="10" t="s">
        <v>1861</v>
      </c>
      <c r="L1239" s="21" t="s">
        <v>4355</v>
      </c>
      <c r="M1239" s="11">
        <v>0.01</v>
      </c>
      <c r="N1239" s="1"/>
      <c r="O1239" s="10">
        <v>46279.611168981479</v>
      </c>
      <c r="P1239" s="1" t="s">
        <v>72</v>
      </c>
      <c r="Q1239" s="1" t="s">
        <v>72</v>
      </c>
      <c r="R1239" s="8" t="s">
        <v>49</v>
      </c>
      <c r="S123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3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3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3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3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3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3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3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3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3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3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3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3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39" s="12">
        <f ca="1">[1]!Tabel1[[#This Row],[Vægtet Honorar]]*([1]!Tabel1[[#This Row],[Sidst redigeret]]&gt;TODAY()-40)*([1]!Tabel1[[#This Row],[Er i resplan?]]&lt;&gt;"Ja")*([1]!Tabel1[[#This Row],[Status]]="Pågår")</f>
        <v>0</v>
      </c>
      <c r="AG1239" s="12">
        <f ca="1">[1]!Tabel1[[#This Row],[Vægtet Honorar]]*([1]!Tabel1[[#This Row],[Sidst redigeret]]&gt;TODAY()-40)*([1]!Tabel1[[#This Row],[Status]]="Pågår")</f>
        <v>0</v>
      </c>
      <c r="AH1239" s="13"/>
      <c r="AI1239" s="12"/>
      <c r="AJ1239" s="12" t="s">
        <v>4356</v>
      </c>
      <c r="AK1239" s="12"/>
      <c r="AL1239" s="12"/>
      <c r="AM1239" s="12"/>
      <c r="AN1239" s="12"/>
      <c r="AO1239" s="12"/>
      <c r="AP1239" s="12"/>
    </row>
    <row r="1240" spans="1:42" ht="57.75">
      <c r="A1240" t="s">
        <v>4357</v>
      </c>
      <c r="B1240" s="8"/>
      <c r="C1240" s="8" t="s">
        <v>4358</v>
      </c>
      <c r="D1240" s="8" t="s">
        <v>896</v>
      </c>
      <c r="E1240" s="8" t="s">
        <v>94</v>
      </c>
      <c r="F1240" s="8" t="s">
        <v>4354</v>
      </c>
      <c r="G1240" s="8" t="s">
        <v>4120</v>
      </c>
      <c r="H1240" s="9">
        <v>10000000</v>
      </c>
      <c r="I1240" s="9">
        <f>[1]!Tabel1[[#This Row],[Honorar]]*[1]!Tabel1[[#This Row],[Sandsynlighed]]</f>
        <v>0</v>
      </c>
      <c r="J1240" s="10" t="s">
        <v>1310</v>
      </c>
      <c r="K1240" s="10" t="s">
        <v>1861</v>
      </c>
      <c r="L1240" s="21" t="s">
        <v>4359</v>
      </c>
      <c r="M1240" s="11">
        <v>0.01</v>
      </c>
      <c r="N1240" s="1"/>
      <c r="O1240" s="10">
        <v>46279.611168981479</v>
      </c>
      <c r="P1240" s="1" t="s">
        <v>72</v>
      </c>
      <c r="Q1240" s="1" t="s">
        <v>72</v>
      </c>
      <c r="R1240" s="8" t="s">
        <v>49</v>
      </c>
      <c r="S124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4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4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4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4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4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4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4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4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4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4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4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4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40" s="12">
        <f ca="1">[1]!Tabel1[[#This Row],[Vægtet Honorar]]*([1]!Tabel1[[#This Row],[Sidst redigeret]]&gt;TODAY()-40)*([1]!Tabel1[[#This Row],[Er i resplan?]]&lt;&gt;"Ja")*([1]!Tabel1[[#This Row],[Status]]="Pågår")</f>
        <v>0</v>
      </c>
      <c r="AG1240" s="12">
        <f ca="1">[1]!Tabel1[[#This Row],[Vægtet Honorar]]*([1]!Tabel1[[#This Row],[Sidst redigeret]]&gt;TODAY()-40)*([1]!Tabel1[[#This Row],[Status]]="Pågår")</f>
        <v>0</v>
      </c>
      <c r="AH1240" s="13"/>
      <c r="AI1240" s="12"/>
      <c r="AJ1240" s="12" t="s">
        <v>4356</v>
      </c>
      <c r="AK1240" s="12"/>
      <c r="AL1240" s="12"/>
      <c r="AM1240" s="12"/>
      <c r="AN1240" s="12"/>
      <c r="AO1240" s="12"/>
      <c r="AP1240" s="12"/>
    </row>
    <row r="1241" spans="1:42" ht="43.5">
      <c r="A1241" t="s">
        <v>4360</v>
      </c>
      <c r="B1241" s="8"/>
      <c r="C1241" s="8" t="s">
        <v>4361</v>
      </c>
      <c r="D1241" s="8" t="s">
        <v>2886</v>
      </c>
      <c r="E1241" s="8" t="s">
        <v>120</v>
      </c>
      <c r="F1241" s="8" t="s">
        <v>4208</v>
      </c>
      <c r="G1241" s="8" t="s">
        <v>2917</v>
      </c>
      <c r="H1241" s="9">
        <v>1500000</v>
      </c>
      <c r="I1241" s="9">
        <f>[1]!Tabel1[[#This Row],[Honorar]]*[1]!Tabel1[[#This Row],[Sandsynlighed]]</f>
        <v>390000</v>
      </c>
      <c r="J1241" s="10" t="s">
        <v>1287</v>
      </c>
      <c r="K1241" s="10" t="s">
        <v>342</v>
      </c>
      <c r="L1241" s="21" t="s">
        <v>4362</v>
      </c>
      <c r="M1241" s="11">
        <v>0.5</v>
      </c>
      <c r="N1241" s="1"/>
      <c r="O1241" s="10">
        <v>46279.611168981479</v>
      </c>
      <c r="P1241" s="10"/>
      <c r="Q1241" s="1" t="s">
        <v>46</v>
      </c>
      <c r="R1241" s="8" t="s">
        <v>75</v>
      </c>
      <c r="S124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4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4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4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4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4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4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4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4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4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4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4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4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41" s="12">
        <f ca="1">[1]!Tabel1[[#This Row],[Vægtet Honorar]]*([1]!Tabel1[[#This Row],[Sidst redigeret]]&gt;TODAY()-40)*([1]!Tabel1[[#This Row],[Er i resplan?]]&lt;&gt;"Ja")*([1]!Tabel1[[#This Row],[Status]]="Pågår")</f>
        <v>0</v>
      </c>
      <c r="AG1241" s="12">
        <f ca="1">[1]!Tabel1[[#This Row],[Vægtet Honorar]]*([1]!Tabel1[[#This Row],[Sidst redigeret]]&gt;TODAY()-40)*([1]!Tabel1[[#This Row],[Status]]="Pågår")</f>
        <v>0</v>
      </c>
      <c r="AH1241" s="13"/>
      <c r="AI1241" s="12"/>
      <c r="AJ1241" s="12" t="s">
        <v>2917</v>
      </c>
      <c r="AK1241" s="12"/>
      <c r="AL1241" s="12"/>
      <c r="AM1241" s="12"/>
      <c r="AN1241" s="12"/>
      <c r="AO1241" s="12"/>
      <c r="AP1241" s="12"/>
    </row>
    <row r="1242" spans="1:42" ht="100.5">
      <c r="A1242" t="s">
        <v>4363</v>
      </c>
      <c r="B1242" s="8"/>
      <c r="C1242" s="8" t="s">
        <v>4364</v>
      </c>
      <c r="D1242" s="8" t="s">
        <v>4365</v>
      </c>
      <c r="E1242" s="8" t="s">
        <v>120</v>
      </c>
      <c r="F1242" s="8" t="s">
        <v>4366</v>
      </c>
      <c r="G1242" s="8" t="s">
        <v>4367</v>
      </c>
      <c r="H1242" s="9">
        <v>2300000</v>
      </c>
      <c r="I1242" s="9">
        <f>[1]!Tabel1[[#This Row],[Honorar]]*[1]!Tabel1[[#This Row],[Sandsynlighed]]</f>
        <v>250000</v>
      </c>
      <c r="J1242" s="10" t="s">
        <v>1287</v>
      </c>
      <c r="K1242" s="10" t="s">
        <v>1861</v>
      </c>
      <c r="L1242" s="21" t="s">
        <v>4368</v>
      </c>
      <c r="M1242" s="11">
        <v>0.5</v>
      </c>
      <c r="N1242" s="1"/>
      <c r="O1242" s="10">
        <v>46279.611168981479</v>
      </c>
      <c r="P1242" s="10"/>
      <c r="Q1242" s="1" t="s">
        <v>46</v>
      </c>
      <c r="R1242" s="8" t="s">
        <v>343</v>
      </c>
      <c r="S124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4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4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4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4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4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4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4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4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4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4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4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4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42" s="12">
        <f ca="1">[1]!Tabel1[[#This Row],[Vægtet Honorar]]*([1]!Tabel1[[#This Row],[Sidst redigeret]]&gt;TODAY()-40)*([1]!Tabel1[[#This Row],[Er i resplan?]]&lt;&gt;"Ja")*([1]!Tabel1[[#This Row],[Status]]="Pågår")</f>
        <v>0</v>
      </c>
      <c r="AG1242" s="12">
        <f ca="1">[1]!Tabel1[[#This Row],[Vægtet Honorar]]*([1]!Tabel1[[#This Row],[Sidst redigeret]]&gt;TODAY()-40)*([1]!Tabel1[[#This Row],[Status]]="Pågår")</f>
        <v>0</v>
      </c>
      <c r="AH1242" s="13"/>
      <c r="AI1242" s="12"/>
      <c r="AJ1242" s="12" t="s">
        <v>4367</v>
      </c>
      <c r="AK1242" s="12"/>
      <c r="AL1242" s="12"/>
      <c r="AM1242" s="12"/>
      <c r="AN1242" s="12"/>
      <c r="AO1242" s="12"/>
      <c r="AP1242" s="12"/>
    </row>
    <row r="1243" spans="1:42" ht="243">
      <c r="A1243" t="s">
        <v>4369</v>
      </c>
      <c r="B1243" s="8"/>
      <c r="C1243" s="8" t="s">
        <v>4370</v>
      </c>
      <c r="D1243" s="8" t="s">
        <v>896</v>
      </c>
      <c r="E1243" s="8" t="s">
        <v>94</v>
      </c>
      <c r="F1243" s="8" t="s">
        <v>4371</v>
      </c>
      <c r="G1243" s="8" t="s">
        <v>4120</v>
      </c>
      <c r="H1243" s="9">
        <v>1000000</v>
      </c>
      <c r="I1243" s="9">
        <f>[1]!Tabel1[[#This Row],[Honorar]]*[1]!Tabel1[[#This Row],[Sandsynlighed]]</f>
        <v>150000</v>
      </c>
      <c r="J1243" s="10" t="s">
        <v>341</v>
      </c>
      <c r="K1243" s="10" t="s">
        <v>1861</v>
      </c>
      <c r="L1243" s="21" t="s">
        <v>4372</v>
      </c>
      <c r="M1243" s="11">
        <v>0.01</v>
      </c>
      <c r="N1243" s="1"/>
      <c r="O1243" s="10">
        <v>46279.611168981479</v>
      </c>
      <c r="P1243" s="1" t="s">
        <v>72</v>
      </c>
      <c r="Q1243" s="1" t="s">
        <v>46</v>
      </c>
      <c r="R1243" s="8" t="s">
        <v>49</v>
      </c>
      <c r="S124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4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4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4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4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4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4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4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4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4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4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4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4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43" s="12">
        <f ca="1">[1]!Tabel1[[#This Row],[Vægtet Honorar]]*([1]!Tabel1[[#This Row],[Sidst redigeret]]&gt;TODAY()-40)*([1]!Tabel1[[#This Row],[Er i resplan?]]&lt;&gt;"Ja")*([1]!Tabel1[[#This Row],[Status]]="Pågår")</f>
        <v>0</v>
      </c>
      <c r="AG1243" s="12">
        <f ca="1">[1]!Tabel1[[#This Row],[Vægtet Honorar]]*([1]!Tabel1[[#This Row],[Sidst redigeret]]&gt;TODAY()-40)*([1]!Tabel1[[#This Row],[Status]]="Pågår")</f>
        <v>0</v>
      </c>
      <c r="AH1243" s="13"/>
      <c r="AI1243" s="12"/>
      <c r="AJ1243" s="12" t="s">
        <v>4373</v>
      </c>
      <c r="AK1243" s="12"/>
      <c r="AL1243" s="12"/>
      <c r="AM1243" s="12"/>
      <c r="AN1243" s="12"/>
      <c r="AO1243" s="12"/>
      <c r="AP1243" s="12"/>
    </row>
    <row r="1244" spans="1:42" ht="72">
      <c r="A1244" t="s">
        <v>4374</v>
      </c>
      <c r="B1244" s="8"/>
      <c r="C1244" s="8" t="s">
        <v>4375</v>
      </c>
      <c r="D1244" s="8" t="s">
        <v>896</v>
      </c>
      <c r="E1244" s="8" t="s">
        <v>94</v>
      </c>
      <c r="F1244" s="8" t="s">
        <v>3386</v>
      </c>
      <c r="G1244" s="8" t="s">
        <v>1213</v>
      </c>
      <c r="H1244" s="9">
        <v>2000000</v>
      </c>
      <c r="I1244" s="9">
        <f>[1]!Tabel1[[#This Row],[Honorar]]*[1]!Tabel1[[#This Row],[Sandsynlighed]]</f>
        <v>100000</v>
      </c>
      <c r="J1244" s="10" t="s">
        <v>341</v>
      </c>
      <c r="K1244" s="10" t="s">
        <v>1861</v>
      </c>
      <c r="L1244" s="21" t="s">
        <v>4376</v>
      </c>
      <c r="M1244" s="11">
        <v>0.01</v>
      </c>
      <c r="N1244" s="1"/>
      <c r="O1244" s="10">
        <v>46279.611168981479</v>
      </c>
      <c r="P1244" s="1" t="s">
        <v>72</v>
      </c>
      <c r="Q1244" s="1" t="s">
        <v>46</v>
      </c>
      <c r="R1244" s="8" t="s">
        <v>49</v>
      </c>
      <c r="S124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4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4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4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4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4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4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4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4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4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4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4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4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44" s="12">
        <f ca="1">[1]!Tabel1[[#This Row],[Vægtet Honorar]]*([1]!Tabel1[[#This Row],[Sidst redigeret]]&gt;TODAY()-40)*([1]!Tabel1[[#This Row],[Er i resplan?]]&lt;&gt;"Ja")*([1]!Tabel1[[#This Row],[Status]]="Pågår")</f>
        <v>0</v>
      </c>
      <c r="AG1244" s="12">
        <f ca="1">[1]!Tabel1[[#This Row],[Vægtet Honorar]]*([1]!Tabel1[[#This Row],[Sidst redigeret]]&gt;TODAY()-40)*([1]!Tabel1[[#This Row],[Status]]="Pågår")</f>
        <v>0</v>
      </c>
      <c r="AH1244" s="13"/>
      <c r="AI1244" s="12"/>
      <c r="AJ1244" s="12" t="s">
        <v>1213</v>
      </c>
      <c r="AK1244" s="12"/>
      <c r="AL1244" s="12"/>
      <c r="AM1244" s="12"/>
      <c r="AN1244" s="12"/>
      <c r="AO1244" s="12"/>
      <c r="AP1244" s="12"/>
    </row>
    <row r="1245" spans="1:42" ht="86.25">
      <c r="A1245" t="s">
        <v>4377</v>
      </c>
      <c r="B1245" s="8"/>
      <c r="C1245" s="8" t="s">
        <v>4378</v>
      </c>
      <c r="D1245" s="8" t="s">
        <v>4254</v>
      </c>
      <c r="E1245" s="8" t="s">
        <v>167</v>
      </c>
      <c r="F1245" s="8" t="s">
        <v>4379</v>
      </c>
      <c r="G1245" s="8" t="s">
        <v>4379</v>
      </c>
      <c r="H1245" s="9">
        <v>450000</v>
      </c>
      <c r="I1245" s="9">
        <f>[1]!Tabel1[[#This Row],[Honorar]]*[1]!Tabel1[[#This Row],[Sandsynlighed]]</f>
        <v>100000</v>
      </c>
      <c r="J1245" s="10" t="s">
        <v>329</v>
      </c>
      <c r="K1245" s="10" t="s">
        <v>1310</v>
      </c>
      <c r="L1245" s="21" t="s">
        <v>4380</v>
      </c>
      <c r="M1245" s="11">
        <v>0.4</v>
      </c>
      <c r="N1245" s="1"/>
      <c r="O1245" s="10">
        <v>46279.611168981479</v>
      </c>
      <c r="P1245" s="10"/>
      <c r="Q1245" s="1" t="s">
        <v>72</v>
      </c>
      <c r="R1245" s="8" t="s">
        <v>343</v>
      </c>
      <c r="S124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4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4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4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4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4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4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4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4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4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4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4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4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45" s="12">
        <f ca="1">[1]!Tabel1[[#This Row],[Vægtet Honorar]]*([1]!Tabel1[[#This Row],[Sidst redigeret]]&gt;TODAY()-40)*([1]!Tabel1[[#This Row],[Er i resplan?]]&lt;&gt;"Ja")*([1]!Tabel1[[#This Row],[Status]]="Pågår")</f>
        <v>0</v>
      </c>
      <c r="AG1245" s="12">
        <f ca="1">[1]!Tabel1[[#This Row],[Vægtet Honorar]]*([1]!Tabel1[[#This Row],[Sidst redigeret]]&gt;TODAY()-40)*([1]!Tabel1[[#This Row],[Status]]="Pågår")</f>
        <v>0</v>
      </c>
      <c r="AH1245" s="13"/>
      <c r="AI1245" s="12"/>
      <c r="AJ1245" s="12"/>
      <c r="AK1245" s="12"/>
      <c r="AL1245" s="12"/>
      <c r="AM1245" s="12"/>
      <c r="AN1245" s="12"/>
      <c r="AO1245" s="12"/>
      <c r="AP1245" s="12"/>
    </row>
    <row r="1246" spans="1:42">
      <c r="A1246" t="s">
        <v>4381</v>
      </c>
      <c r="B1246" s="8"/>
      <c r="C1246" s="8" t="s">
        <v>4382</v>
      </c>
      <c r="D1246" s="8" t="s">
        <v>1468</v>
      </c>
      <c r="E1246" s="8" t="s">
        <v>167</v>
      </c>
      <c r="F1246" s="8" t="s">
        <v>4383</v>
      </c>
      <c r="G1246" s="8" t="s">
        <v>4383</v>
      </c>
      <c r="H1246" s="9">
        <v>800000</v>
      </c>
      <c r="I1246" s="9">
        <f>[1]!Tabel1[[#This Row],[Honorar]]*[1]!Tabel1[[#This Row],[Sandsynlighed]]</f>
        <v>750000</v>
      </c>
      <c r="J1246" s="10" t="s">
        <v>1287</v>
      </c>
      <c r="K1246" s="10" t="s">
        <v>342</v>
      </c>
      <c r="L1246" s="21"/>
      <c r="M1246" s="11">
        <v>0.33</v>
      </c>
      <c r="N1246" s="1"/>
      <c r="O1246" s="10">
        <v>46279.611168981479</v>
      </c>
      <c r="P1246" s="10" t="s">
        <v>46</v>
      </c>
      <c r="Q1246" s="1" t="s">
        <v>72</v>
      </c>
      <c r="R1246" s="8" t="s">
        <v>75</v>
      </c>
      <c r="S124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4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4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4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4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4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4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4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4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4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4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4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4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46" s="12">
        <f ca="1">[1]!Tabel1[[#This Row],[Vægtet Honorar]]*([1]!Tabel1[[#This Row],[Sidst redigeret]]&gt;TODAY()-40)*([1]!Tabel1[[#This Row],[Er i resplan?]]&lt;&gt;"Ja")*([1]!Tabel1[[#This Row],[Status]]="Pågår")</f>
        <v>0</v>
      </c>
      <c r="AG1246" s="12">
        <f ca="1">[1]!Tabel1[[#This Row],[Vægtet Honorar]]*([1]!Tabel1[[#This Row],[Sidst redigeret]]&gt;TODAY()-40)*([1]!Tabel1[[#This Row],[Status]]="Pågår")</f>
        <v>0</v>
      </c>
      <c r="AH1246" s="13"/>
      <c r="AI1246" s="12"/>
      <c r="AJ1246" s="12"/>
      <c r="AK1246" s="12"/>
      <c r="AL1246" s="12"/>
      <c r="AM1246" s="12"/>
      <c r="AN1246" s="12"/>
      <c r="AO1246" s="12"/>
      <c r="AP1246" s="12"/>
    </row>
    <row r="1247" spans="1:42" ht="43.5">
      <c r="A1247" t="s">
        <v>4384</v>
      </c>
      <c r="B1247" s="8"/>
      <c r="C1247" s="8" t="s">
        <v>4385</v>
      </c>
      <c r="D1247" s="8" t="s">
        <v>2368</v>
      </c>
      <c r="E1247" s="8" t="s">
        <v>94</v>
      </c>
      <c r="F1247" s="8" t="s">
        <v>4386</v>
      </c>
      <c r="G1247" s="8" t="s">
        <v>4120</v>
      </c>
      <c r="H1247" s="9">
        <v>3500000</v>
      </c>
      <c r="I1247" s="9">
        <f>[1]!Tabel1[[#This Row],[Honorar]]*[1]!Tabel1[[#This Row],[Sandsynlighed]]</f>
        <v>1150000</v>
      </c>
      <c r="J1247" s="10" t="s">
        <v>341</v>
      </c>
      <c r="K1247" s="10" t="s">
        <v>342</v>
      </c>
      <c r="L1247" s="21" t="s">
        <v>4387</v>
      </c>
      <c r="M1247" s="11">
        <v>0.5</v>
      </c>
      <c r="N1247" s="1">
        <v>2700</v>
      </c>
      <c r="O1247" s="10">
        <v>46279.611168981479</v>
      </c>
      <c r="P1247" s="1" t="s">
        <v>72</v>
      </c>
      <c r="Q1247" s="1" t="s">
        <v>72</v>
      </c>
      <c r="R1247" s="8" t="s">
        <v>49</v>
      </c>
      <c r="S124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4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4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4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4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4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4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4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4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4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4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4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4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47" s="12">
        <f ca="1">[1]!Tabel1[[#This Row],[Vægtet Honorar]]*([1]!Tabel1[[#This Row],[Sidst redigeret]]&gt;TODAY()-40)*([1]!Tabel1[[#This Row],[Er i resplan?]]&lt;&gt;"Ja")*([1]!Tabel1[[#This Row],[Status]]="Pågår")</f>
        <v>0</v>
      </c>
      <c r="AG1247" s="12">
        <f ca="1">[1]!Tabel1[[#This Row],[Vægtet Honorar]]*([1]!Tabel1[[#This Row],[Sidst redigeret]]&gt;TODAY()-40)*([1]!Tabel1[[#This Row],[Status]]="Pågår")</f>
        <v>1150000</v>
      </c>
      <c r="AH1247" s="13"/>
      <c r="AI1247" s="12"/>
      <c r="AJ1247" s="12" t="s">
        <v>4388</v>
      </c>
      <c r="AK1247" s="12"/>
      <c r="AL1247" s="12"/>
      <c r="AM1247" s="12"/>
      <c r="AN1247" s="12"/>
      <c r="AO1247" s="12"/>
      <c r="AP1247" s="12"/>
    </row>
    <row r="1248" spans="1:42">
      <c r="A1248" t="s">
        <v>4389</v>
      </c>
      <c r="B1248" s="8"/>
      <c r="C1248" s="8" t="s">
        <v>4390</v>
      </c>
      <c r="D1248" s="8" t="s">
        <v>2886</v>
      </c>
      <c r="E1248" s="8" t="s">
        <v>120</v>
      </c>
      <c r="F1248" s="8"/>
      <c r="G1248" s="8" t="s">
        <v>4391</v>
      </c>
      <c r="H1248" s="9">
        <v>2500000</v>
      </c>
      <c r="I1248" s="9">
        <f>[1]!Tabel1[[#This Row],[Honorar]]*[1]!Tabel1[[#This Row],[Sandsynlighed]]</f>
        <v>10000</v>
      </c>
      <c r="J1248" s="10" t="s">
        <v>2105</v>
      </c>
      <c r="K1248" s="10" t="s">
        <v>898</v>
      </c>
      <c r="L1248" s="21"/>
      <c r="M1248" s="11">
        <v>0.05</v>
      </c>
      <c r="N1248" s="1" t="s">
        <v>4392</v>
      </c>
      <c r="O1248" s="10">
        <v>46279.611168981479</v>
      </c>
      <c r="P1248" s="10"/>
      <c r="Q1248" s="1" t="s">
        <v>72</v>
      </c>
      <c r="R1248" s="8" t="s">
        <v>343</v>
      </c>
      <c r="S124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4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4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4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4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4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4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4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4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4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4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4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4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48" s="12">
        <f ca="1">[1]!Tabel1[[#This Row],[Vægtet Honorar]]*([1]!Tabel1[[#This Row],[Sidst redigeret]]&gt;TODAY()-40)*([1]!Tabel1[[#This Row],[Er i resplan?]]&lt;&gt;"Ja")*([1]!Tabel1[[#This Row],[Status]]="Pågår")</f>
        <v>0</v>
      </c>
      <c r="AG1248" s="12">
        <f ca="1">[1]!Tabel1[[#This Row],[Vægtet Honorar]]*([1]!Tabel1[[#This Row],[Sidst redigeret]]&gt;TODAY()-40)*([1]!Tabel1[[#This Row],[Status]]="Pågår")</f>
        <v>0</v>
      </c>
      <c r="AH1248" s="13"/>
      <c r="AI1248" s="12"/>
      <c r="AJ1248" s="12" t="s">
        <v>4391</v>
      </c>
      <c r="AK1248" s="12"/>
      <c r="AL1248" s="12"/>
      <c r="AM1248" s="12"/>
      <c r="AN1248" s="12"/>
      <c r="AO1248" s="12"/>
      <c r="AP1248" s="12"/>
    </row>
    <row r="1249" spans="1:42">
      <c r="A1249" t="s">
        <v>4393</v>
      </c>
      <c r="B1249" s="8"/>
      <c r="C1249" s="8" t="s">
        <v>4394</v>
      </c>
      <c r="D1249" s="8" t="s">
        <v>720</v>
      </c>
      <c r="E1249" s="8" t="s">
        <v>71</v>
      </c>
      <c r="F1249" s="8" t="s">
        <v>4395</v>
      </c>
      <c r="G1249" s="8" t="s">
        <v>4396</v>
      </c>
      <c r="H1249" s="9">
        <v>2500000</v>
      </c>
      <c r="I1249" s="9">
        <f>[1]!Tabel1[[#This Row],[Honorar]]*[1]!Tabel1[[#This Row],[Sandsynlighed]]</f>
        <v>20000</v>
      </c>
      <c r="J1249" s="10" t="s">
        <v>2405</v>
      </c>
      <c r="K1249" s="10" t="s">
        <v>898</v>
      </c>
      <c r="L1249" s="21"/>
      <c r="M1249" s="11">
        <v>0.02</v>
      </c>
      <c r="N1249" s="1">
        <v>1500</v>
      </c>
      <c r="O1249" s="10">
        <v>46279.611168981479</v>
      </c>
      <c r="P1249" s="10"/>
      <c r="Q1249" s="1" t="s">
        <v>72</v>
      </c>
      <c r="R1249" s="8" t="s">
        <v>343</v>
      </c>
      <c r="S124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4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4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4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4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4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4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4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4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4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4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4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4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49" s="12">
        <f ca="1">[1]!Tabel1[[#This Row],[Vægtet Honorar]]*([1]!Tabel1[[#This Row],[Sidst redigeret]]&gt;TODAY()-40)*([1]!Tabel1[[#This Row],[Er i resplan?]]&lt;&gt;"Ja")*([1]!Tabel1[[#This Row],[Status]]="Pågår")</f>
        <v>0</v>
      </c>
      <c r="AG1249" s="12">
        <f ca="1">[1]!Tabel1[[#This Row],[Vægtet Honorar]]*([1]!Tabel1[[#This Row],[Sidst redigeret]]&gt;TODAY()-40)*([1]!Tabel1[[#This Row],[Status]]="Pågår")</f>
        <v>0</v>
      </c>
      <c r="AH1249" s="13"/>
      <c r="AI1249" s="12"/>
      <c r="AJ1249" s="12" t="s">
        <v>4396</v>
      </c>
      <c r="AK1249" s="12"/>
      <c r="AL1249" s="12"/>
      <c r="AM1249" s="12"/>
      <c r="AN1249" s="12"/>
      <c r="AO1249" s="12"/>
      <c r="AP1249" s="12"/>
    </row>
    <row r="1250" spans="1:42">
      <c r="A1250" t="s">
        <v>4397</v>
      </c>
      <c r="B1250" s="8"/>
      <c r="C1250" s="8" t="s">
        <v>4398</v>
      </c>
      <c r="D1250" s="8" t="s">
        <v>4254</v>
      </c>
      <c r="E1250" s="8" t="s">
        <v>167</v>
      </c>
      <c r="F1250" s="8" t="s">
        <v>1833</v>
      </c>
      <c r="G1250" s="8" t="s">
        <v>1833</v>
      </c>
      <c r="H1250" s="9">
        <v>125000</v>
      </c>
      <c r="I1250" s="9">
        <f>[1]!Tabel1[[#This Row],[Honorar]]*[1]!Tabel1[[#This Row],[Sandsynlighed]]</f>
        <v>180000</v>
      </c>
      <c r="J1250" s="10" t="s">
        <v>329</v>
      </c>
      <c r="K1250" s="10" t="s">
        <v>1191</v>
      </c>
      <c r="L1250" s="21"/>
      <c r="M1250" s="11">
        <v>0.75</v>
      </c>
      <c r="N1250" s="1"/>
      <c r="O1250" s="10">
        <v>46279.611168981479</v>
      </c>
      <c r="P1250" s="10"/>
      <c r="Q1250" s="1" t="s">
        <v>72</v>
      </c>
      <c r="R1250" s="8" t="s">
        <v>343</v>
      </c>
      <c r="S125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5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5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5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5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5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5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5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5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5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5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5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5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50" s="12">
        <f ca="1">[1]!Tabel1[[#This Row],[Vægtet Honorar]]*([1]!Tabel1[[#This Row],[Sidst redigeret]]&gt;TODAY()-40)*([1]!Tabel1[[#This Row],[Er i resplan?]]&lt;&gt;"Ja")*([1]!Tabel1[[#This Row],[Status]]="Pågår")</f>
        <v>180000</v>
      </c>
      <c r="AG1250" s="12">
        <f ca="1">[1]!Tabel1[[#This Row],[Vægtet Honorar]]*([1]!Tabel1[[#This Row],[Sidst redigeret]]&gt;TODAY()-40)*([1]!Tabel1[[#This Row],[Status]]="Pågår")</f>
        <v>180000</v>
      </c>
      <c r="AH1250" s="13"/>
      <c r="AI1250" s="12"/>
      <c r="AJ1250" s="12"/>
      <c r="AK1250" s="12"/>
      <c r="AL1250" s="12"/>
      <c r="AM1250" s="12"/>
      <c r="AN1250" s="12"/>
      <c r="AO1250" s="12"/>
      <c r="AP1250" s="12"/>
    </row>
    <row r="1251" spans="1:42">
      <c r="A1251" t="s">
        <v>4399</v>
      </c>
      <c r="B1251" s="8"/>
      <c r="C1251" s="8" t="s">
        <v>4400</v>
      </c>
      <c r="D1251" s="8" t="s">
        <v>4254</v>
      </c>
      <c r="E1251" s="8" t="s">
        <v>167</v>
      </c>
      <c r="F1251" s="8" t="s">
        <v>671</v>
      </c>
      <c r="G1251" s="8" t="s">
        <v>671</v>
      </c>
      <c r="H1251" s="9">
        <v>100000</v>
      </c>
      <c r="I1251" s="9">
        <f>[1]!Tabel1[[#This Row],[Honorar]]*[1]!Tabel1[[#This Row],[Sandsynlighed]]</f>
        <v>264000</v>
      </c>
      <c r="J1251" s="10" t="s">
        <v>329</v>
      </c>
      <c r="K1251" s="10" t="s">
        <v>1191</v>
      </c>
      <c r="L1251" s="21"/>
      <c r="M1251" s="11">
        <v>0.5</v>
      </c>
      <c r="N1251" s="1"/>
      <c r="O1251" s="10">
        <v>46279.611168981479</v>
      </c>
      <c r="P1251" s="10"/>
      <c r="Q1251" s="1" t="s">
        <v>72</v>
      </c>
      <c r="R1251" s="8" t="s">
        <v>343</v>
      </c>
      <c r="S125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5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5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5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5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5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5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5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5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5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5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5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5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51" s="12">
        <f ca="1">[1]!Tabel1[[#This Row],[Vægtet Honorar]]*([1]!Tabel1[[#This Row],[Sidst redigeret]]&gt;TODAY()-40)*([1]!Tabel1[[#This Row],[Er i resplan?]]&lt;&gt;"Ja")*([1]!Tabel1[[#This Row],[Status]]="Pågår")</f>
        <v>0</v>
      </c>
      <c r="AG1251" s="12">
        <f ca="1">[1]!Tabel1[[#This Row],[Vægtet Honorar]]*([1]!Tabel1[[#This Row],[Sidst redigeret]]&gt;TODAY()-40)*([1]!Tabel1[[#This Row],[Status]]="Pågår")</f>
        <v>0</v>
      </c>
      <c r="AH1251" s="13"/>
      <c r="AI1251" s="12"/>
      <c r="AJ1251" s="12"/>
      <c r="AK1251" s="12"/>
      <c r="AL1251" s="12"/>
      <c r="AM1251" s="12"/>
      <c r="AN1251" s="12"/>
      <c r="AO1251" s="12"/>
      <c r="AP1251" s="12"/>
    </row>
    <row r="1252" spans="1:42">
      <c r="A1252" t="s">
        <v>4401</v>
      </c>
      <c r="B1252" s="8"/>
      <c r="C1252" s="8" t="s">
        <v>4402</v>
      </c>
      <c r="D1252" s="8" t="s">
        <v>720</v>
      </c>
      <c r="E1252" s="8" t="s">
        <v>71</v>
      </c>
      <c r="F1252" s="8" t="s">
        <v>788</v>
      </c>
      <c r="G1252" s="8" t="s">
        <v>788</v>
      </c>
      <c r="H1252" s="9">
        <v>1000000</v>
      </c>
      <c r="I1252" s="9">
        <f>[1]!Tabel1[[#This Row],[Honorar]]*[1]!Tabel1[[#This Row],[Sandsynlighed]]</f>
        <v>1750000</v>
      </c>
      <c r="J1252" s="10" t="s">
        <v>1191</v>
      </c>
      <c r="K1252" s="10" t="s">
        <v>585</v>
      </c>
      <c r="L1252" s="21"/>
      <c r="M1252" s="11">
        <v>0.02</v>
      </c>
      <c r="N1252" s="1">
        <v>900</v>
      </c>
      <c r="O1252" s="10">
        <v>46279.611168981479</v>
      </c>
      <c r="P1252" s="10"/>
      <c r="Q1252" s="1" t="s">
        <v>72</v>
      </c>
      <c r="R1252" s="8" t="s">
        <v>343</v>
      </c>
      <c r="S125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5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5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5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5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5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5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5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5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5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5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5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5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52" s="12">
        <f ca="1">[1]!Tabel1[[#This Row],[Vægtet Honorar]]*([1]!Tabel1[[#This Row],[Sidst redigeret]]&gt;TODAY()-40)*([1]!Tabel1[[#This Row],[Er i resplan?]]&lt;&gt;"Ja")*([1]!Tabel1[[#This Row],[Status]]="Pågår")</f>
        <v>0</v>
      </c>
      <c r="AG1252" s="12">
        <f ca="1">[1]!Tabel1[[#This Row],[Vægtet Honorar]]*([1]!Tabel1[[#This Row],[Sidst redigeret]]&gt;TODAY()-40)*([1]!Tabel1[[#This Row],[Status]]="Pågår")</f>
        <v>0</v>
      </c>
      <c r="AH1252" s="13"/>
      <c r="AI1252" s="12"/>
      <c r="AJ1252" s="12" t="s">
        <v>2062</v>
      </c>
      <c r="AK1252" s="12"/>
      <c r="AL1252" s="12"/>
      <c r="AM1252" s="12"/>
      <c r="AN1252" s="12"/>
      <c r="AO1252" s="12"/>
      <c r="AP1252" s="12"/>
    </row>
    <row r="1253" spans="1:42">
      <c r="A1253" t="s">
        <v>4403</v>
      </c>
      <c r="B1253" s="8"/>
      <c r="C1253" s="8" t="s">
        <v>4404</v>
      </c>
      <c r="D1253" s="8" t="s">
        <v>158</v>
      </c>
      <c r="E1253" s="8" t="s">
        <v>167</v>
      </c>
      <c r="F1253" s="8" t="s">
        <v>788</v>
      </c>
      <c r="G1253" s="8" t="s">
        <v>788</v>
      </c>
      <c r="H1253" s="9">
        <v>2000000</v>
      </c>
      <c r="I1253" s="9">
        <f>[1]!Tabel1[[#This Row],[Honorar]]*[1]!Tabel1[[#This Row],[Sandsynlighed]]</f>
        <v>125000</v>
      </c>
      <c r="J1253" s="10" t="s">
        <v>1287</v>
      </c>
      <c r="K1253" s="10" t="s">
        <v>1430</v>
      </c>
      <c r="L1253" s="21"/>
      <c r="M1253" s="11">
        <v>0.1</v>
      </c>
      <c r="N1253" s="1" t="s">
        <v>1015</v>
      </c>
      <c r="O1253" s="10">
        <v>46279.611168981479</v>
      </c>
      <c r="P1253" s="10"/>
      <c r="Q1253" s="1" t="s">
        <v>72</v>
      </c>
      <c r="R1253" s="8" t="s">
        <v>343</v>
      </c>
      <c r="S125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5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5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5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5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5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5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5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5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5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5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5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5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53" s="12">
        <f ca="1">[1]!Tabel1[[#This Row],[Vægtet Honorar]]*([1]!Tabel1[[#This Row],[Sidst redigeret]]&gt;TODAY()-40)*([1]!Tabel1[[#This Row],[Er i resplan?]]&lt;&gt;"Ja")*([1]!Tabel1[[#This Row],[Status]]="Pågår")</f>
        <v>125000</v>
      </c>
      <c r="AG1253" s="12">
        <f ca="1">[1]!Tabel1[[#This Row],[Vægtet Honorar]]*([1]!Tabel1[[#This Row],[Sidst redigeret]]&gt;TODAY()-40)*([1]!Tabel1[[#This Row],[Status]]="Pågår")</f>
        <v>125000</v>
      </c>
      <c r="AH1253" s="13"/>
      <c r="AI1253" s="12"/>
      <c r="AJ1253" s="12"/>
      <c r="AK1253" s="12"/>
      <c r="AL1253" s="12"/>
      <c r="AM1253" s="12"/>
      <c r="AN1253" s="12"/>
      <c r="AO1253" s="12"/>
      <c r="AP1253" s="12"/>
    </row>
    <row r="1254" spans="1:42">
      <c r="A1254" t="s">
        <v>4405</v>
      </c>
      <c r="B1254" s="8"/>
      <c r="C1254" s="8" t="s">
        <v>4406</v>
      </c>
      <c r="D1254" s="8" t="s">
        <v>720</v>
      </c>
      <c r="E1254" s="8" t="s">
        <v>71</v>
      </c>
      <c r="F1254" s="8" t="s">
        <v>4406</v>
      </c>
      <c r="G1254" s="8" t="s">
        <v>4407</v>
      </c>
      <c r="H1254" s="9">
        <v>2000000</v>
      </c>
      <c r="I1254" s="9">
        <f>[1]!Tabel1[[#This Row],[Honorar]]*[1]!Tabel1[[#This Row],[Sandsynlighed]]</f>
        <v>50000</v>
      </c>
      <c r="J1254" s="10" t="s">
        <v>1287</v>
      </c>
      <c r="K1254" s="10" t="s">
        <v>1310</v>
      </c>
      <c r="L1254" s="21"/>
      <c r="M1254" s="11">
        <v>0</v>
      </c>
      <c r="N1254" s="1">
        <v>15000</v>
      </c>
      <c r="O1254" s="10">
        <v>46279.611168981479</v>
      </c>
      <c r="P1254" s="10"/>
      <c r="Q1254" s="1" t="s">
        <v>72</v>
      </c>
      <c r="R1254" s="8" t="s">
        <v>75</v>
      </c>
      <c r="S125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5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5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5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5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5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5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5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5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5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5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5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5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54" s="12">
        <f ca="1">[1]!Tabel1[[#This Row],[Vægtet Honorar]]*([1]!Tabel1[[#This Row],[Sidst redigeret]]&gt;TODAY()-40)*([1]!Tabel1[[#This Row],[Er i resplan?]]&lt;&gt;"Ja")*([1]!Tabel1[[#This Row],[Status]]="Pågår")</f>
        <v>50000</v>
      </c>
      <c r="AG1254" s="12">
        <f ca="1">[1]!Tabel1[[#This Row],[Vægtet Honorar]]*([1]!Tabel1[[#This Row],[Sidst redigeret]]&gt;TODAY()-40)*([1]!Tabel1[[#This Row],[Status]]="Pågår")</f>
        <v>50000</v>
      </c>
      <c r="AH1254" s="13"/>
      <c r="AI1254" s="12"/>
      <c r="AJ1254" s="12"/>
      <c r="AK1254" s="12"/>
      <c r="AL1254" s="12"/>
      <c r="AM1254" s="12"/>
      <c r="AN1254" s="12"/>
      <c r="AO1254" s="12"/>
      <c r="AP1254" s="12"/>
    </row>
    <row r="1255" spans="1:42" ht="29.25">
      <c r="A1255" t="s">
        <v>4408</v>
      </c>
      <c r="B1255" s="8"/>
      <c r="C1255" s="8" t="s">
        <v>4409</v>
      </c>
      <c r="D1255" s="8" t="s">
        <v>44</v>
      </c>
      <c r="E1255" s="8" t="s">
        <v>71</v>
      </c>
      <c r="F1255" s="8" t="s">
        <v>4410</v>
      </c>
      <c r="G1255" s="8" t="s">
        <v>539</v>
      </c>
      <c r="H1255" s="9">
        <v>300000</v>
      </c>
      <c r="I1255" s="9">
        <f>[1]!Tabel1[[#This Row],[Honorar]]*[1]!Tabel1[[#This Row],[Sandsynlighed]]</f>
        <v>93750</v>
      </c>
      <c r="J1255" s="10" t="s">
        <v>1287</v>
      </c>
      <c r="K1255" s="10" t="s">
        <v>1287</v>
      </c>
      <c r="L1255" s="21" t="s">
        <v>4411</v>
      </c>
      <c r="M1255" s="11">
        <v>0.9</v>
      </c>
      <c r="N1255" s="1">
        <v>1000</v>
      </c>
      <c r="O1255" s="10">
        <v>46279.611168981479</v>
      </c>
      <c r="P1255" s="10"/>
      <c r="Q1255" s="1" t="s">
        <v>46</v>
      </c>
      <c r="R1255" s="8" t="s">
        <v>343</v>
      </c>
      <c r="S125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5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5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5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5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5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5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5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5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5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5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5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5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55" s="12">
        <f ca="1">[1]!Tabel1[[#This Row],[Vægtet Honorar]]*([1]!Tabel1[[#This Row],[Sidst redigeret]]&gt;TODAY()-40)*([1]!Tabel1[[#This Row],[Er i resplan?]]&lt;&gt;"Ja")*([1]!Tabel1[[#This Row],[Status]]="Pågår")</f>
        <v>93750</v>
      </c>
      <c r="AG1255" s="12">
        <f ca="1">[1]!Tabel1[[#This Row],[Vægtet Honorar]]*([1]!Tabel1[[#This Row],[Sidst redigeret]]&gt;TODAY()-40)*([1]!Tabel1[[#This Row],[Status]]="Pågår")</f>
        <v>93750</v>
      </c>
      <c r="AH1255" s="13"/>
      <c r="AI1255" s="12"/>
      <c r="AJ1255" s="12"/>
      <c r="AK1255" s="12"/>
      <c r="AL1255" s="12"/>
      <c r="AM1255" s="12"/>
      <c r="AN1255" s="12"/>
      <c r="AO1255" s="12"/>
      <c r="AP1255" s="12"/>
    </row>
    <row r="1256" spans="1:42">
      <c r="A1256" t="s">
        <v>4412</v>
      </c>
      <c r="B1256" s="8"/>
      <c r="C1256" s="8" t="s">
        <v>4413</v>
      </c>
      <c r="D1256" s="8" t="s">
        <v>720</v>
      </c>
      <c r="E1256" s="8"/>
      <c r="F1256" s="8"/>
      <c r="G1256" s="8"/>
      <c r="H1256" s="9"/>
      <c r="I1256" s="9">
        <f>[1]!Tabel1[[#This Row],[Honorar]]*[1]!Tabel1[[#This Row],[Sandsynlighed]]</f>
        <v>50000</v>
      </c>
      <c r="J1256" s="10"/>
      <c r="K1256" s="10"/>
      <c r="L1256" s="21"/>
      <c r="M1256" s="11"/>
      <c r="N1256" s="1"/>
      <c r="O1256" s="10">
        <v>46279.611168981479</v>
      </c>
      <c r="P1256" s="10"/>
      <c r="Q1256" s="1"/>
      <c r="R1256" s="8"/>
      <c r="S125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5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5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5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5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5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5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5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5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5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5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5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5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56" s="12">
        <f ca="1">[1]!Tabel1[[#This Row],[Vægtet Honorar]]*([1]!Tabel1[[#This Row],[Sidst redigeret]]&gt;TODAY()-40)*([1]!Tabel1[[#This Row],[Er i resplan?]]&lt;&gt;"Ja")*([1]!Tabel1[[#This Row],[Status]]="Pågår")</f>
        <v>50000</v>
      </c>
      <c r="AG1256" s="12">
        <f ca="1">[1]!Tabel1[[#This Row],[Vægtet Honorar]]*([1]!Tabel1[[#This Row],[Sidst redigeret]]&gt;TODAY()-40)*([1]!Tabel1[[#This Row],[Status]]="Pågår")</f>
        <v>50000</v>
      </c>
      <c r="AH1256" s="13"/>
      <c r="AI1256" s="12"/>
      <c r="AJ1256" s="12"/>
      <c r="AK1256" s="12"/>
      <c r="AL1256" s="12"/>
      <c r="AM1256" s="12"/>
      <c r="AN1256" s="12"/>
      <c r="AO1256" s="12"/>
      <c r="AP1256" s="12"/>
    </row>
    <row r="1257" spans="1:42">
      <c r="A1257" t="s">
        <v>4414</v>
      </c>
      <c r="B1257" s="8"/>
      <c r="C1257" s="8" t="s">
        <v>4413</v>
      </c>
      <c r="D1257" s="8" t="s">
        <v>720</v>
      </c>
      <c r="E1257" s="8"/>
      <c r="F1257" s="8"/>
      <c r="G1257" s="8"/>
      <c r="H1257" s="9"/>
      <c r="I1257" s="9">
        <f>[1]!Tabel1[[#This Row],[Honorar]]*[1]!Tabel1[[#This Row],[Sandsynlighed]]</f>
        <v>20000</v>
      </c>
      <c r="J1257" s="10"/>
      <c r="K1257" s="10"/>
      <c r="L1257" s="21"/>
      <c r="M1257" s="11"/>
      <c r="N1257" s="1"/>
      <c r="O1257" s="10">
        <v>46279.611168981479</v>
      </c>
      <c r="P1257" s="10"/>
      <c r="Q1257" s="1"/>
      <c r="R1257" s="8"/>
      <c r="S125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5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5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5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5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5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5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5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5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5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5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5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5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57" s="12">
        <f ca="1">[1]!Tabel1[[#This Row],[Vægtet Honorar]]*([1]!Tabel1[[#This Row],[Sidst redigeret]]&gt;TODAY()-40)*([1]!Tabel1[[#This Row],[Er i resplan?]]&lt;&gt;"Ja")*([1]!Tabel1[[#This Row],[Status]]="Pågår")</f>
        <v>20000</v>
      </c>
      <c r="AG1257" s="12">
        <f ca="1">[1]!Tabel1[[#This Row],[Vægtet Honorar]]*([1]!Tabel1[[#This Row],[Sidst redigeret]]&gt;TODAY()-40)*([1]!Tabel1[[#This Row],[Status]]="Pågår")</f>
        <v>20000</v>
      </c>
      <c r="AH1257" s="13"/>
      <c r="AI1257" s="12"/>
      <c r="AJ1257" s="12"/>
      <c r="AK1257" s="12"/>
      <c r="AL1257" s="12"/>
      <c r="AM1257" s="12"/>
      <c r="AN1257" s="12"/>
      <c r="AO1257" s="12"/>
      <c r="AP1257" s="12"/>
    </row>
    <row r="1258" spans="1:42" ht="57.75">
      <c r="A1258" t="s">
        <v>4415</v>
      </c>
      <c r="B1258" s="8"/>
      <c r="C1258" s="8" t="s">
        <v>4416</v>
      </c>
      <c r="D1258" s="8" t="s">
        <v>4417</v>
      </c>
      <c r="E1258" s="8" t="s">
        <v>94</v>
      </c>
      <c r="F1258" s="8" t="s">
        <v>4418</v>
      </c>
      <c r="G1258" s="8" t="s">
        <v>4419</v>
      </c>
      <c r="H1258" s="9">
        <v>100000</v>
      </c>
      <c r="I1258" s="9">
        <f>[1]!Tabel1[[#This Row],[Honorar]]*[1]!Tabel1[[#This Row],[Sandsynlighed]]</f>
        <v>200000</v>
      </c>
      <c r="J1258" s="10" t="s">
        <v>1287</v>
      </c>
      <c r="K1258" s="10" t="s">
        <v>1287</v>
      </c>
      <c r="L1258" s="21" t="s">
        <v>4420</v>
      </c>
      <c r="M1258" s="11">
        <v>0.75</v>
      </c>
      <c r="N1258" s="1">
        <v>75</v>
      </c>
      <c r="O1258" s="10">
        <v>46279.611168981479</v>
      </c>
      <c r="P1258" s="1" t="s">
        <v>72</v>
      </c>
      <c r="Q1258" s="1" t="s">
        <v>46</v>
      </c>
      <c r="R1258" s="8" t="s">
        <v>47</v>
      </c>
      <c r="S125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5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5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5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5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5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5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5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5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5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5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5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5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58" s="12">
        <f ca="1">[1]!Tabel1[[#This Row],[Vægtet Honorar]]*([1]!Tabel1[[#This Row],[Sidst redigeret]]&gt;TODAY()-40)*([1]!Tabel1[[#This Row],[Er i resplan?]]&lt;&gt;"Ja")*([1]!Tabel1[[#This Row],[Status]]="Pågår")</f>
        <v>200000</v>
      </c>
      <c r="AG1258" s="12">
        <f ca="1">[1]!Tabel1[[#This Row],[Vægtet Honorar]]*([1]!Tabel1[[#This Row],[Sidst redigeret]]&gt;TODAY()-40)*([1]!Tabel1[[#This Row],[Status]]="Pågår")</f>
        <v>200000</v>
      </c>
      <c r="AH1258" s="13">
        <v>45909.441620370373</v>
      </c>
      <c r="AI1258" s="12"/>
      <c r="AJ1258" s="12"/>
      <c r="AK1258" s="12"/>
      <c r="AL1258" s="12"/>
      <c r="AM1258" s="12"/>
      <c r="AN1258" s="12"/>
      <c r="AO1258" s="12"/>
      <c r="AP1258" s="12"/>
    </row>
    <row r="1259" spans="1:42">
      <c r="A1259" t="s">
        <v>4421</v>
      </c>
      <c r="C1259" t="s">
        <v>4422</v>
      </c>
      <c r="D1259" t="s">
        <v>4159</v>
      </c>
      <c r="E1259" t="s">
        <v>94</v>
      </c>
      <c r="F1259" t="s">
        <v>2248</v>
      </c>
      <c r="G1259" t="s">
        <v>4423</v>
      </c>
      <c r="H1259">
        <v>0</v>
      </c>
      <c r="J1259" s="22" t="s">
        <v>1287</v>
      </c>
      <c r="K1259" s="22" t="s">
        <v>1323</v>
      </c>
      <c r="M1259" s="23">
        <v>0</v>
      </c>
      <c r="N1259" s="22"/>
      <c r="O1259" s="24">
        <v>45909.441562499997</v>
      </c>
      <c r="P1259" s="1" t="s">
        <v>72</v>
      </c>
      <c r="Q1259" s="22" t="s">
        <v>72</v>
      </c>
      <c r="R1259" t="s">
        <v>49</v>
      </c>
      <c r="S1259" s="12"/>
      <c r="T1259" s="12"/>
      <c r="U1259" s="12"/>
      <c r="V1259" s="12"/>
      <c r="W1259" s="12"/>
      <c r="X1259" s="12"/>
      <c r="Y1259" s="12"/>
      <c r="AH1259" s="13"/>
      <c r="AI1259" s="12"/>
      <c r="AJ1259" s="12"/>
      <c r="AK1259" s="12"/>
      <c r="AL1259" s="12"/>
      <c r="AM1259" s="12"/>
      <c r="AN1259" s="12"/>
      <c r="AO1259" s="12"/>
      <c r="AP1259" s="12"/>
    </row>
    <row r="1260" spans="1:42">
      <c r="A1260" t="s">
        <v>4424</v>
      </c>
      <c r="B1260" s="8"/>
      <c r="C1260" s="8" t="s">
        <v>4425</v>
      </c>
      <c r="D1260" s="8" t="s">
        <v>2886</v>
      </c>
      <c r="E1260" s="8" t="s">
        <v>120</v>
      </c>
      <c r="F1260" s="8" t="s">
        <v>4426</v>
      </c>
      <c r="G1260" s="8" t="s">
        <v>4426</v>
      </c>
      <c r="H1260" s="9">
        <v>11000000</v>
      </c>
      <c r="I1260" s="9">
        <f>[1]!Tabel1[[#This Row],[Honorar]]*[1]!Tabel1[[#This Row],[Sandsynlighed]]</f>
        <v>270000</v>
      </c>
      <c r="J1260" s="10" t="s">
        <v>1310</v>
      </c>
      <c r="K1260" s="1" t="s">
        <v>1861</v>
      </c>
      <c r="L1260" s="8" t="s">
        <v>4427</v>
      </c>
      <c r="M1260" s="11">
        <v>0.01</v>
      </c>
      <c r="N1260" s="1"/>
      <c r="O1260" s="10">
        <v>46269.496296296296</v>
      </c>
      <c r="P1260" s="10"/>
      <c r="Q1260" s="1" t="s">
        <v>72</v>
      </c>
      <c r="R1260" s="8" t="s">
        <v>75</v>
      </c>
      <c r="S126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6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6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6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6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6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6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6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6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6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6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6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6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60" s="12">
        <f ca="1">[1]!Tabel1[[#This Row],[Vægtet Honorar]]*([1]!Tabel1[[#This Row],[Sidst redigeret]]&gt;TODAY()-40)*([1]!Tabel1[[#This Row],[Er i resplan?]]&lt;&gt;"Ja")*([1]!Tabel1[[#This Row],[Status]]="Pågår")</f>
        <v>0</v>
      </c>
      <c r="AG1260" s="12">
        <f ca="1">[1]!Tabel1[[#This Row],[Vægtet Honorar]]*([1]!Tabel1[[#This Row],[Sidst redigeret]]&gt;TODAY()-40)*([1]!Tabel1[[#This Row],[Status]]="Pågår")</f>
        <v>270000</v>
      </c>
      <c r="AH1260" s="13"/>
      <c r="AI1260" s="12"/>
      <c r="AJ1260" s="12" t="s">
        <v>4427</v>
      </c>
      <c r="AK1260" s="12"/>
      <c r="AL1260" s="12"/>
      <c r="AM1260" s="12"/>
      <c r="AN1260" s="12" t="s">
        <v>4428</v>
      </c>
      <c r="AO1260" s="12"/>
      <c r="AP1260" s="12"/>
    </row>
    <row r="1261" spans="1:42">
      <c r="A1261" t="s">
        <v>4429</v>
      </c>
      <c r="B1261" s="8"/>
      <c r="C1261" s="8" t="s">
        <v>4430</v>
      </c>
      <c r="D1261" s="8" t="s">
        <v>720</v>
      </c>
      <c r="E1261" s="8" t="s">
        <v>71</v>
      </c>
      <c r="F1261" s="8" t="s">
        <v>4430</v>
      </c>
      <c r="G1261" s="8" t="s">
        <v>4430</v>
      </c>
      <c r="H1261" s="9">
        <v>9000000</v>
      </c>
      <c r="I1261" s="9">
        <f>[1]!Tabel1[[#This Row],[Honorar]]*[1]!Tabel1[[#This Row],[Sandsynlighed]]</f>
        <v>0</v>
      </c>
      <c r="J1261" s="10" t="s">
        <v>329</v>
      </c>
      <c r="K1261" s="1" t="s">
        <v>342</v>
      </c>
      <c r="L1261" s="8"/>
      <c r="M1261" s="11">
        <v>1</v>
      </c>
      <c r="N1261" s="1"/>
      <c r="O1261" s="10">
        <v>45981.368101851855</v>
      </c>
      <c r="P1261" s="10"/>
      <c r="Q1261" s="1" t="s">
        <v>46</v>
      </c>
      <c r="R1261" s="8" t="s">
        <v>47</v>
      </c>
      <c r="S126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6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6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6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6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6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6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6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6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6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6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6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6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61" s="12">
        <f ca="1">[1]!Tabel1[[#This Row],[Vægtet Honorar]]*([1]!Tabel1[[#This Row],[Sidst redigeret]]&gt;TODAY()-40)*([1]!Tabel1[[#This Row],[Er i resplan?]]&lt;&gt;"Ja")*([1]!Tabel1[[#This Row],[Status]]="Pågår")</f>
        <v>0</v>
      </c>
      <c r="AG1261" s="12">
        <f ca="1">[1]!Tabel1[[#This Row],[Vægtet Honorar]]*([1]!Tabel1[[#This Row],[Sidst redigeret]]&gt;TODAY()-40)*([1]!Tabel1[[#This Row],[Status]]="Pågår")</f>
        <v>0</v>
      </c>
      <c r="AH1261" s="13">
        <v>45981.368101851855</v>
      </c>
      <c r="AI1261" s="12"/>
      <c r="AJ1261" s="12"/>
      <c r="AK1261" s="12"/>
      <c r="AL1261" s="12"/>
      <c r="AM1261" s="12"/>
      <c r="AN1261" s="12"/>
      <c r="AO1261" s="12"/>
      <c r="AP1261" s="12"/>
    </row>
    <row r="1262" spans="1:42">
      <c r="A1262" t="s">
        <v>4431</v>
      </c>
      <c r="B1262" s="8"/>
      <c r="C1262" s="8" t="s">
        <v>4432</v>
      </c>
      <c r="D1262" s="8" t="s">
        <v>1771</v>
      </c>
      <c r="E1262" s="8" t="s">
        <v>167</v>
      </c>
      <c r="F1262" s="8" t="s">
        <v>4432</v>
      </c>
      <c r="G1262" s="8" t="s">
        <v>4433</v>
      </c>
      <c r="H1262" s="9">
        <v>6000000</v>
      </c>
      <c r="I1262" s="9">
        <f>[1]!Tabel1[[#This Row],[Honorar]]*[1]!Tabel1[[#This Row],[Sandsynlighed]]</f>
        <v>0</v>
      </c>
      <c r="J1262" s="10" t="s">
        <v>1191</v>
      </c>
      <c r="K1262" s="1" t="s">
        <v>342</v>
      </c>
      <c r="L1262" s="8" t="s">
        <v>4434</v>
      </c>
      <c r="M1262" s="11">
        <v>0.01</v>
      </c>
      <c r="N1262" s="1">
        <v>12000</v>
      </c>
      <c r="O1262" s="10">
        <v>45909.441562499997</v>
      </c>
      <c r="P1262" s="10"/>
      <c r="Q1262" s="1" t="s">
        <v>72</v>
      </c>
      <c r="R1262" s="8" t="s">
        <v>343</v>
      </c>
      <c r="S126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6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6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6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6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6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6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6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6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6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6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6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6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62" s="12">
        <f ca="1">[1]!Tabel1[[#This Row],[Vægtet Honorar]]*([1]!Tabel1[[#This Row],[Sidst redigeret]]&gt;TODAY()-40)*([1]!Tabel1[[#This Row],[Er i resplan?]]&lt;&gt;"Ja")*([1]!Tabel1[[#This Row],[Status]]="Pågår")</f>
        <v>0</v>
      </c>
      <c r="AG1262" s="12">
        <f ca="1">[1]!Tabel1[[#This Row],[Vægtet Honorar]]*([1]!Tabel1[[#This Row],[Sidst redigeret]]&gt;TODAY()-40)*([1]!Tabel1[[#This Row],[Status]]="Pågår")</f>
        <v>0</v>
      </c>
      <c r="AH1262" s="13"/>
      <c r="AI1262" s="12"/>
      <c r="AJ1262" s="12" t="s">
        <v>4433</v>
      </c>
      <c r="AK1262" s="12"/>
      <c r="AL1262" s="12"/>
      <c r="AM1262" s="12"/>
      <c r="AN1262" s="12"/>
      <c r="AO1262" s="12"/>
      <c r="AP1262" s="12"/>
    </row>
    <row r="1263" spans="1:42">
      <c r="A1263" t="s">
        <v>4435</v>
      </c>
      <c r="B1263" s="8"/>
      <c r="C1263" s="8" t="s">
        <v>4436</v>
      </c>
      <c r="D1263" s="8" t="s">
        <v>896</v>
      </c>
      <c r="E1263" s="8" t="s">
        <v>94</v>
      </c>
      <c r="F1263" s="8" t="s">
        <v>589</v>
      </c>
      <c r="G1263" s="8" t="s">
        <v>4433</v>
      </c>
      <c r="H1263" s="9">
        <v>6000000</v>
      </c>
      <c r="I1263" s="9">
        <f>[1]!Tabel1[[#This Row],[Honorar]]*[1]!Tabel1[[#This Row],[Sandsynlighed]]</f>
        <v>75000</v>
      </c>
      <c r="J1263" s="10" t="s">
        <v>1191</v>
      </c>
      <c r="K1263" s="1" t="s">
        <v>342</v>
      </c>
      <c r="L1263" s="8" t="s">
        <v>4437</v>
      </c>
      <c r="M1263" s="11">
        <v>0.01</v>
      </c>
      <c r="N1263" s="1">
        <v>6000</v>
      </c>
      <c r="O1263" s="10">
        <v>45909.441562499997</v>
      </c>
      <c r="P1263" s="1" t="s">
        <v>72</v>
      </c>
      <c r="Q1263" s="1" t="s">
        <v>72</v>
      </c>
      <c r="R1263" s="8" t="s">
        <v>49</v>
      </c>
      <c r="S126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6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6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6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6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6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6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6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6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6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6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6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6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63" s="12">
        <f ca="1">[1]!Tabel1[[#This Row],[Vægtet Honorar]]*([1]!Tabel1[[#This Row],[Sidst redigeret]]&gt;TODAY()-40)*([1]!Tabel1[[#This Row],[Er i resplan?]]&lt;&gt;"Ja")*([1]!Tabel1[[#This Row],[Status]]="Pågår")</f>
        <v>0</v>
      </c>
      <c r="AG1263" s="12">
        <f ca="1">[1]!Tabel1[[#This Row],[Vægtet Honorar]]*([1]!Tabel1[[#This Row],[Sidst redigeret]]&gt;TODAY()-40)*([1]!Tabel1[[#This Row],[Status]]="Pågår")</f>
        <v>0</v>
      </c>
      <c r="AH1263" s="13"/>
      <c r="AI1263" s="12"/>
      <c r="AJ1263" s="12" t="s">
        <v>4433</v>
      </c>
      <c r="AK1263" s="12"/>
      <c r="AL1263" s="12"/>
      <c r="AM1263" s="12"/>
      <c r="AN1263" s="12"/>
      <c r="AO1263" s="12"/>
      <c r="AP1263" s="12"/>
    </row>
    <row r="1264" spans="1:42" ht="75">
      <c r="A1264" t="s">
        <v>4438</v>
      </c>
      <c r="B1264" s="8"/>
      <c r="C1264" s="8" t="s">
        <v>4439</v>
      </c>
      <c r="D1264" s="8" t="s">
        <v>134</v>
      </c>
      <c r="E1264" s="8" t="s">
        <v>94</v>
      </c>
      <c r="F1264" s="8" t="s">
        <v>589</v>
      </c>
      <c r="G1264" s="8" t="s">
        <v>4440</v>
      </c>
      <c r="H1264" s="9">
        <v>3000000</v>
      </c>
      <c r="I1264" s="9">
        <f>[1]!Tabel1[[#This Row],[Honorar]]*[1]!Tabel1[[#This Row],[Sandsynlighed]]</f>
        <v>0</v>
      </c>
      <c r="J1264" s="10" t="s">
        <v>1191</v>
      </c>
      <c r="K1264" s="1" t="s">
        <v>585</v>
      </c>
      <c r="L1264" s="17" t="s">
        <v>4441</v>
      </c>
      <c r="M1264" s="11">
        <v>0.75</v>
      </c>
      <c r="N1264" s="1"/>
      <c r="O1264" s="10">
        <v>46041.390648148146</v>
      </c>
      <c r="P1264" s="1" t="s">
        <v>46</v>
      </c>
      <c r="Q1264" s="1" t="s">
        <v>72</v>
      </c>
      <c r="R1264" s="8" t="s">
        <v>47</v>
      </c>
      <c r="S126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6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6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6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6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6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6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6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6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6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6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6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6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64" s="12">
        <f ca="1">[1]!Tabel1[[#This Row],[Vægtet Honorar]]*([1]!Tabel1[[#This Row],[Sidst redigeret]]&gt;TODAY()-40)*([1]!Tabel1[[#This Row],[Er i resplan?]]&lt;&gt;"Ja")*([1]!Tabel1[[#This Row],[Status]]="Pågår")</f>
        <v>0</v>
      </c>
      <c r="AG1264" s="12">
        <f ca="1">[1]!Tabel1[[#This Row],[Vægtet Honorar]]*([1]!Tabel1[[#This Row],[Sidst redigeret]]&gt;TODAY()-40)*([1]!Tabel1[[#This Row],[Status]]="Pågår")</f>
        <v>0</v>
      </c>
      <c r="AH1264" s="13">
        <v>46041.390648148146</v>
      </c>
      <c r="AI1264" s="12"/>
      <c r="AJ1264" s="12"/>
      <c r="AK1264" s="12"/>
      <c r="AL1264" s="12"/>
      <c r="AM1264" s="12"/>
      <c r="AN1264" s="12"/>
      <c r="AO1264" s="12"/>
      <c r="AP1264" s="12"/>
    </row>
    <row r="1265" spans="1:42">
      <c r="A1265" t="s">
        <v>4442</v>
      </c>
      <c r="B1265" s="8"/>
      <c r="C1265" s="8" t="s">
        <v>4443</v>
      </c>
      <c r="D1265" s="8" t="s">
        <v>4444</v>
      </c>
      <c r="E1265" s="8" t="s">
        <v>120</v>
      </c>
      <c r="F1265" s="8" t="s">
        <v>4445</v>
      </c>
      <c r="G1265" s="8" t="s">
        <v>4446</v>
      </c>
      <c r="H1265" s="9">
        <v>1000000</v>
      </c>
      <c r="I1265" s="9">
        <f>[1]!Tabel1[[#This Row],[Honorar]]*[1]!Tabel1[[#This Row],[Sandsynlighed]]</f>
        <v>110000</v>
      </c>
      <c r="J1265" s="10" t="s">
        <v>1287</v>
      </c>
      <c r="K1265" s="1" t="s">
        <v>341</v>
      </c>
      <c r="L1265" s="8"/>
      <c r="M1265" s="11">
        <v>0.5</v>
      </c>
      <c r="N1265" s="1"/>
      <c r="O1265" s="10">
        <v>46269.496354166666</v>
      </c>
      <c r="P1265" s="10"/>
      <c r="Q1265" s="1" t="s">
        <v>46</v>
      </c>
      <c r="R1265" s="8" t="s">
        <v>75</v>
      </c>
      <c r="S126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6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6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6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6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6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6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6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6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6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6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6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6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65" s="12">
        <f ca="1">[1]!Tabel1[[#This Row],[Vægtet Honorar]]*([1]!Tabel1[[#This Row],[Sidst redigeret]]&gt;TODAY()-40)*([1]!Tabel1[[#This Row],[Er i resplan?]]&lt;&gt;"Ja")*([1]!Tabel1[[#This Row],[Status]]="Pågår")</f>
        <v>0</v>
      </c>
      <c r="AG1265" s="12">
        <f ca="1">[1]!Tabel1[[#This Row],[Vægtet Honorar]]*([1]!Tabel1[[#This Row],[Sidst redigeret]]&gt;TODAY()-40)*([1]!Tabel1[[#This Row],[Status]]="Pågår")</f>
        <v>0</v>
      </c>
      <c r="AH1265" s="13"/>
      <c r="AI1265" s="12"/>
      <c r="AJ1265" s="12" t="s">
        <v>4446</v>
      </c>
      <c r="AK1265" s="12"/>
      <c r="AL1265" s="12"/>
      <c r="AM1265" s="12"/>
      <c r="AN1265" s="12"/>
      <c r="AO1265" s="12"/>
      <c r="AP1265" s="12"/>
    </row>
    <row r="1266" spans="1:42">
      <c r="A1266" t="s">
        <v>4447</v>
      </c>
      <c r="B1266" s="8"/>
      <c r="C1266" s="8" t="s">
        <v>4448</v>
      </c>
      <c r="D1266" s="8" t="s">
        <v>70</v>
      </c>
      <c r="E1266" s="8" t="s">
        <v>120</v>
      </c>
      <c r="F1266" s="8" t="s">
        <v>70</v>
      </c>
      <c r="G1266" s="8" t="s">
        <v>70</v>
      </c>
      <c r="H1266" s="9">
        <v>15000</v>
      </c>
      <c r="I1266" s="9">
        <f>[1]!Tabel1[[#This Row],[Honorar]]*[1]!Tabel1[[#This Row],[Sandsynlighed]]</f>
        <v>9000000</v>
      </c>
      <c r="J1266" s="10" t="s">
        <v>329</v>
      </c>
      <c r="K1266" s="1" t="s">
        <v>329</v>
      </c>
      <c r="L1266" s="8"/>
      <c r="M1266" s="11">
        <v>0.5</v>
      </c>
      <c r="N1266" s="1"/>
      <c r="O1266" s="10">
        <v>46269.496666666666</v>
      </c>
      <c r="P1266" s="10"/>
      <c r="Q1266" s="1" t="s">
        <v>72</v>
      </c>
      <c r="R1266" s="8" t="s">
        <v>343</v>
      </c>
      <c r="S126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6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6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6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6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6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6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6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6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6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6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6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6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66" s="12">
        <f ca="1">[1]!Tabel1[[#This Row],[Vægtet Honorar]]*([1]!Tabel1[[#This Row],[Sidst redigeret]]&gt;TODAY()-40)*([1]!Tabel1[[#This Row],[Er i resplan?]]&lt;&gt;"Ja")*([1]!Tabel1[[#This Row],[Status]]="Pågår")</f>
        <v>0</v>
      </c>
      <c r="AG1266" s="12">
        <f ca="1">[1]!Tabel1[[#This Row],[Vægtet Honorar]]*([1]!Tabel1[[#This Row],[Sidst redigeret]]&gt;TODAY()-40)*([1]!Tabel1[[#This Row],[Status]]="Pågår")</f>
        <v>0</v>
      </c>
      <c r="AH1266" s="13"/>
      <c r="AI1266" s="12"/>
      <c r="AJ1266" s="12"/>
      <c r="AK1266" s="12"/>
      <c r="AL1266" s="12"/>
      <c r="AM1266" s="12"/>
      <c r="AN1266" s="12"/>
      <c r="AO1266" s="12"/>
      <c r="AP1266" s="12"/>
    </row>
    <row r="1267" spans="1:42">
      <c r="A1267" t="s">
        <v>4449</v>
      </c>
      <c r="B1267" s="8"/>
      <c r="C1267" s="8" t="s">
        <v>4450</v>
      </c>
      <c r="D1267" s="8" t="s">
        <v>44</v>
      </c>
      <c r="E1267" s="8" t="s">
        <v>71</v>
      </c>
      <c r="F1267" s="8" t="s">
        <v>4451</v>
      </c>
      <c r="G1267" s="8" t="s">
        <v>4451</v>
      </c>
      <c r="H1267" s="9">
        <v>350000</v>
      </c>
      <c r="I1267" s="9">
        <f>[1]!Tabel1[[#This Row],[Honorar]]*[1]!Tabel1[[#This Row],[Sandsynlighed]]</f>
        <v>60000</v>
      </c>
      <c r="J1267" s="10" t="s">
        <v>1287</v>
      </c>
      <c r="K1267" s="1" t="s">
        <v>341</v>
      </c>
      <c r="L1267" s="8"/>
      <c r="M1267" s="11">
        <v>1</v>
      </c>
      <c r="N1267" s="1">
        <v>2000</v>
      </c>
      <c r="O1267" s="10">
        <v>45993.411921296298</v>
      </c>
      <c r="P1267" s="10"/>
      <c r="Q1267" s="1" t="s">
        <v>46</v>
      </c>
      <c r="R1267" s="8" t="s">
        <v>47</v>
      </c>
      <c r="S126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6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6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6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6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6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6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6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6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6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6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6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6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67" s="12">
        <f ca="1">[1]!Tabel1[[#This Row],[Vægtet Honorar]]*([1]!Tabel1[[#This Row],[Sidst redigeret]]&gt;TODAY()-40)*([1]!Tabel1[[#This Row],[Er i resplan?]]&lt;&gt;"Ja")*([1]!Tabel1[[#This Row],[Status]]="Pågår")</f>
        <v>0</v>
      </c>
      <c r="AG1267" s="12">
        <f ca="1">[1]!Tabel1[[#This Row],[Vægtet Honorar]]*([1]!Tabel1[[#This Row],[Sidst redigeret]]&gt;TODAY()-40)*([1]!Tabel1[[#This Row],[Status]]="Pågår")</f>
        <v>0</v>
      </c>
      <c r="AH1267" s="13">
        <v>45993.411840277775</v>
      </c>
      <c r="AI1267" s="12"/>
      <c r="AJ1267" s="12"/>
      <c r="AK1267" s="12"/>
      <c r="AL1267" s="12"/>
      <c r="AM1267" s="12"/>
      <c r="AN1267" s="12"/>
      <c r="AO1267" s="12"/>
      <c r="AP1267" s="12"/>
    </row>
    <row r="1268" spans="1:42">
      <c r="A1268" t="s">
        <v>4452</v>
      </c>
      <c r="B1268" s="8"/>
      <c r="C1268" s="8" t="s">
        <v>4453</v>
      </c>
      <c r="D1268" s="8" t="s">
        <v>4254</v>
      </c>
      <c r="E1268" s="8" t="s">
        <v>167</v>
      </c>
      <c r="F1268" s="8" t="s">
        <v>2450</v>
      </c>
      <c r="G1268" s="8" t="s">
        <v>2450</v>
      </c>
      <c r="H1268" s="9">
        <v>225000</v>
      </c>
      <c r="I1268" s="9">
        <f>[1]!Tabel1[[#This Row],[Honorar]]*[1]!Tabel1[[#This Row],[Sandsynlighed]]</f>
        <v>60000</v>
      </c>
      <c r="J1268" s="10" t="s">
        <v>329</v>
      </c>
      <c r="K1268" s="1" t="s">
        <v>1191</v>
      </c>
      <c r="L1268" s="8"/>
      <c r="M1268" s="11">
        <v>0.95</v>
      </c>
      <c r="N1268" s="1"/>
      <c r="O1268" s="10">
        <v>45909.441562499997</v>
      </c>
      <c r="P1268" s="10"/>
      <c r="Q1268" s="1" t="s">
        <v>72</v>
      </c>
      <c r="R1268" s="8" t="s">
        <v>343</v>
      </c>
      <c r="S126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6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6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6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6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6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6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6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6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6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6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6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6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68" s="12">
        <f ca="1">[1]!Tabel1[[#This Row],[Vægtet Honorar]]*([1]!Tabel1[[#This Row],[Sidst redigeret]]&gt;TODAY()-40)*([1]!Tabel1[[#This Row],[Er i resplan?]]&lt;&gt;"Ja")*([1]!Tabel1[[#This Row],[Status]]="Pågår")</f>
        <v>0</v>
      </c>
      <c r="AG1268" s="12">
        <f ca="1">[1]!Tabel1[[#This Row],[Vægtet Honorar]]*([1]!Tabel1[[#This Row],[Sidst redigeret]]&gt;TODAY()-40)*([1]!Tabel1[[#This Row],[Status]]="Pågår")</f>
        <v>0</v>
      </c>
      <c r="AH1268" s="13"/>
      <c r="AI1268" s="12"/>
      <c r="AJ1268" s="12"/>
      <c r="AK1268" s="12"/>
      <c r="AL1268" s="12"/>
      <c r="AM1268" s="12"/>
      <c r="AN1268" s="12"/>
      <c r="AO1268" s="12"/>
      <c r="AP1268" s="12"/>
    </row>
    <row r="1269" spans="1:42">
      <c r="A1269" t="s">
        <v>4454</v>
      </c>
      <c r="B1269" s="8"/>
      <c r="C1269" s="8" t="s">
        <v>4455</v>
      </c>
      <c r="D1269" s="8" t="s">
        <v>70</v>
      </c>
      <c r="E1269" s="8" t="s">
        <v>102</v>
      </c>
      <c r="F1269" s="8" t="s">
        <v>4456</v>
      </c>
      <c r="G1269" s="8" t="s">
        <v>4456</v>
      </c>
      <c r="H1269" s="9">
        <v>200000</v>
      </c>
      <c r="I1269" s="9">
        <f>[1]!Tabel1[[#This Row],[Honorar]]*[1]!Tabel1[[#This Row],[Sandsynlighed]]</f>
        <v>2250000</v>
      </c>
      <c r="J1269" s="10" t="s">
        <v>329</v>
      </c>
      <c r="K1269" s="1" t="s">
        <v>1191</v>
      </c>
      <c r="L1269" s="8"/>
      <c r="M1269" s="11">
        <v>0.95</v>
      </c>
      <c r="N1269" s="1"/>
      <c r="O1269" s="10">
        <v>45909.441562499997</v>
      </c>
      <c r="P1269" s="10"/>
      <c r="Q1269" s="1" t="s">
        <v>46</v>
      </c>
      <c r="R1269" s="8" t="s">
        <v>47</v>
      </c>
      <c r="S126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6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6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6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6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6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6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6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6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6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6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6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6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69" s="12">
        <f ca="1">[1]!Tabel1[[#This Row],[Vægtet Honorar]]*([1]!Tabel1[[#This Row],[Sidst redigeret]]&gt;TODAY()-40)*([1]!Tabel1[[#This Row],[Er i resplan?]]&lt;&gt;"Ja")*([1]!Tabel1[[#This Row],[Status]]="Pågår")</f>
        <v>0</v>
      </c>
      <c r="AG1269" s="12">
        <f ca="1">[1]!Tabel1[[#This Row],[Vægtet Honorar]]*([1]!Tabel1[[#This Row],[Sidst redigeret]]&gt;TODAY()-40)*([1]!Tabel1[[#This Row],[Status]]="Pågår")</f>
        <v>0</v>
      </c>
      <c r="AH1269" s="13">
        <v>45909.441620370373</v>
      </c>
      <c r="AI1269" s="12"/>
      <c r="AJ1269" s="12"/>
      <c r="AK1269" s="12"/>
      <c r="AL1269" s="12"/>
      <c r="AM1269" s="12"/>
      <c r="AN1269" s="12"/>
      <c r="AO1269" s="12"/>
      <c r="AP1269" s="12"/>
    </row>
    <row r="1270" spans="1:42">
      <c r="A1270" t="s">
        <v>4457</v>
      </c>
      <c r="B1270" s="8"/>
      <c r="C1270" s="8" t="s">
        <v>4458</v>
      </c>
      <c r="D1270" s="8" t="s">
        <v>720</v>
      </c>
      <c r="E1270" s="8" t="s">
        <v>71</v>
      </c>
      <c r="F1270" s="8" t="s">
        <v>788</v>
      </c>
      <c r="G1270" s="8"/>
      <c r="H1270" s="9">
        <v>500000</v>
      </c>
      <c r="I1270" s="9">
        <f>[1]!Tabel1[[#This Row],[Honorar]]*[1]!Tabel1[[#This Row],[Sandsynlighed]]</f>
        <v>500000</v>
      </c>
      <c r="J1270" s="10" t="s">
        <v>1287</v>
      </c>
      <c r="K1270" s="1" t="s">
        <v>342</v>
      </c>
      <c r="L1270" s="8"/>
      <c r="M1270" s="11">
        <v>0.1</v>
      </c>
      <c r="N1270" s="1"/>
      <c r="O1270" s="10">
        <v>45909.441562499997</v>
      </c>
      <c r="P1270" s="10"/>
      <c r="Q1270" s="1" t="s">
        <v>72</v>
      </c>
      <c r="R1270" s="8" t="s">
        <v>343</v>
      </c>
      <c r="S127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7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7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7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7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7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7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7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7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7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7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7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7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70" s="12">
        <f ca="1">[1]!Tabel1[[#This Row],[Vægtet Honorar]]*([1]!Tabel1[[#This Row],[Sidst redigeret]]&gt;TODAY()-40)*([1]!Tabel1[[#This Row],[Er i resplan?]]&lt;&gt;"Ja")*([1]!Tabel1[[#This Row],[Status]]="Pågår")</f>
        <v>0</v>
      </c>
      <c r="AG1270" s="12">
        <f ca="1">[1]!Tabel1[[#This Row],[Vægtet Honorar]]*([1]!Tabel1[[#This Row],[Sidst redigeret]]&gt;TODAY()-40)*([1]!Tabel1[[#This Row],[Status]]="Pågår")</f>
        <v>0</v>
      </c>
      <c r="AH1270" s="13"/>
      <c r="AI1270" s="12"/>
      <c r="AJ1270" s="12" t="s">
        <v>4459</v>
      </c>
      <c r="AK1270" s="12"/>
      <c r="AL1270" s="12"/>
      <c r="AM1270" s="12"/>
      <c r="AN1270" s="12"/>
      <c r="AO1270" s="12"/>
      <c r="AP1270" s="12"/>
    </row>
    <row r="1271" spans="1:42">
      <c r="A1271" t="s">
        <v>4460</v>
      </c>
      <c r="B1271" s="8"/>
      <c r="C1271" s="8" t="s">
        <v>4461</v>
      </c>
      <c r="D1271" s="8" t="s">
        <v>720</v>
      </c>
      <c r="E1271" s="8" t="s">
        <v>71</v>
      </c>
      <c r="F1271" s="8" t="s">
        <v>547</v>
      </c>
      <c r="G1271" s="8" t="s">
        <v>1100</v>
      </c>
      <c r="H1271" s="9">
        <v>500000</v>
      </c>
      <c r="I1271" s="9">
        <f>[1]!Tabel1[[#This Row],[Honorar]]*[1]!Tabel1[[#This Row],[Sandsynlighed]]</f>
        <v>7500</v>
      </c>
      <c r="J1271" s="10" t="s">
        <v>1287</v>
      </c>
      <c r="K1271" s="1" t="s">
        <v>342</v>
      </c>
      <c r="L1271" s="8"/>
      <c r="M1271" s="11">
        <v>0.1</v>
      </c>
      <c r="N1271" s="1"/>
      <c r="O1271" s="10">
        <v>46008.561215277776</v>
      </c>
      <c r="P1271" s="10"/>
      <c r="Q1271" s="1" t="s">
        <v>72</v>
      </c>
      <c r="R1271" s="8" t="s">
        <v>343</v>
      </c>
      <c r="S127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7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7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7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7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7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7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7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7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7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7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7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7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71" s="12">
        <f ca="1">[1]!Tabel1[[#This Row],[Vægtet Honorar]]*([1]!Tabel1[[#This Row],[Sidst redigeret]]&gt;TODAY()-40)*([1]!Tabel1[[#This Row],[Er i resplan?]]&lt;&gt;"Ja")*([1]!Tabel1[[#This Row],[Status]]="Pågår")</f>
        <v>7500</v>
      </c>
      <c r="AG1271" s="12">
        <f ca="1">[1]!Tabel1[[#This Row],[Vægtet Honorar]]*([1]!Tabel1[[#This Row],[Sidst redigeret]]&gt;TODAY()-40)*([1]!Tabel1[[#This Row],[Status]]="Pågår")</f>
        <v>7500</v>
      </c>
      <c r="AH1271" s="13"/>
      <c r="AI1271" s="12" t="s">
        <v>4462</v>
      </c>
      <c r="AJ1271" s="12" t="s">
        <v>4463</v>
      </c>
      <c r="AK1271" s="12"/>
      <c r="AL1271" s="12"/>
      <c r="AM1271" s="12"/>
      <c r="AN1271" s="12"/>
      <c r="AO1271" s="12"/>
      <c r="AP1271" s="12"/>
    </row>
    <row r="1272" spans="1:42">
      <c r="A1272" t="s">
        <v>4464</v>
      </c>
      <c r="B1272" s="8"/>
      <c r="C1272" s="8" t="s">
        <v>4465</v>
      </c>
      <c r="D1272" s="8" t="s">
        <v>720</v>
      </c>
      <c r="E1272" s="8" t="s">
        <v>71</v>
      </c>
      <c r="F1272" s="8" t="s">
        <v>788</v>
      </c>
      <c r="G1272" s="8"/>
      <c r="H1272" s="9">
        <v>500000</v>
      </c>
      <c r="I1272" s="9">
        <f>[1]!Tabel1[[#This Row],[Honorar]]*[1]!Tabel1[[#This Row],[Sandsynlighed]]</f>
        <v>350000</v>
      </c>
      <c r="J1272" s="10" t="s">
        <v>1287</v>
      </c>
      <c r="K1272" s="1" t="s">
        <v>342</v>
      </c>
      <c r="L1272" s="8"/>
      <c r="M1272" s="11">
        <v>0.9</v>
      </c>
      <c r="N1272" s="1"/>
      <c r="O1272" s="10">
        <v>45909.441562499997</v>
      </c>
      <c r="P1272" s="10"/>
      <c r="Q1272" s="1" t="s">
        <v>46</v>
      </c>
      <c r="R1272" s="8" t="s">
        <v>47</v>
      </c>
      <c r="S127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7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7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7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7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7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7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7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7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7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7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7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7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72" s="12">
        <f ca="1">[1]!Tabel1[[#This Row],[Vægtet Honorar]]*([1]!Tabel1[[#This Row],[Sidst redigeret]]&gt;TODAY()-40)*([1]!Tabel1[[#This Row],[Er i resplan?]]&lt;&gt;"Ja")*([1]!Tabel1[[#This Row],[Status]]="Pågår")</f>
        <v>0</v>
      </c>
      <c r="AG1272" s="12">
        <f ca="1">[1]!Tabel1[[#This Row],[Vægtet Honorar]]*([1]!Tabel1[[#This Row],[Sidst redigeret]]&gt;TODAY()-40)*([1]!Tabel1[[#This Row],[Status]]="Pågår")</f>
        <v>0</v>
      </c>
      <c r="AH1272" s="13">
        <v>45909.441620370373</v>
      </c>
      <c r="AI1272" s="12"/>
      <c r="AJ1272" s="12"/>
      <c r="AK1272" s="12"/>
      <c r="AL1272" s="12"/>
      <c r="AM1272" s="12"/>
      <c r="AN1272" s="12"/>
      <c r="AO1272" s="12"/>
      <c r="AP1272" s="12"/>
    </row>
    <row r="1273" spans="1:42">
      <c r="A1273" t="s">
        <v>4466</v>
      </c>
      <c r="B1273" s="8"/>
      <c r="C1273" s="8" t="s">
        <v>4467</v>
      </c>
      <c r="D1273" s="8" t="s">
        <v>1771</v>
      </c>
      <c r="E1273" s="8" t="s">
        <v>167</v>
      </c>
      <c r="F1273" s="8" t="s">
        <v>4468</v>
      </c>
      <c r="G1273" s="8" t="s">
        <v>4469</v>
      </c>
      <c r="H1273" s="9">
        <v>2000000</v>
      </c>
      <c r="I1273" s="9">
        <f>[1]!Tabel1[[#This Row],[Honorar]]*[1]!Tabel1[[#This Row],[Sandsynlighed]]</f>
        <v>213750</v>
      </c>
      <c r="J1273" s="10" t="s">
        <v>1323</v>
      </c>
      <c r="K1273" s="1" t="s">
        <v>898</v>
      </c>
      <c r="L1273" s="8" t="s">
        <v>4470</v>
      </c>
      <c r="M1273" s="11">
        <v>0.01</v>
      </c>
      <c r="N1273" s="1"/>
      <c r="O1273" s="10">
        <v>45909.441562499997</v>
      </c>
      <c r="P1273" s="10"/>
      <c r="Q1273" s="1" t="s">
        <v>72</v>
      </c>
      <c r="R1273" s="8" t="s">
        <v>343</v>
      </c>
      <c r="S127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7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7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7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7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7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7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7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7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7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7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7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7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73" s="12">
        <f ca="1">[1]!Tabel1[[#This Row],[Vægtet Honorar]]*([1]!Tabel1[[#This Row],[Sidst redigeret]]&gt;TODAY()-40)*([1]!Tabel1[[#This Row],[Er i resplan?]]&lt;&gt;"Ja")*([1]!Tabel1[[#This Row],[Status]]="Pågår")</f>
        <v>0</v>
      </c>
      <c r="AG1273" s="12">
        <f ca="1">[1]!Tabel1[[#This Row],[Vægtet Honorar]]*([1]!Tabel1[[#This Row],[Sidst redigeret]]&gt;TODAY()-40)*([1]!Tabel1[[#This Row],[Status]]="Pågår")</f>
        <v>0</v>
      </c>
      <c r="AH1273" s="13"/>
      <c r="AI1273" s="12"/>
      <c r="AJ1273" s="12" t="s">
        <v>4469</v>
      </c>
      <c r="AK1273" s="12"/>
      <c r="AL1273" s="12"/>
      <c r="AM1273" s="12"/>
      <c r="AN1273" s="12"/>
      <c r="AO1273" s="12"/>
      <c r="AP1273" s="12"/>
    </row>
    <row r="1274" spans="1:42">
      <c r="A1274" t="s">
        <v>4471</v>
      </c>
      <c r="B1274" s="8"/>
      <c r="C1274" s="8" t="s">
        <v>4472</v>
      </c>
      <c r="D1274" s="8" t="s">
        <v>4473</v>
      </c>
      <c r="E1274" s="8" t="s">
        <v>71</v>
      </c>
      <c r="F1274" s="8" t="s">
        <v>1012</v>
      </c>
      <c r="G1274" s="8" t="s">
        <v>1012</v>
      </c>
      <c r="H1274" s="9">
        <v>300000</v>
      </c>
      <c r="I1274" s="9">
        <f>[1]!Tabel1[[#This Row],[Honorar]]*[1]!Tabel1[[#This Row],[Sandsynlighed]]</f>
        <v>190000</v>
      </c>
      <c r="J1274" s="10" t="s">
        <v>329</v>
      </c>
      <c r="K1274" s="1" t="s">
        <v>342</v>
      </c>
      <c r="L1274" s="8"/>
      <c r="M1274" s="11">
        <v>0.5</v>
      </c>
      <c r="N1274" s="1"/>
      <c r="O1274" s="10">
        <v>45909.441562499997</v>
      </c>
      <c r="P1274" s="10"/>
      <c r="Q1274" s="1" t="s">
        <v>72</v>
      </c>
      <c r="R1274" s="8" t="s">
        <v>343</v>
      </c>
      <c r="S127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7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7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7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7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7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7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7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7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7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7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7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7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74" s="12">
        <f ca="1">[1]!Tabel1[[#This Row],[Vægtet Honorar]]*([1]!Tabel1[[#This Row],[Sidst redigeret]]&gt;TODAY()-40)*([1]!Tabel1[[#This Row],[Er i resplan?]]&lt;&gt;"Ja")*([1]!Tabel1[[#This Row],[Status]]="Pågår")</f>
        <v>0</v>
      </c>
      <c r="AG1274" s="12">
        <f ca="1">[1]!Tabel1[[#This Row],[Vægtet Honorar]]*([1]!Tabel1[[#This Row],[Sidst redigeret]]&gt;TODAY()-40)*([1]!Tabel1[[#This Row],[Status]]="Pågår")</f>
        <v>0</v>
      </c>
      <c r="AH1274" s="13"/>
      <c r="AI1274" s="12"/>
      <c r="AJ1274" s="12"/>
      <c r="AK1274" s="12"/>
      <c r="AL1274" s="12"/>
      <c r="AM1274" s="12"/>
      <c r="AN1274" s="12"/>
      <c r="AO1274" s="12"/>
      <c r="AP1274" s="12"/>
    </row>
    <row r="1275" spans="1:42">
      <c r="A1275" t="s">
        <v>4474</v>
      </c>
      <c r="B1275" s="8"/>
      <c r="C1275" s="8" t="s">
        <v>4475</v>
      </c>
      <c r="D1275" s="8" t="s">
        <v>158</v>
      </c>
      <c r="E1275" s="8" t="s">
        <v>167</v>
      </c>
      <c r="F1275" s="8" t="s">
        <v>4476</v>
      </c>
      <c r="G1275" s="8" t="s">
        <v>4477</v>
      </c>
      <c r="H1275" s="9">
        <v>300000</v>
      </c>
      <c r="I1275" s="9">
        <f>[1]!Tabel1[[#This Row],[Honorar]]*[1]!Tabel1[[#This Row],[Sandsynlighed]]</f>
        <v>50000</v>
      </c>
      <c r="J1275" s="10" t="s">
        <v>1287</v>
      </c>
      <c r="K1275" s="1" t="s">
        <v>342</v>
      </c>
      <c r="L1275" s="8" t="s">
        <v>4478</v>
      </c>
      <c r="M1275" s="11">
        <v>0.2</v>
      </c>
      <c r="N1275" s="1"/>
      <c r="O1275" s="10">
        <v>45909.441562499997</v>
      </c>
      <c r="P1275" s="10"/>
      <c r="Q1275" s="1" t="s">
        <v>72</v>
      </c>
      <c r="R1275" s="8" t="s">
        <v>343</v>
      </c>
      <c r="S127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7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7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7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7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7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7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7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7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7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7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7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7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75" s="12">
        <f ca="1">[1]!Tabel1[[#This Row],[Vægtet Honorar]]*([1]!Tabel1[[#This Row],[Sidst redigeret]]&gt;TODAY()-40)*([1]!Tabel1[[#This Row],[Er i resplan?]]&lt;&gt;"Ja")*([1]!Tabel1[[#This Row],[Status]]="Pågår")</f>
        <v>0</v>
      </c>
      <c r="AG1275" s="12">
        <f ca="1">[1]!Tabel1[[#This Row],[Vægtet Honorar]]*([1]!Tabel1[[#This Row],[Sidst redigeret]]&gt;TODAY()-40)*([1]!Tabel1[[#This Row],[Status]]="Pågår")</f>
        <v>0</v>
      </c>
      <c r="AH1275" s="13"/>
      <c r="AI1275" s="12"/>
      <c r="AJ1275" s="12"/>
      <c r="AK1275" s="12"/>
      <c r="AL1275" s="12"/>
      <c r="AM1275" s="12"/>
      <c r="AN1275" s="12"/>
      <c r="AO1275" s="12"/>
      <c r="AP1275" s="12"/>
    </row>
    <row r="1276" spans="1:42">
      <c r="A1276" t="s">
        <v>4479</v>
      </c>
      <c r="B1276" s="8">
        <v>253860</v>
      </c>
      <c r="C1276" s="8" t="s">
        <v>4480</v>
      </c>
      <c r="D1276" s="8" t="s">
        <v>125</v>
      </c>
      <c r="E1276" s="8" t="s">
        <v>71</v>
      </c>
      <c r="F1276" s="8" t="s">
        <v>4476</v>
      </c>
      <c r="G1276" s="8" t="s">
        <v>4481</v>
      </c>
      <c r="H1276" s="9">
        <v>75000</v>
      </c>
      <c r="I1276" s="9">
        <f>[1]!Tabel1[[#This Row],[Honorar]]*[1]!Tabel1[[#This Row],[Sandsynlighed]]</f>
        <v>50000</v>
      </c>
      <c r="J1276" s="10" t="s">
        <v>329</v>
      </c>
      <c r="K1276" s="1" t="s">
        <v>1191</v>
      </c>
      <c r="L1276" s="8" t="s">
        <v>4478</v>
      </c>
      <c r="M1276" s="11">
        <v>0.9</v>
      </c>
      <c r="N1276" s="1">
        <v>910</v>
      </c>
      <c r="O1276" s="10">
        <v>45909.441562499997</v>
      </c>
      <c r="P1276" s="10" t="s">
        <v>46</v>
      </c>
      <c r="Q1276" s="1" t="s">
        <v>46</v>
      </c>
      <c r="R1276" s="8" t="s">
        <v>47</v>
      </c>
      <c r="S127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7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7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7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7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7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7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7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7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7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7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7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7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76" s="12">
        <f ca="1">[1]!Tabel1[[#This Row],[Vægtet Honorar]]*([1]!Tabel1[[#This Row],[Sidst redigeret]]&gt;TODAY()-40)*([1]!Tabel1[[#This Row],[Er i resplan?]]&lt;&gt;"Ja")*([1]!Tabel1[[#This Row],[Status]]="Pågår")</f>
        <v>0</v>
      </c>
      <c r="AG1276" s="12">
        <f ca="1">[1]!Tabel1[[#This Row],[Vægtet Honorar]]*([1]!Tabel1[[#This Row],[Sidst redigeret]]&gt;TODAY()-40)*([1]!Tabel1[[#This Row],[Status]]="Pågår")</f>
        <v>0</v>
      </c>
      <c r="AH1276" s="13">
        <v>45909.441620370373</v>
      </c>
      <c r="AI1276" s="12"/>
      <c r="AJ1276" s="12"/>
      <c r="AK1276" s="12"/>
      <c r="AL1276" s="12"/>
      <c r="AM1276" s="12"/>
      <c r="AN1276" s="12"/>
      <c r="AO1276" s="12"/>
      <c r="AP1276" s="12"/>
    </row>
    <row r="1277" spans="1:42">
      <c r="A1277" t="s">
        <v>4482</v>
      </c>
      <c r="B1277" s="8"/>
      <c r="C1277" s="8" t="s">
        <v>4483</v>
      </c>
      <c r="D1277" s="8" t="s">
        <v>2886</v>
      </c>
      <c r="E1277" s="8" t="s">
        <v>120</v>
      </c>
      <c r="F1277" s="8" t="s">
        <v>4476</v>
      </c>
      <c r="G1277" s="8" t="s">
        <v>2522</v>
      </c>
      <c r="H1277" s="9">
        <v>100000</v>
      </c>
      <c r="I1277" s="9">
        <f>[1]!Tabel1[[#This Row],[Honorar]]*[1]!Tabel1[[#This Row],[Sandsynlighed]]</f>
        <v>450000</v>
      </c>
      <c r="J1277" s="10" t="s">
        <v>329</v>
      </c>
      <c r="K1277" s="1" t="s">
        <v>1191</v>
      </c>
      <c r="L1277" s="8" t="s">
        <v>4484</v>
      </c>
      <c r="M1277" s="11">
        <v>0.75</v>
      </c>
      <c r="N1277" s="1"/>
      <c r="O1277" s="10">
        <v>46269.496874999997</v>
      </c>
      <c r="P1277" s="10" t="s">
        <v>46</v>
      </c>
      <c r="Q1277" s="1" t="s">
        <v>46</v>
      </c>
      <c r="R1277" s="8" t="s">
        <v>47</v>
      </c>
      <c r="S127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7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7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7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7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7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7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7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7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7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7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7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7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77" s="12">
        <f ca="1">[1]!Tabel1[[#This Row],[Vægtet Honorar]]*([1]!Tabel1[[#This Row],[Sidst redigeret]]&gt;TODAY()-40)*([1]!Tabel1[[#This Row],[Er i resplan?]]&lt;&gt;"Ja")*([1]!Tabel1[[#This Row],[Status]]="Pågår")</f>
        <v>0</v>
      </c>
      <c r="AG1277" s="12">
        <f ca="1">[1]!Tabel1[[#This Row],[Vægtet Honorar]]*([1]!Tabel1[[#This Row],[Sidst redigeret]]&gt;TODAY()-40)*([1]!Tabel1[[#This Row],[Status]]="Pågår")</f>
        <v>0</v>
      </c>
      <c r="AH1277" s="13">
        <v>46269.496874999997</v>
      </c>
      <c r="AI1277" s="12"/>
      <c r="AJ1277" s="12"/>
      <c r="AK1277" s="12"/>
      <c r="AL1277" s="12"/>
      <c r="AM1277" s="12"/>
      <c r="AN1277" s="12"/>
      <c r="AO1277" s="12"/>
      <c r="AP1277" s="12"/>
    </row>
    <row r="1278" spans="1:42">
      <c r="A1278" t="s">
        <v>4485</v>
      </c>
      <c r="B1278" s="8"/>
      <c r="C1278" s="8" t="s">
        <v>4486</v>
      </c>
      <c r="D1278" s="8" t="s">
        <v>1771</v>
      </c>
      <c r="E1278" s="8" t="s">
        <v>167</v>
      </c>
      <c r="F1278" s="8" t="s">
        <v>4487</v>
      </c>
      <c r="G1278" s="8" t="s">
        <v>4488</v>
      </c>
      <c r="H1278" s="9">
        <v>1500000</v>
      </c>
      <c r="I1278" s="9">
        <f>[1]!Tabel1[[#This Row],[Honorar]]*[1]!Tabel1[[#This Row],[Sandsynlighed]]</f>
        <v>20000</v>
      </c>
      <c r="J1278" s="10" t="s">
        <v>585</v>
      </c>
      <c r="K1278" s="1" t="s">
        <v>1861</v>
      </c>
      <c r="L1278" s="8" t="s">
        <v>4489</v>
      </c>
      <c r="M1278" s="11">
        <v>0.9</v>
      </c>
      <c r="N1278" s="1" t="s">
        <v>4490</v>
      </c>
      <c r="O1278" s="10">
        <v>46196.464861111112</v>
      </c>
      <c r="P1278" s="10" t="s">
        <v>46</v>
      </c>
      <c r="Q1278" s="1" t="s">
        <v>72</v>
      </c>
      <c r="R1278" s="8" t="s">
        <v>343</v>
      </c>
      <c r="S127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7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7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7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7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7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7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7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7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7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7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7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7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78" s="12">
        <f ca="1">[1]!Tabel1[[#This Row],[Vægtet Honorar]]*([1]!Tabel1[[#This Row],[Sidst redigeret]]&gt;TODAY()-40)*([1]!Tabel1[[#This Row],[Er i resplan?]]&lt;&gt;"Ja")*([1]!Tabel1[[#This Row],[Status]]="Pågår")</f>
        <v>0</v>
      </c>
      <c r="AG1278" s="12">
        <f ca="1">[1]!Tabel1[[#This Row],[Vægtet Honorar]]*([1]!Tabel1[[#This Row],[Sidst redigeret]]&gt;TODAY()-40)*([1]!Tabel1[[#This Row],[Status]]="Pågår")</f>
        <v>0</v>
      </c>
      <c r="AH1278" s="13"/>
      <c r="AI1278" s="12"/>
      <c r="AJ1278" s="12"/>
      <c r="AK1278" s="12"/>
      <c r="AL1278" s="12"/>
      <c r="AM1278" s="12"/>
      <c r="AN1278" s="12"/>
      <c r="AO1278" s="12"/>
      <c r="AP1278" s="12"/>
    </row>
    <row r="1279" spans="1:42">
      <c r="A1279" t="s">
        <v>4491</v>
      </c>
      <c r="B1279" s="8"/>
      <c r="C1279" s="8" t="s">
        <v>4492</v>
      </c>
      <c r="D1279" s="8" t="s">
        <v>2886</v>
      </c>
      <c r="E1279" s="8" t="s">
        <v>120</v>
      </c>
      <c r="F1279" s="8" t="s">
        <v>2687</v>
      </c>
      <c r="G1279" s="8" t="s">
        <v>4177</v>
      </c>
      <c r="H1279" s="9">
        <v>1500000</v>
      </c>
      <c r="I1279" s="9">
        <f>[1]!Tabel1[[#This Row],[Honorar]]*[1]!Tabel1[[#This Row],[Sandsynlighed]]</f>
        <v>150000</v>
      </c>
      <c r="J1279" s="10" t="s">
        <v>1287</v>
      </c>
      <c r="K1279" s="1" t="s">
        <v>585</v>
      </c>
      <c r="L1279" s="8"/>
      <c r="M1279" s="11">
        <v>0.2</v>
      </c>
      <c r="N1279" s="1"/>
      <c r="O1279" s="10">
        <v>46269.496979166666</v>
      </c>
      <c r="P1279" s="10" t="s">
        <v>46</v>
      </c>
      <c r="Q1279" s="1" t="s">
        <v>46</v>
      </c>
      <c r="R1279" s="8" t="s">
        <v>75</v>
      </c>
      <c r="S127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7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7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7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7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7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7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7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7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7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7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7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7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79" s="12">
        <f ca="1">[1]!Tabel1[[#This Row],[Vægtet Honorar]]*([1]!Tabel1[[#This Row],[Sidst redigeret]]&gt;TODAY()-40)*([1]!Tabel1[[#This Row],[Er i resplan?]]&lt;&gt;"Ja")*([1]!Tabel1[[#This Row],[Status]]="Pågår")</f>
        <v>0</v>
      </c>
      <c r="AG1279" s="12">
        <f ca="1">[1]!Tabel1[[#This Row],[Vægtet Honorar]]*([1]!Tabel1[[#This Row],[Sidst redigeret]]&gt;TODAY()-40)*([1]!Tabel1[[#This Row],[Status]]="Pågår")</f>
        <v>0</v>
      </c>
      <c r="AH1279" s="13"/>
      <c r="AI1279" s="12"/>
      <c r="AJ1279" s="12" t="s">
        <v>4493</v>
      </c>
      <c r="AK1279" s="12"/>
      <c r="AL1279" s="12"/>
      <c r="AM1279" s="12"/>
      <c r="AN1279" s="12"/>
      <c r="AO1279" s="12"/>
      <c r="AP1279" s="12"/>
    </row>
    <row r="1280" spans="1:42">
      <c r="A1280" t="s">
        <v>4494</v>
      </c>
      <c r="B1280" s="8"/>
      <c r="C1280" s="8" t="s">
        <v>4495</v>
      </c>
      <c r="D1280" s="8" t="s">
        <v>93</v>
      </c>
      <c r="E1280" s="8" t="s">
        <v>94</v>
      </c>
      <c r="F1280" s="8" t="s">
        <v>4496</v>
      </c>
      <c r="G1280" s="8" t="s">
        <v>4496</v>
      </c>
      <c r="H1280" s="9">
        <v>10000000</v>
      </c>
      <c r="I1280" s="9">
        <f>[1]!Tabel1[[#This Row],[Honorar]]*[1]!Tabel1[[#This Row],[Sandsynlighed]]</f>
        <v>60000</v>
      </c>
      <c r="J1280" s="10" t="s">
        <v>1310</v>
      </c>
      <c r="K1280" s="1" t="s">
        <v>1861</v>
      </c>
      <c r="L1280" s="8" t="s">
        <v>3719</v>
      </c>
      <c r="M1280" s="11">
        <v>0.05</v>
      </c>
      <c r="N1280" s="1">
        <v>15000</v>
      </c>
      <c r="O1280" s="10">
        <v>46209.61791666667</v>
      </c>
      <c r="P1280" s="1" t="s">
        <v>46</v>
      </c>
      <c r="Q1280" s="1" t="s">
        <v>72</v>
      </c>
      <c r="R1280" s="8" t="s">
        <v>49</v>
      </c>
      <c r="S128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8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8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8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8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8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8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8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8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8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8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8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8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80" s="12">
        <f ca="1">[1]!Tabel1[[#This Row],[Vægtet Honorar]]*([1]!Tabel1[[#This Row],[Sidst redigeret]]&gt;TODAY()-40)*([1]!Tabel1[[#This Row],[Er i resplan?]]&lt;&gt;"Ja")*([1]!Tabel1[[#This Row],[Status]]="Pågår")</f>
        <v>0</v>
      </c>
      <c r="AG1280" s="12">
        <f ca="1">[1]!Tabel1[[#This Row],[Vægtet Honorar]]*([1]!Tabel1[[#This Row],[Sidst redigeret]]&gt;TODAY()-40)*([1]!Tabel1[[#This Row],[Status]]="Pågår")</f>
        <v>0</v>
      </c>
      <c r="AH1280" s="13"/>
      <c r="AI1280" s="12"/>
      <c r="AJ1280" s="12"/>
      <c r="AK1280" s="12"/>
      <c r="AL1280" s="12"/>
      <c r="AM1280" s="12"/>
      <c r="AN1280" s="12"/>
      <c r="AO1280" s="12"/>
      <c r="AP1280" s="12"/>
    </row>
    <row r="1281" spans="1:42">
      <c r="A1281" t="s">
        <v>4497</v>
      </c>
      <c r="B1281" s="8"/>
      <c r="C1281" s="8" t="s">
        <v>4498</v>
      </c>
      <c r="D1281" s="8" t="s">
        <v>421</v>
      </c>
      <c r="E1281" s="8" t="s">
        <v>120</v>
      </c>
      <c r="F1281" s="8" t="s">
        <v>4499</v>
      </c>
      <c r="G1281" s="8" t="s">
        <v>2393</v>
      </c>
      <c r="H1281" s="9">
        <v>2500000</v>
      </c>
      <c r="I1281" s="9">
        <f>[1]!Tabel1[[#This Row],[Honorar]]*[1]!Tabel1[[#This Row],[Sandsynlighed]]</f>
        <v>67500</v>
      </c>
      <c r="J1281" s="10" t="s">
        <v>1310</v>
      </c>
      <c r="K1281" s="1" t="s">
        <v>585</v>
      </c>
      <c r="L1281" s="8" t="s">
        <v>4500</v>
      </c>
      <c r="M1281" s="11">
        <v>0.9</v>
      </c>
      <c r="N1281" s="1">
        <v>7000</v>
      </c>
      <c r="O1281" s="10">
        <v>46269.497060185182</v>
      </c>
      <c r="P1281" s="10" t="s">
        <v>46</v>
      </c>
      <c r="Q1281" s="1" t="s">
        <v>46</v>
      </c>
      <c r="R1281" s="8" t="s">
        <v>47</v>
      </c>
      <c r="S128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8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8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8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8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8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8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8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8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8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8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8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8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81" s="12">
        <f ca="1">[1]!Tabel1[[#This Row],[Vægtet Honorar]]*([1]!Tabel1[[#This Row],[Sidst redigeret]]&gt;TODAY()-40)*([1]!Tabel1[[#This Row],[Er i resplan?]]&lt;&gt;"Ja")*([1]!Tabel1[[#This Row],[Status]]="Pågår")</f>
        <v>0</v>
      </c>
      <c r="AG1281" s="12">
        <f ca="1">[1]!Tabel1[[#This Row],[Vægtet Honorar]]*([1]!Tabel1[[#This Row],[Sidst redigeret]]&gt;TODAY()-40)*([1]!Tabel1[[#This Row],[Status]]="Pågår")</f>
        <v>0</v>
      </c>
      <c r="AH1281" s="13">
        <v>46269.497060185182</v>
      </c>
      <c r="AI1281" s="12"/>
      <c r="AJ1281" s="12"/>
      <c r="AK1281" s="12"/>
      <c r="AL1281" s="12"/>
      <c r="AM1281" s="12"/>
      <c r="AN1281" s="12"/>
      <c r="AO1281" s="12"/>
      <c r="AP1281" s="12"/>
    </row>
    <row r="1282" spans="1:42">
      <c r="A1282" t="s">
        <v>4501</v>
      </c>
      <c r="B1282" s="8"/>
      <c r="C1282" s="8" t="s">
        <v>4468</v>
      </c>
      <c r="D1282" s="8" t="s">
        <v>1771</v>
      </c>
      <c r="E1282" s="8" t="s">
        <v>167</v>
      </c>
      <c r="F1282" s="8" t="s">
        <v>4468</v>
      </c>
      <c r="G1282" s="8"/>
      <c r="H1282" s="9">
        <v>2000000</v>
      </c>
      <c r="I1282" s="9">
        <f>[1]!Tabel1[[#This Row],[Honorar]]*[1]!Tabel1[[#This Row],[Sandsynlighed]]</f>
        <v>75000</v>
      </c>
      <c r="J1282" s="10" t="s">
        <v>1062</v>
      </c>
      <c r="K1282" s="1" t="s">
        <v>898</v>
      </c>
      <c r="L1282" s="8" t="s">
        <v>2283</v>
      </c>
      <c r="M1282" s="11">
        <v>0</v>
      </c>
      <c r="N1282" s="1"/>
      <c r="O1282" s="10">
        <v>45909.441562499997</v>
      </c>
      <c r="P1282" s="10"/>
      <c r="Q1282" s="1" t="s">
        <v>72</v>
      </c>
      <c r="R1282" s="8" t="s">
        <v>4502</v>
      </c>
      <c r="S128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8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8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8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8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8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8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8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8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8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8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8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8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82" s="12">
        <f ca="1">[1]!Tabel1[[#This Row],[Vægtet Honorar]]*([1]!Tabel1[[#This Row],[Sidst redigeret]]&gt;TODAY()-40)*([1]!Tabel1[[#This Row],[Er i resplan?]]&lt;&gt;"Ja")*([1]!Tabel1[[#This Row],[Status]]="Pågår")</f>
        <v>0</v>
      </c>
      <c r="AG1282" s="12">
        <f ca="1">[1]!Tabel1[[#This Row],[Vægtet Honorar]]*([1]!Tabel1[[#This Row],[Sidst redigeret]]&gt;TODAY()-40)*([1]!Tabel1[[#This Row],[Status]]="Pågår")</f>
        <v>0</v>
      </c>
      <c r="AH1282" s="13"/>
      <c r="AI1282" s="12"/>
      <c r="AJ1282" s="12"/>
      <c r="AK1282" s="12"/>
      <c r="AL1282" s="12"/>
      <c r="AM1282" s="12"/>
      <c r="AN1282" s="12"/>
      <c r="AO1282" s="12"/>
      <c r="AP1282" s="12"/>
    </row>
    <row r="1283" spans="1:42">
      <c r="A1283" t="s">
        <v>4503</v>
      </c>
      <c r="B1283" s="8"/>
      <c r="C1283" s="8" t="s">
        <v>4504</v>
      </c>
      <c r="D1283" s="8" t="s">
        <v>1771</v>
      </c>
      <c r="E1283" s="8" t="s">
        <v>167</v>
      </c>
      <c r="F1283" s="8" t="s">
        <v>4505</v>
      </c>
      <c r="G1283" s="8" t="s">
        <v>4506</v>
      </c>
      <c r="H1283" s="9">
        <v>2000000</v>
      </c>
      <c r="I1283" s="9">
        <f>[1]!Tabel1[[#This Row],[Honorar]]*[1]!Tabel1[[#This Row],[Sandsynlighed]]</f>
        <v>1350000</v>
      </c>
      <c r="J1283" s="10" t="s">
        <v>341</v>
      </c>
      <c r="K1283" s="1" t="s">
        <v>1062</v>
      </c>
      <c r="L1283" s="8" t="s">
        <v>4470</v>
      </c>
      <c r="M1283" s="11">
        <v>0</v>
      </c>
      <c r="N1283" s="1"/>
      <c r="O1283" s="10">
        <v>45989.553032407406</v>
      </c>
      <c r="P1283" s="10" t="s">
        <v>46</v>
      </c>
      <c r="Q1283" s="1" t="s">
        <v>4507</v>
      </c>
      <c r="R1283" s="8" t="s">
        <v>75</v>
      </c>
      <c r="S128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8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8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8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8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8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8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8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8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8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8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8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8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83" s="12">
        <f ca="1">[1]!Tabel1[[#This Row],[Vægtet Honorar]]*([1]!Tabel1[[#This Row],[Sidst redigeret]]&gt;TODAY()-40)*([1]!Tabel1[[#This Row],[Er i resplan?]]&lt;&gt;"Ja")*([1]!Tabel1[[#This Row],[Status]]="Pågår")</f>
        <v>0</v>
      </c>
      <c r="AG1283" s="12">
        <f ca="1">[1]!Tabel1[[#This Row],[Vægtet Honorar]]*([1]!Tabel1[[#This Row],[Sidst redigeret]]&gt;TODAY()-40)*([1]!Tabel1[[#This Row],[Status]]="Pågår")</f>
        <v>0</v>
      </c>
      <c r="AH1283" s="13">
        <v>45989</v>
      </c>
      <c r="AI1283" s="12"/>
      <c r="AJ1283" s="12" t="s">
        <v>4508</v>
      </c>
      <c r="AK1283" s="12" t="s">
        <v>4509</v>
      </c>
      <c r="AL1283" s="12"/>
      <c r="AM1283" s="12"/>
      <c r="AN1283" s="12"/>
      <c r="AO1283" s="12"/>
      <c r="AP1283" s="12"/>
    </row>
    <row r="1284" spans="1:42">
      <c r="A1284" t="s">
        <v>4510</v>
      </c>
      <c r="B1284" s="8"/>
      <c r="C1284" s="8" t="s">
        <v>4511</v>
      </c>
      <c r="D1284" s="8" t="s">
        <v>134</v>
      </c>
      <c r="E1284" s="8" t="s">
        <v>94</v>
      </c>
      <c r="F1284" s="8" t="s">
        <v>2269</v>
      </c>
      <c r="G1284" s="8" t="s">
        <v>2269</v>
      </c>
      <c r="H1284" s="9">
        <v>65000</v>
      </c>
      <c r="I1284" s="9">
        <f>[1]!Tabel1[[#This Row],[Honorar]]*[1]!Tabel1[[#This Row],[Sandsynlighed]]</f>
        <v>300000</v>
      </c>
      <c r="J1284" s="10" t="s">
        <v>1287</v>
      </c>
      <c r="K1284" s="1" t="s">
        <v>1310</v>
      </c>
      <c r="L1284" s="8" t="s">
        <v>4512</v>
      </c>
      <c r="M1284" s="11">
        <v>0.5</v>
      </c>
      <c r="N1284" s="1"/>
      <c r="O1284" s="10">
        <v>45909.441562499997</v>
      </c>
      <c r="P1284" s="1" t="s">
        <v>46</v>
      </c>
      <c r="Q1284" s="1" t="s">
        <v>72</v>
      </c>
      <c r="R1284" s="8" t="s">
        <v>49</v>
      </c>
      <c r="S128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8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8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8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8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8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8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8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8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8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8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8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8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84" s="12">
        <f ca="1">[1]!Tabel1[[#This Row],[Vægtet Honorar]]*([1]!Tabel1[[#This Row],[Sidst redigeret]]&gt;TODAY()-40)*([1]!Tabel1[[#This Row],[Er i resplan?]]&lt;&gt;"Ja")*([1]!Tabel1[[#This Row],[Status]]="Pågår")</f>
        <v>0</v>
      </c>
      <c r="AG1284" s="12">
        <f ca="1">[1]!Tabel1[[#This Row],[Vægtet Honorar]]*([1]!Tabel1[[#This Row],[Sidst redigeret]]&gt;TODAY()-40)*([1]!Tabel1[[#This Row],[Status]]="Pågår")</f>
        <v>0</v>
      </c>
      <c r="AH1284" s="13"/>
      <c r="AI1284" s="12"/>
      <c r="AJ1284" s="12"/>
      <c r="AK1284" s="12"/>
      <c r="AL1284" s="12"/>
      <c r="AM1284" s="12"/>
      <c r="AN1284" s="12"/>
      <c r="AO1284" s="12"/>
      <c r="AP1284" s="12"/>
    </row>
    <row r="1285" spans="1:42">
      <c r="A1285" t="s">
        <v>4513</v>
      </c>
      <c r="B1285" s="8"/>
      <c r="C1285" s="8" t="s">
        <v>4514</v>
      </c>
      <c r="D1285" s="8" t="s">
        <v>896</v>
      </c>
      <c r="E1285" s="8" t="s">
        <v>94</v>
      </c>
      <c r="F1285" s="8" t="s">
        <v>3335</v>
      </c>
      <c r="G1285" s="8" t="s">
        <v>4515</v>
      </c>
      <c r="H1285" s="9">
        <v>4000000</v>
      </c>
      <c r="I1285" s="9">
        <f>[1]!Tabel1[[#This Row],[Honorar]]*[1]!Tabel1[[#This Row],[Sandsynlighed]]</f>
        <v>500000</v>
      </c>
      <c r="J1285" s="10" t="s">
        <v>1287</v>
      </c>
      <c r="K1285" s="1" t="s">
        <v>1310</v>
      </c>
      <c r="L1285" s="8" t="s">
        <v>4516</v>
      </c>
      <c r="M1285" s="11">
        <v>0.01</v>
      </c>
      <c r="N1285" s="1"/>
      <c r="O1285" s="10">
        <v>45909.441562499997</v>
      </c>
      <c r="P1285" s="1" t="s">
        <v>46</v>
      </c>
      <c r="Q1285" s="1" t="s">
        <v>72</v>
      </c>
      <c r="R1285" s="8" t="s">
        <v>75</v>
      </c>
      <c r="S128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8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8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8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8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8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8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8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8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8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8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8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8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85" s="12">
        <f ca="1">[1]!Tabel1[[#This Row],[Vægtet Honorar]]*([1]!Tabel1[[#This Row],[Sidst redigeret]]&gt;TODAY()-40)*([1]!Tabel1[[#This Row],[Er i resplan?]]&lt;&gt;"Ja")*([1]!Tabel1[[#This Row],[Status]]="Pågår")</f>
        <v>0</v>
      </c>
      <c r="AG1285" s="12">
        <f ca="1">[1]!Tabel1[[#This Row],[Vægtet Honorar]]*([1]!Tabel1[[#This Row],[Sidst redigeret]]&gt;TODAY()-40)*([1]!Tabel1[[#This Row],[Status]]="Pågår")</f>
        <v>0</v>
      </c>
      <c r="AH1285" s="13"/>
      <c r="AI1285" s="12"/>
      <c r="AJ1285" s="12" t="s">
        <v>4517</v>
      </c>
      <c r="AK1285" s="12"/>
      <c r="AL1285" s="12"/>
      <c r="AM1285" s="12"/>
      <c r="AN1285" s="12"/>
      <c r="AO1285" s="12"/>
      <c r="AP1285" s="12"/>
    </row>
    <row r="1286" spans="1:42">
      <c r="A1286" t="s">
        <v>4518</v>
      </c>
      <c r="B1286" s="8"/>
      <c r="C1286" s="8" t="s">
        <v>4519</v>
      </c>
      <c r="D1286" s="8" t="s">
        <v>1886</v>
      </c>
      <c r="E1286" s="8" t="s">
        <v>94</v>
      </c>
      <c r="F1286" s="8" t="s">
        <v>4520</v>
      </c>
      <c r="G1286" s="8" t="s">
        <v>4520</v>
      </c>
      <c r="H1286" s="9">
        <v>30000</v>
      </c>
      <c r="I1286" s="9">
        <f>[1]!Tabel1[[#This Row],[Honorar]]*[1]!Tabel1[[#This Row],[Sandsynlighed]]</f>
        <v>2250000</v>
      </c>
      <c r="J1286" s="10" t="s">
        <v>1287</v>
      </c>
      <c r="K1286" s="1" t="s">
        <v>1287</v>
      </c>
      <c r="L1286" s="8" t="s">
        <v>4521</v>
      </c>
      <c r="M1286" s="11">
        <v>0.95</v>
      </c>
      <c r="N1286" s="1">
        <v>500</v>
      </c>
      <c r="O1286" s="10">
        <v>45909.441562499997</v>
      </c>
      <c r="P1286" s="1" t="s">
        <v>46</v>
      </c>
      <c r="Q1286" s="1" t="s">
        <v>72</v>
      </c>
      <c r="R1286" s="8" t="s">
        <v>47</v>
      </c>
      <c r="S128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8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8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8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8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8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8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8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8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8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8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8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8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86" s="12">
        <f ca="1">[1]!Tabel1[[#This Row],[Vægtet Honorar]]*([1]!Tabel1[[#This Row],[Sidst redigeret]]&gt;TODAY()-40)*([1]!Tabel1[[#This Row],[Er i resplan?]]&lt;&gt;"Ja")*([1]!Tabel1[[#This Row],[Status]]="Pågår")</f>
        <v>0</v>
      </c>
      <c r="AG1286" s="12">
        <f ca="1">[1]!Tabel1[[#This Row],[Vægtet Honorar]]*([1]!Tabel1[[#This Row],[Sidst redigeret]]&gt;TODAY()-40)*([1]!Tabel1[[#This Row],[Status]]="Pågår")</f>
        <v>0</v>
      </c>
      <c r="AH1286" s="13">
        <v>45909.441620370373</v>
      </c>
      <c r="AI1286" s="12"/>
      <c r="AJ1286" s="12"/>
      <c r="AK1286" s="12"/>
      <c r="AL1286" s="12"/>
      <c r="AM1286" s="12"/>
      <c r="AN1286" s="12"/>
      <c r="AO1286" s="12"/>
      <c r="AP1286" s="12"/>
    </row>
    <row r="1287" spans="1:42">
      <c r="A1287" t="s">
        <v>4522</v>
      </c>
      <c r="B1287" s="8"/>
      <c r="C1287" s="8" t="s">
        <v>4523</v>
      </c>
      <c r="D1287" s="8" t="s">
        <v>4254</v>
      </c>
      <c r="E1287" s="8" t="s">
        <v>167</v>
      </c>
      <c r="F1287" s="8" t="s">
        <v>888</v>
      </c>
      <c r="G1287" s="8" t="s">
        <v>888</v>
      </c>
      <c r="H1287" s="9">
        <v>100000</v>
      </c>
      <c r="I1287" s="9">
        <f>[1]!Tabel1[[#This Row],[Honorar]]*[1]!Tabel1[[#This Row],[Sandsynlighed]]</f>
        <v>0</v>
      </c>
      <c r="J1287" s="10" t="s">
        <v>1287</v>
      </c>
      <c r="K1287" s="1" t="s">
        <v>1191</v>
      </c>
      <c r="L1287" s="8"/>
      <c r="M1287" s="11">
        <v>0.95</v>
      </c>
      <c r="N1287" s="1"/>
      <c r="O1287" s="10">
        <v>45909.441562499997</v>
      </c>
      <c r="P1287" s="10"/>
      <c r="Q1287" s="1" t="s">
        <v>72</v>
      </c>
      <c r="R1287" s="8" t="s">
        <v>343</v>
      </c>
      <c r="S128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8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8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8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8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8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8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8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8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8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8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8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8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87" s="12">
        <f ca="1">[1]!Tabel1[[#This Row],[Vægtet Honorar]]*([1]!Tabel1[[#This Row],[Sidst redigeret]]&gt;TODAY()-40)*([1]!Tabel1[[#This Row],[Er i resplan?]]&lt;&gt;"Ja")*([1]!Tabel1[[#This Row],[Status]]="Pågår")</f>
        <v>0</v>
      </c>
      <c r="AG1287" s="12">
        <f ca="1">[1]!Tabel1[[#This Row],[Vægtet Honorar]]*([1]!Tabel1[[#This Row],[Sidst redigeret]]&gt;TODAY()-40)*([1]!Tabel1[[#This Row],[Status]]="Pågår")</f>
        <v>0</v>
      </c>
      <c r="AH1287" s="13"/>
      <c r="AI1287" s="12"/>
      <c r="AJ1287" s="12"/>
      <c r="AK1287" s="12"/>
      <c r="AL1287" s="12"/>
      <c r="AM1287" s="12"/>
      <c r="AN1287" s="12"/>
      <c r="AO1287" s="12"/>
      <c r="AP1287" s="12"/>
    </row>
    <row r="1288" spans="1:42">
      <c r="A1288" t="s">
        <v>4524</v>
      </c>
      <c r="B1288" s="8"/>
      <c r="C1288" s="8" t="s">
        <v>4525</v>
      </c>
      <c r="D1288" s="8" t="s">
        <v>93</v>
      </c>
      <c r="E1288" s="8" t="s">
        <v>94</v>
      </c>
      <c r="F1288" s="8" t="s">
        <v>4526</v>
      </c>
      <c r="G1288" s="8" t="s">
        <v>2211</v>
      </c>
      <c r="H1288" s="9">
        <v>200000</v>
      </c>
      <c r="I1288" s="9">
        <f>[1]!Tabel1[[#This Row],[Honorar]]*[1]!Tabel1[[#This Row],[Sandsynlighed]]</f>
        <v>0</v>
      </c>
      <c r="J1288" s="10" t="s">
        <v>1287</v>
      </c>
      <c r="K1288" s="1" t="s">
        <v>342</v>
      </c>
      <c r="L1288" s="8" t="s">
        <v>4527</v>
      </c>
      <c r="M1288" s="11">
        <v>0.5</v>
      </c>
      <c r="N1288" s="1">
        <v>300</v>
      </c>
      <c r="O1288" s="10">
        <v>45910.488715277781</v>
      </c>
      <c r="P1288" s="1" t="s">
        <v>46</v>
      </c>
      <c r="Q1288" s="1" t="s">
        <v>72</v>
      </c>
      <c r="R1288" s="8" t="s">
        <v>49</v>
      </c>
      <c r="S128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8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8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8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8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8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8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8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8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8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8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8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8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88" s="12">
        <f ca="1">[1]!Tabel1[[#This Row],[Vægtet Honorar]]*([1]!Tabel1[[#This Row],[Sidst redigeret]]&gt;TODAY()-40)*([1]!Tabel1[[#This Row],[Er i resplan?]]&lt;&gt;"Ja")*([1]!Tabel1[[#This Row],[Status]]="Pågår")</f>
        <v>0</v>
      </c>
      <c r="AG1288" s="12">
        <f ca="1">[1]!Tabel1[[#This Row],[Vægtet Honorar]]*([1]!Tabel1[[#This Row],[Sidst redigeret]]&gt;TODAY()-40)*([1]!Tabel1[[#This Row],[Status]]="Pågår")</f>
        <v>0</v>
      </c>
      <c r="AH1288" s="13"/>
      <c r="AI1288" s="12"/>
      <c r="AJ1288" s="12"/>
      <c r="AK1288" s="12"/>
      <c r="AL1288" s="12"/>
      <c r="AM1288" s="12"/>
      <c r="AN1288" s="12"/>
      <c r="AO1288" s="12"/>
      <c r="AP1288" s="12"/>
    </row>
    <row r="1289" spans="1:42">
      <c r="A1289" t="s">
        <v>4528</v>
      </c>
      <c r="B1289" s="8"/>
      <c r="C1289" s="8" t="s">
        <v>4529</v>
      </c>
      <c r="D1289" s="8" t="s">
        <v>2886</v>
      </c>
      <c r="E1289" s="8" t="s">
        <v>120</v>
      </c>
      <c r="F1289" s="8" t="s">
        <v>691</v>
      </c>
      <c r="G1289" s="8" t="s">
        <v>4530</v>
      </c>
      <c r="H1289" s="9">
        <v>1500000</v>
      </c>
      <c r="I1289" s="9">
        <f>[1]!Tabel1[[#This Row],[Honorar]]*[1]!Tabel1[[#This Row],[Sandsynlighed]]</f>
        <v>32500</v>
      </c>
      <c r="J1289" s="10" t="s">
        <v>1310</v>
      </c>
      <c r="K1289" s="1" t="s">
        <v>2405</v>
      </c>
      <c r="L1289" s="8"/>
      <c r="M1289" s="11">
        <v>0.05</v>
      </c>
      <c r="N1289" s="1"/>
      <c r="O1289" s="10">
        <v>45909.441562499997</v>
      </c>
      <c r="P1289" s="10" t="s">
        <v>46</v>
      </c>
      <c r="Q1289" s="1" t="s">
        <v>72</v>
      </c>
      <c r="R1289" s="8" t="s">
        <v>343</v>
      </c>
      <c r="S128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8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8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8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8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8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8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8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8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8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8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8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8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89" s="12">
        <f ca="1">[1]!Tabel1[[#This Row],[Vægtet Honorar]]*([1]!Tabel1[[#This Row],[Sidst redigeret]]&gt;TODAY()-40)*([1]!Tabel1[[#This Row],[Er i resplan?]]&lt;&gt;"Ja")*([1]!Tabel1[[#This Row],[Status]]="Pågår")</f>
        <v>0</v>
      </c>
      <c r="AG1289" s="12">
        <f ca="1">[1]!Tabel1[[#This Row],[Vægtet Honorar]]*([1]!Tabel1[[#This Row],[Sidst redigeret]]&gt;TODAY()-40)*([1]!Tabel1[[#This Row],[Status]]="Pågår")</f>
        <v>0</v>
      </c>
      <c r="AH1289" s="13"/>
      <c r="AI1289" s="12"/>
      <c r="AJ1289" s="12" t="s">
        <v>2005</v>
      </c>
      <c r="AK1289" s="12"/>
      <c r="AL1289" s="12"/>
      <c r="AM1289" s="12"/>
      <c r="AN1289" s="12"/>
      <c r="AO1289" s="12"/>
      <c r="AP1289" s="12"/>
    </row>
    <row r="1290" spans="1:42">
      <c r="A1290" t="s">
        <v>4531</v>
      </c>
      <c r="B1290" s="8"/>
      <c r="C1290" s="8" t="s">
        <v>4532</v>
      </c>
      <c r="D1290" s="8" t="s">
        <v>720</v>
      </c>
      <c r="E1290" s="8" t="s">
        <v>71</v>
      </c>
      <c r="F1290" s="8" t="s">
        <v>4533</v>
      </c>
      <c r="G1290" s="8" t="s">
        <v>4533</v>
      </c>
      <c r="H1290" s="9">
        <v>1000000</v>
      </c>
      <c r="I1290" s="9">
        <f>[1]!Tabel1[[#This Row],[Honorar]]*[1]!Tabel1[[#This Row],[Sandsynlighed]]</f>
        <v>40000</v>
      </c>
      <c r="J1290" s="10" t="s">
        <v>1287</v>
      </c>
      <c r="K1290" s="1" t="s">
        <v>341</v>
      </c>
      <c r="L1290" s="8"/>
      <c r="M1290" s="11">
        <v>0</v>
      </c>
      <c r="N1290" s="1"/>
      <c r="O1290" s="10">
        <v>45909.441562499997</v>
      </c>
      <c r="P1290" s="10" t="s">
        <v>46</v>
      </c>
      <c r="Q1290" s="1" t="s">
        <v>72</v>
      </c>
      <c r="R1290" s="8" t="s">
        <v>343</v>
      </c>
      <c r="S129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9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9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9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9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9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9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9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9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9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9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9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9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90" s="12">
        <f ca="1">[1]!Tabel1[[#This Row],[Vægtet Honorar]]*([1]!Tabel1[[#This Row],[Sidst redigeret]]&gt;TODAY()-40)*([1]!Tabel1[[#This Row],[Er i resplan?]]&lt;&gt;"Ja")*([1]!Tabel1[[#This Row],[Status]]="Pågår")</f>
        <v>0</v>
      </c>
      <c r="AG1290" s="12">
        <f ca="1">[1]!Tabel1[[#This Row],[Vægtet Honorar]]*([1]!Tabel1[[#This Row],[Sidst redigeret]]&gt;TODAY()-40)*([1]!Tabel1[[#This Row],[Status]]="Pågår")</f>
        <v>0</v>
      </c>
      <c r="AH1290" s="13"/>
      <c r="AI1290" s="12"/>
      <c r="AJ1290" s="12"/>
      <c r="AK1290" s="12"/>
      <c r="AL1290" s="12"/>
      <c r="AM1290" s="12"/>
      <c r="AN1290" s="12"/>
      <c r="AO1290" s="12"/>
      <c r="AP1290" s="12"/>
    </row>
    <row r="1291" spans="1:42">
      <c r="A1291" t="s">
        <v>4534</v>
      </c>
      <c r="B1291" s="8"/>
      <c r="C1291" s="8" t="s">
        <v>4535</v>
      </c>
      <c r="D1291" s="8" t="s">
        <v>358</v>
      </c>
      <c r="E1291" s="8" t="s">
        <v>102</v>
      </c>
      <c r="F1291" s="8" t="s">
        <v>2758</v>
      </c>
      <c r="G1291" s="8" t="s">
        <v>2759</v>
      </c>
      <c r="H1291" s="9">
        <v>1400000</v>
      </c>
      <c r="I1291" s="9">
        <f>[1]!Tabel1[[#This Row],[Honorar]]*[1]!Tabel1[[#This Row],[Sandsynlighed]]</f>
        <v>28500</v>
      </c>
      <c r="J1291" s="10" t="s">
        <v>1287</v>
      </c>
      <c r="K1291" s="1" t="s">
        <v>341</v>
      </c>
      <c r="L1291" s="8" t="s">
        <v>4536</v>
      </c>
      <c r="M1291" s="11">
        <v>0.75</v>
      </c>
      <c r="N1291" s="1">
        <v>970</v>
      </c>
      <c r="O1291" s="10">
        <v>45909.441562499997</v>
      </c>
      <c r="P1291" s="10" t="s">
        <v>46</v>
      </c>
      <c r="Q1291" s="1" t="s">
        <v>72</v>
      </c>
      <c r="R1291" s="8" t="s">
        <v>47</v>
      </c>
      <c r="S129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9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9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9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9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9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9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9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9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9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9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9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9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91" s="12">
        <f ca="1">[1]!Tabel1[[#This Row],[Vægtet Honorar]]*([1]!Tabel1[[#This Row],[Sidst redigeret]]&gt;TODAY()-40)*([1]!Tabel1[[#This Row],[Er i resplan?]]&lt;&gt;"Ja")*([1]!Tabel1[[#This Row],[Status]]="Pågår")</f>
        <v>0</v>
      </c>
      <c r="AG1291" s="12">
        <f ca="1">[1]!Tabel1[[#This Row],[Vægtet Honorar]]*([1]!Tabel1[[#This Row],[Sidst redigeret]]&gt;TODAY()-40)*([1]!Tabel1[[#This Row],[Status]]="Pågår")</f>
        <v>0</v>
      </c>
      <c r="AH1291" s="13">
        <v>45909.441620370373</v>
      </c>
      <c r="AI1291" s="12"/>
      <c r="AJ1291" s="12"/>
      <c r="AK1291" s="12"/>
      <c r="AL1291" s="12"/>
      <c r="AM1291" s="12"/>
      <c r="AN1291" s="12"/>
      <c r="AO1291" s="12"/>
      <c r="AP1291" s="12"/>
    </row>
    <row r="1292" spans="1:42" ht="120">
      <c r="A1292" t="s">
        <v>4537</v>
      </c>
      <c r="B1292" s="8"/>
      <c r="C1292" s="8" t="s">
        <v>4538</v>
      </c>
      <c r="D1292" s="8" t="s">
        <v>4539</v>
      </c>
      <c r="E1292" s="8" t="s">
        <v>94</v>
      </c>
      <c r="F1292" s="8" t="s">
        <v>4082</v>
      </c>
      <c r="G1292" s="8" t="s">
        <v>4082</v>
      </c>
      <c r="H1292" s="9">
        <v>100000</v>
      </c>
      <c r="I1292" s="9">
        <f>[1]!Tabel1[[#This Row],[Honorar]]*[1]!Tabel1[[#This Row],[Sandsynlighed]]</f>
        <v>95000</v>
      </c>
      <c r="J1292" s="10" t="s">
        <v>341</v>
      </c>
      <c r="K1292" s="1" t="s">
        <v>452</v>
      </c>
      <c r="L1292" s="17" t="s">
        <v>4540</v>
      </c>
      <c r="M1292" s="11">
        <v>0.1</v>
      </c>
      <c r="N1292" s="1">
        <v>24000</v>
      </c>
      <c r="O1292" s="10">
        <v>46267.390150462961</v>
      </c>
      <c r="P1292" s="1" t="s">
        <v>46</v>
      </c>
      <c r="Q1292" s="1" t="s">
        <v>46</v>
      </c>
      <c r="R1292" s="8" t="s">
        <v>47</v>
      </c>
      <c r="S129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9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9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9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9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9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9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9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9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9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9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9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9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92" s="12">
        <f ca="1">[1]!Tabel1[[#This Row],[Vægtet Honorar]]*([1]!Tabel1[[#This Row],[Sidst redigeret]]&gt;TODAY()-40)*([1]!Tabel1[[#This Row],[Er i resplan?]]&lt;&gt;"Ja")*([1]!Tabel1[[#This Row],[Status]]="Pågår")</f>
        <v>0</v>
      </c>
      <c r="AG1292" s="12">
        <f ca="1">[1]!Tabel1[[#This Row],[Vægtet Honorar]]*([1]!Tabel1[[#This Row],[Sidst redigeret]]&gt;TODAY()-40)*([1]!Tabel1[[#This Row],[Status]]="Pågår")</f>
        <v>0</v>
      </c>
      <c r="AH1292" s="13">
        <v>46267.390150462961</v>
      </c>
      <c r="AI1292" s="12"/>
      <c r="AJ1292" s="12"/>
      <c r="AK1292" s="12"/>
      <c r="AL1292" s="12"/>
      <c r="AM1292" s="12"/>
      <c r="AN1292" s="12"/>
      <c r="AO1292" s="12"/>
      <c r="AP1292" s="12"/>
    </row>
    <row r="1293" spans="1:42">
      <c r="A1293" t="s">
        <v>4541</v>
      </c>
      <c r="B1293" s="8"/>
      <c r="C1293" s="8" t="s">
        <v>4542</v>
      </c>
      <c r="D1293" s="8" t="s">
        <v>1771</v>
      </c>
      <c r="E1293" s="8" t="s">
        <v>167</v>
      </c>
      <c r="F1293" s="8" t="s">
        <v>4543</v>
      </c>
      <c r="G1293" s="8"/>
      <c r="H1293" s="9">
        <v>8400000</v>
      </c>
      <c r="I1293" s="9">
        <f>[1]!Tabel1[[#This Row],[Honorar]]*[1]!Tabel1[[#This Row],[Sandsynlighed]]</f>
        <v>100000</v>
      </c>
      <c r="J1293" s="10" t="s">
        <v>2405</v>
      </c>
      <c r="K1293" s="1" t="s">
        <v>898</v>
      </c>
      <c r="L1293" s="8" t="s">
        <v>4544</v>
      </c>
      <c r="M1293" s="11">
        <v>0</v>
      </c>
      <c r="N1293" s="1" t="s">
        <v>4545</v>
      </c>
      <c r="O1293" s="10">
        <v>46168.473379629628</v>
      </c>
      <c r="P1293" s="10"/>
      <c r="Q1293" s="1" t="s">
        <v>72</v>
      </c>
      <c r="R1293" s="8" t="s">
        <v>49</v>
      </c>
      <c r="S129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9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9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9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9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9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9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9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9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9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9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9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9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93" s="12">
        <f ca="1">[1]!Tabel1[[#This Row],[Vægtet Honorar]]*([1]!Tabel1[[#This Row],[Sidst redigeret]]&gt;TODAY()-40)*([1]!Tabel1[[#This Row],[Er i resplan?]]&lt;&gt;"Ja")*([1]!Tabel1[[#This Row],[Status]]="Pågår")</f>
        <v>0</v>
      </c>
      <c r="AG1293" s="12">
        <f ca="1">[1]!Tabel1[[#This Row],[Vægtet Honorar]]*([1]!Tabel1[[#This Row],[Sidst redigeret]]&gt;TODAY()-40)*([1]!Tabel1[[#This Row],[Status]]="Pågår")</f>
        <v>0</v>
      </c>
      <c r="AH1293" s="13"/>
      <c r="AI1293" s="12"/>
      <c r="AJ1293" s="12" t="s">
        <v>4546</v>
      </c>
      <c r="AK1293" s="12" t="s">
        <v>4547</v>
      </c>
      <c r="AL1293" s="12"/>
      <c r="AM1293" s="12"/>
      <c r="AN1293" s="12"/>
      <c r="AO1293" s="12"/>
      <c r="AP1293" s="12"/>
    </row>
    <row r="1294" spans="1:42">
      <c r="A1294" t="s">
        <v>4548</v>
      </c>
      <c r="B1294" s="8"/>
      <c r="C1294" s="8" t="s">
        <v>4549</v>
      </c>
      <c r="D1294" s="8" t="s">
        <v>1771</v>
      </c>
      <c r="E1294" s="8" t="s">
        <v>167</v>
      </c>
      <c r="F1294" s="8" t="s">
        <v>4550</v>
      </c>
      <c r="G1294" s="8" t="s">
        <v>4550</v>
      </c>
      <c r="H1294" s="9">
        <v>5000000</v>
      </c>
      <c r="I1294" s="9">
        <f>[1]!Tabel1[[#This Row],[Honorar]]*[1]!Tabel1[[#This Row],[Sandsynlighed]]</f>
        <v>75000</v>
      </c>
      <c r="J1294" s="10" t="s">
        <v>1310</v>
      </c>
      <c r="K1294" s="1" t="s">
        <v>1861</v>
      </c>
      <c r="L1294" s="8" t="s">
        <v>4551</v>
      </c>
      <c r="M1294" s="11">
        <v>0</v>
      </c>
      <c r="N1294" s="1" t="s">
        <v>4552</v>
      </c>
      <c r="O1294" s="10">
        <v>46168.47284722222</v>
      </c>
      <c r="P1294" s="10" t="s">
        <v>46</v>
      </c>
      <c r="Q1294" s="1" t="s">
        <v>72</v>
      </c>
      <c r="R1294" s="8" t="s">
        <v>49</v>
      </c>
      <c r="S129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9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9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9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9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9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9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9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9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9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9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9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9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94" s="12">
        <f ca="1">[1]!Tabel1[[#This Row],[Vægtet Honorar]]*([1]!Tabel1[[#This Row],[Sidst redigeret]]&gt;TODAY()-40)*([1]!Tabel1[[#This Row],[Er i resplan?]]&lt;&gt;"Ja")*([1]!Tabel1[[#This Row],[Status]]="Pågår")</f>
        <v>0</v>
      </c>
      <c r="AG1294" s="12">
        <f ca="1">[1]!Tabel1[[#This Row],[Vægtet Honorar]]*([1]!Tabel1[[#This Row],[Sidst redigeret]]&gt;TODAY()-40)*([1]!Tabel1[[#This Row],[Status]]="Pågår")</f>
        <v>0</v>
      </c>
      <c r="AH1294" s="13"/>
      <c r="AI1294" s="12"/>
      <c r="AJ1294" s="12"/>
      <c r="AK1294" s="12"/>
      <c r="AL1294" s="12"/>
      <c r="AM1294" s="12"/>
      <c r="AN1294" s="12" t="s">
        <v>4553</v>
      </c>
      <c r="AO1294" s="12"/>
      <c r="AP1294" s="12"/>
    </row>
    <row r="1295" spans="1:42">
      <c r="A1295" t="s">
        <v>4554</v>
      </c>
      <c r="B1295" s="8"/>
      <c r="C1295" s="8" t="s">
        <v>4555</v>
      </c>
      <c r="D1295" s="8" t="s">
        <v>1886</v>
      </c>
      <c r="E1295" s="8" t="s">
        <v>94</v>
      </c>
      <c r="F1295" s="8" t="s">
        <v>2341</v>
      </c>
      <c r="G1295" s="8" t="s">
        <v>2341</v>
      </c>
      <c r="H1295" s="9">
        <v>50000</v>
      </c>
      <c r="I1295" s="9">
        <f>[1]!Tabel1[[#This Row],[Honorar]]*[1]!Tabel1[[#This Row],[Sandsynlighed]]</f>
        <v>0</v>
      </c>
      <c r="J1295" s="10" t="s">
        <v>1287</v>
      </c>
      <c r="K1295" s="1" t="s">
        <v>1191</v>
      </c>
      <c r="L1295" s="8"/>
      <c r="M1295" s="11">
        <v>0.95</v>
      </c>
      <c r="N1295" s="1">
        <v>250</v>
      </c>
      <c r="O1295" s="10">
        <v>45909.441562499997</v>
      </c>
      <c r="P1295" s="10" t="s">
        <v>46</v>
      </c>
      <c r="Q1295" s="1" t="s">
        <v>72</v>
      </c>
      <c r="R1295" s="8" t="s">
        <v>47</v>
      </c>
      <c r="S129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9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9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9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9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9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9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9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9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9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9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9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9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95" s="12">
        <f ca="1">[1]!Tabel1[[#This Row],[Vægtet Honorar]]*([1]!Tabel1[[#This Row],[Sidst redigeret]]&gt;TODAY()-40)*([1]!Tabel1[[#This Row],[Er i resplan?]]&lt;&gt;"Ja")*([1]!Tabel1[[#This Row],[Status]]="Pågår")</f>
        <v>0</v>
      </c>
      <c r="AG1295" s="12">
        <f ca="1">[1]!Tabel1[[#This Row],[Vægtet Honorar]]*([1]!Tabel1[[#This Row],[Sidst redigeret]]&gt;TODAY()-40)*([1]!Tabel1[[#This Row],[Status]]="Pågår")</f>
        <v>0</v>
      </c>
      <c r="AH1295" s="13">
        <v>45909.441631944443</v>
      </c>
      <c r="AI1295" s="12"/>
      <c r="AJ1295" s="12"/>
      <c r="AK1295" s="12"/>
      <c r="AL1295" s="12"/>
      <c r="AM1295" s="12"/>
      <c r="AN1295" s="12"/>
      <c r="AO1295" s="12"/>
      <c r="AP1295" s="12"/>
    </row>
    <row r="1296" spans="1:42">
      <c r="A1296" t="s">
        <v>4556</v>
      </c>
      <c r="B1296" s="8"/>
      <c r="C1296" s="8" t="s">
        <v>4557</v>
      </c>
      <c r="D1296" s="8" t="s">
        <v>1886</v>
      </c>
      <c r="E1296" s="8" t="s">
        <v>94</v>
      </c>
      <c r="F1296" s="8" t="s">
        <v>1843</v>
      </c>
      <c r="G1296" s="8" t="s">
        <v>1970</v>
      </c>
      <c r="H1296" s="9">
        <v>50000</v>
      </c>
      <c r="I1296" s="9">
        <f>[1]!Tabel1[[#This Row],[Honorar]]*[1]!Tabel1[[#This Row],[Sandsynlighed]]</f>
        <v>1050000</v>
      </c>
      <c r="J1296" s="10" t="s">
        <v>1287</v>
      </c>
      <c r="K1296" s="1" t="s">
        <v>1191</v>
      </c>
      <c r="L1296" s="8" t="s">
        <v>307</v>
      </c>
      <c r="M1296" s="11">
        <v>0.95</v>
      </c>
      <c r="N1296" s="1"/>
      <c r="O1296" s="10">
        <v>45909.530150462961</v>
      </c>
      <c r="P1296" s="10" t="s">
        <v>46</v>
      </c>
      <c r="Q1296" s="1" t="s">
        <v>46</v>
      </c>
      <c r="R1296" s="8" t="s">
        <v>47</v>
      </c>
      <c r="S129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9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9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9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9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9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9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9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9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9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9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9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9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96" s="12">
        <f ca="1">[1]!Tabel1[[#This Row],[Vægtet Honorar]]*([1]!Tabel1[[#This Row],[Sidst redigeret]]&gt;TODAY()-40)*([1]!Tabel1[[#This Row],[Er i resplan?]]&lt;&gt;"Ja")*([1]!Tabel1[[#This Row],[Status]]="Pågår")</f>
        <v>0</v>
      </c>
      <c r="AG1296" s="12">
        <f ca="1">[1]!Tabel1[[#This Row],[Vægtet Honorar]]*([1]!Tabel1[[#This Row],[Sidst redigeret]]&gt;TODAY()-40)*([1]!Tabel1[[#This Row],[Status]]="Pågår")</f>
        <v>0</v>
      </c>
      <c r="AH1296" s="13">
        <v>45909.530150462961</v>
      </c>
      <c r="AI1296" s="12"/>
      <c r="AJ1296" s="12"/>
      <c r="AK1296" s="12"/>
      <c r="AL1296" s="12"/>
      <c r="AM1296" s="12"/>
      <c r="AN1296" s="12"/>
      <c r="AO1296" s="12"/>
      <c r="AP1296" s="12"/>
    </row>
    <row r="1297" spans="1:42">
      <c r="A1297" t="s">
        <v>4558</v>
      </c>
      <c r="B1297" s="8">
        <v>232524</v>
      </c>
      <c r="C1297" s="8" t="s">
        <v>4559</v>
      </c>
      <c r="D1297" s="8" t="s">
        <v>1886</v>
      </c>
      <c r="E1297" s="8" t="s">
        <v>94</v>
      </c>
      <c r="F1297" s="8" t="s">
        <v>1843</v>
      </c>
      <c r="G1297" s="8" t="s">
        <v>1970</v>
      </c>
      <c r="H1297" s="9">
        <v>300000</v>
      </c>
      <c r="I1297" s="9">
        <f>[1]!Tabel1[[#This Row],[Honorar]]*[1]!Tabel1[[#This Row],[Sandsynlighed]]</f>
        <v>10000</v>
      </c>
      <c r="J1297" s="10" t="s">
        <v>584</v>
      </c>
      <c r="K1297" s="1" t="s">
        <v>1191</v>
      </c>
      <c r="L1297" s="8" t="s">
        <v>4560</v>
      </c>
      <c r="M1297" s="11">
        <v>0.1</v>
      </c>
      <c r="N1297" s="1">
        <v>21000</v>
      </c>
      <c r="O1297" s="10">
        <v>46267.412962962961</v>
      </c>
      <c r="P1297" s="10" t="s">
        <v>46</v>
      </c>
      <c r="Q1297" s="1" t="s">
        <v>72</v>
      </c>
      <c r="R1297" s="8" t="s">
        <v>343</v>
      </c>
      <c r="S129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9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9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9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9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9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9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9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9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9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9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9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9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97" s="12">
        <f ca="1">[1]!Tabel1[[#This Row],[Vægtet Honorar]]*([1]!Tabel1[[#This Row],[Sidst redigeret]]&gt;TODAY()-40)*([1]!Tabel1[[#This Row],[Er i resplan?]]&lt;&gt;"Ja")*([1]!Tabel1[[#This Row],[Status]]="Pågår")</f>
        <v>0</v>
      </c>
      <c r="AG1297" s="12">
        <f ca="1">[1]!Tabel1[[#This Row],[Vægtet Honorar]]*([1]!Tabel1[[#This Row],[Sidst redigeret]]&gt;TODAY()-40)*([1]!Tabel1[[#This Row],[Status]]="Pågår")</f>
        <v>0</v>
      </c>
      <c r="AH1297" s="13"/>
      <c r="AI1297" s="12"/>
      <c r="AJ1297" s="12"/>
      <c r="AK1297" s="12"/>
      <c r="AL1297" s="12"/>
      <c r="AM1297" s="12"/>
      <c r="AN1297" s="12"/>
      <c r="AO1297" s="12"/>
      <c r="AP1297" s="12"/>
    </row>
    <row r="1298" spans="1:42">
      <c r="A1298" t="s">
        <v>4561</v>
      </c>
      <c r="B1298" s="8"/>
      <c r="C1298" s="8" t="s">
        <v>4562</v>
      </c>
      <c r="D1298" s="8" t="s">
        <v>1886</v>
      </c>
      <c r="E1298" s="8" t="s">
        <v>94</v>
      </c>
      <c r="F1298" s="8" t="s">
        <v>1843</v>
      </c>
      <c r="G1298" s="8" t="s">
        <v>1970</v>
      </c>
      <c r="H1298" s="9">
        <v>300000</v>
      </c>
      <c r="I1298" s="9">
        <f>[1]!Tabel1[[#This Row],[Honorar]]*[1]!Tabel1[[#This Row],[Sandsynlighed]]</f>
        <v>0</v>
      </c>
      <c r="J1298" s="10" t="s">
        <v>1061</v>
      </c>
      <c r="K1298" s="1" t="s">
        <v>1191</v>
      </c>
      <c r="L1298" s="8" t="s">
        <v>307</v>
      </c>
      <c r="M1298" s="11">
        <v>0.95</v>
      </c>
      <c r="N1298" s="1"/>
      <c r="O1298" s="10">
        <v>45909.441562499997</v>
      </c>
      <c r="P1298" s="10" t="s">
        <v>46</v>
      </c>
      <c r="Q1298" s="1" t="s">
        <v>72</v>
      </c>
      <c r="R1298" s="8" t="s">
        <v>47</v>
      </c>
      <c r="S129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9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9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9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9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9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9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9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9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9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9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9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9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98" s="12">
        <f ca="1">[1]!Tabel1[[#This Row],[Vægtet Honorar]]*([1]!Tabel1[[#This Row],[Sidst redigeret]]&gt;TODAY()-40)*([1]!Tabel1[[#This Row],[Er i resplan?]]&lt;&gt;"Ja")*([1]!Tabel1[[#This Row],[Status]]="Pågår")</f>
        <v>0</v>
      </c>
      <c r="AG1298" s="12">
        <f ca="1">[1]!Tabel1[[#This Row],[Vægtet Honorar]]*([1]!Tabel1[[#This Row],[Sidst redigeret]]&gt;TODAY()-40)*([1]!Tabel1[[#This Row],[Status]]="Pågår")</f>
        <v>0</v>
      </c>
      <c r="AH1298" s="13">
        <v>45909.441631944443</v>
      </c>
      <c r="AI1298" s="12"/>
      <c r="AJ1298" s="12"/>
      <c r="AK1298" s="12"/>
      <c r="AL1298" s="12"/>
      <c r="AM1298" s="12"/>
      <c r="AN1298" s="12"/>
      <c r="AO1298" s="12"/>
      <c r="AP1298" s="12"/>
    </row>
    <row r="1299" spans="1:42">
      <c r="A1299" t="s">
        <v>4563</v>
      </c>
      <c r="B1299" s="8"/>
      <c r="C1299" s="8" t="s">
        <v>4564</v>
      </c>
      <c r="D1299" s="8" t="s">
        <v>1886</v>
      </c>
      <c r="E1299" s="8" t="s">
        <v>94</v>
      </c>
      <c r="F1299" s="8" t="s">
        <v>2341</v>
      </c>
      <c r="G1299" s="8" t="s">
        <v>2341</v>
      </c>
      <c r="H1299" s="9">
        <v>10000</v>
      </c>
      <c r="I1299" s="9">
        <f>[1]!Tabel1[[#This Row],[Honorar]]*[1]!Tabel1[[#This Row],[Sandsynlighed]]</f>
        <v>0</v>
      </c>
      <c r="J1299" s="10" t="s">
        <v>329</v>
      </c>
      <c r="K1299" s="1" t="s">
        <v>1287</v>
      </c>
      <c r="L1299" s="8" t="s">
        <v>307</v>
      </c>
      <c r="M1299" s="11">
        <v>0.95</v>
      </c>
      <c r="N1299" s="1"/>
      <c r="O1299" s="10">
        <v>45909.441562499997</v>
      </c>
      <c r="P1299" s="10" t="s">
        <v>46</v>
      </c>
      <c r="Q1299" s="1" t="s">
        <v>72</v>
      </c>
      <c r="R1299" s="8" t="s">
        <v>47</v>
      </c>
      <c r="S129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29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29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29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29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29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29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29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29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29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29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29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29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299" s="12">
        <f ca="1">[1]!Tabel1[[#This Row],[Vægtet Honorar]]*([1]!Tabel1[[#This Row],[Sidst redigeret]]&gt;TODAY()-40)*([1]!Tabel1[[#This Row],[Er i resplan?]]&lt;&gt;"Ja")*([1]!Tabel1[[#This Row],[Status]]="Pågår")</f>
        <v>0</v>
      </c>
      <c r="AG1299" s="12">
        <f ca="1">[1]!Tabel1[[#This Row],[Vægtet Honorar]]*([1]!Tabel1[[#This Row],[Sidst redigeret]]&gt;TODAY()-40)*([1]!Tabel1[[#This Row],[Status]]="Pågår")</f>
        <v>0</v>
      </c>
      <c r="AH1299" s="13">
        <v>45909.441631944443</v>
      </c>
      <c r="AI1299" s="12"/>
      <c r="AJ1299" s="12"/>
      <c r="AK1299" s="12"/>
      <c r="AL1299" s="12"/>
      <c r="AM1299" s="12"/>
      <c r="AN1299" s="12"/>
      <c r="AO1299" s="12"/>
      <c r="AP1299" s="12"/>
    </row>
    <row r="1300" spans="1:42">
      <c r="A1300" t="s">
        <v>4565</v>
      </c>
      <c r="B1300" s="8"/>
      <c r="C1300" s="8" t="s">
        <v>4566</v>
      </c>
      <c r="D1300" s="8" t="s">
        <v>1886</v>
      </c>
      <c r="E1300" s="8" t="s">
        <v>94</v>
      </c>
      <c r="F1300" s="8" t="s">
        <v>1247</v>
      </c>
      <c r="G1300" s="8" t="s">
        <v>1247</v>
      </c>
      <c r="H1300" s="9">
        <v>15000</v>
      </c>
      <c r="I1300" s="9">
        <f>[1]!Tabel1[[#This Row],[Honorar]]*[1]!Tabel1[[#This Row],[Sandsynlighed]]</f>
        <v>47500</v>
      </c>
      <c r="J1300" s="10" t="s">
        <v>329</v>
      </c>
      <c r="K1300" s="1" t="s">
        <v>1287</v>
      </c>
      <c r="L1300" s="8"/>
      <c r="M1300" s="11">
        <v>0.95</v>
      </c>
      <c r="N1300" s="1"/>
      <c r="O1300" s="10">
        <v>45909.441562499997</v>
      </c>
      <c r="P1300" s="10" t="s">
        <v>46</v>
      </c>
      <c r="Q1300" s="1" t="s">
        <v>72</v>
      </c>
      <c r="R1300" s="8" t="s">
        <v>47</v>
      </c>
      <c r="S130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0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0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0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0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0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0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0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0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0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0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0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0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00" s="12">
        <f ca="1">[1]!Tabel1[[#This Row],[Vægtet Honorar]]*([1]!Tabel1[[#This Row],[Sidst redigeret]]&gt;TODAY()-40)*([1]!Tabel1[[#This Row],[Er i resplan?]]&lt;&gt;"Ja")*([1]!Tabel1[[#This Row],[Status]]="Pågår")</f>
        <v>0</v>
      </c>
      <c r="AG1300" s="12">
        <f ca="1">[1]!Tabel1[[#This Row],[Vægtet Honorar]]*([1]!Tabel1[[#This Row],[Sidst redigeret]]&gt;TODAY()-40)*([1]!Tabel1[[#This Row],[Status]]="Pågår")</f>
        <v>0</v>
      </c>
      <c r="AH1300" s="13">
        <v>45909.441631944443</v>
      </c>
      <c r="AI1300" s="12"/>
      <c r="AJ1300" s="12"/>
      <c r="AK1300" s="12"/>
      <c r="AL1300" s="12"/>
      <c r="AM1300" s="12"/>
      <c r="AN1300" s="12"/>
      <c r="AO1300" s="12"/>
      <c r="AP1300" s="12"/>
    </row>
    <row r="1301" spans="1:42">
      <c r="A1301" t="s">
        <v>4567</v>
      </c>
      <c r="B1301" s="8"/>
      <c r="C1301" s="8" t="s">
        <v>4568</v>
      </c>
      <c r="D1301" s="8" t="s">
        <v>134</v>
      </c>
      <c r="E1301" s="8" t="s">
        <v>94</v>
      </c>
      <c r="F1301" s="8" t="s">
        <v>4569</v>
      </c>
      <c r="G1301" s="8" t="s">
        <v>4569</v>
      </c>
      <c r="H1301" s="9">
        <v>15000</v>
      </c>
      <c r="I1301" s="9">
        <f>[1]!Tabel1[[#This Row],[Honorar]]*[1]!Tabel1[[#This Row],[Sandsynlighed]]</f>
        <v>47500</v>
      </c>
      <c r="J1301" s="10" t="s">
        <v>329</v>
      </c>
      <c r="K1301" s="1" t="s">
        <v>1287</v>
      </c>
      <c r="L1301" s="8" t="s">
        <v>4570</v>
      </c>
      <c r="M1301" s="11">
        <v>1</v>
      </c>
      <c r="N1301" s="1">
        <v>137</v>
      </c>
      <c r="O1301" s="10">
        <v>45909.683344907404</v>
      </c>
      <c r="P1301" s="10" t="s">
        <v>46</v>
      </c>
      <c r="Q1301" s="1" t="s">
        <v>72</v>
      </c>
      <c r="R1301" s="8" t="s">
        <v>47</v>
      </c>
      <c r="S130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0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0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0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0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0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0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0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0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0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0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0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0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01" s="12">
        <f ca="1">[1]!Tabel1[[#This Row],[Vægtet Honorar]]*([1]!Tabel1[[#This Row],[Sidst redigeret]]&gt;TODAY()-40)*([1]!Tabel1[[#This Row],[Er i resplan?]]&lt;&gt;"Ja")*([1]!Tabel1[[#This Row],[Status]]="Pågår")</f>
        <v>0</v>
      </c>
      <c r="AG1301" s="12">
        <f ca="1">[1]!Tabel1[[#This Row],[Vægtet Honorar]]*([1]!Tabel1[[#This Row],[Sidst redigeret]]&gt;TODAY()-40)*([1]!Tabel1[[#This Row],[Status]]="Pågår")</f>
        <v>0</v>
      </c>
      <c r="AH1301" s="13">
        <v>45909.683148148149</v>
      </c>
      <c r="AI1301" s="12"/>
      <c r="AJ1301" s="12"/>
      <c r="AK1301" s="12"/>
      <c r="AL1301" s="12"/>
      <c r="AM1301" s="12"/>
      <c r="AN1301" s="12"/>
      <c r="AO1301" s="12"/>
      <c r="AP1301" s="12"/>
    </row>
    <row r="1302" spans="1:42">
      <c r="A1302" t="s">
        <v>4571</v>
      </c>
      <c r="B1302" s="8"/>
      <c r="C1302" s="8" t="s">
        <v>4572</v>
      </c>
      <c r="D1302" s="8" t="s">
        <v>70</v>
      </c>
      <c r="E1302" s="8" t="s">
        <v>102</v>
      </c>
      <c r="F1302" s="8" t="s">
        <v>1538</v>
      </c>
      <c r="G1302" s="8" t="s">
        <v>1626</v>
      </c>
      <c r="H1302" s="9">
        <v>1500000</v>
      </c>
      <c r="I1302" s="9">
        <f>[1]!Tabel1[[#This Row],[Honorar]]*[1]!Tabel1[[#This Row],[Sandsynlighed]]</f>
        <v>30000</v>
      </c>
      <c r="J1302" s="10" t="s">
        <v>341</v>
      </c>
      <c r="K1302" s="1" t="s">
        <v>342</v>
      </c>
      <c r="L1302" s="8"/>
      <c r="M1302" s="11">
        <v>0.25</v>
      </c>
      <c r="N1302" s="1"/>
      <c r="O1302" s="10">
        <v>45945.325428240743</v>
      </c>
      <c r="P1302" s="10" t="s">
        <v>46</v>
      </c>
      <c r="Q1302" s="1" t="s">
        <v>72</v>
      </c>
      <c r="R1302" s="8" t="s">
        <v>343</v>
      </c>
      <c r="S130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0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0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0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0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0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0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0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0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0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0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0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0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02" s="12">
        <f ca="1">[1]!Tabel1[[#This Row],[Vægtet Honorar]]*([1]!Tabel1[[#This Row],[Sidst redigeret]]&gt;TODAY()-40)*([1]!Tabel1[[#This Row],[Er i resplan?]]&lt;&gt;"Ja")*([1]!Tabel1[[#This Row],[Status]]="Pågår")</f>
        <v>30000</v>
      </c>
      <c r="AG1302" s="12">
        <f ca="1">[1]!Tabel1[[#This Row],[Vægtet Honorar]]*([1]!Tabel1[[#This Row],[Sidst redigeret]]&gt;TODAY()-40)*([1]!Tabel1[[#This Row],[Status]]="Pågår")</f>
        <v>30000</v>
      </c>
      <c r="AH1302" s="13"/>
      <c r="AI1302" s="12"/>
      <c r="AJ1302" s="12" t="s">
        <v>1626</v>
      </c>
      <c r="AK1302" s="12"/>
      <c r="AL1302" s="12"/>
      <c r="AM1302" s="12"/>
      <c r="AN1302" s="12" t="s">
        <v>4573</v>
      </c>
      <c r="AO1302" s="12"/>
      <c r="AP1302" s="12"/>
    </row>
    <row r="1303" spans="1:42">
      <c r="A1303" t="s">
        <v>4574</v>
      </c>
      <c r="B1303" s="8"/>
      <c r="C1303" s="8" t="s">
        <v>4575</v>
      </c>
      <c r="D1303" s="8" t="s">
        <v>2886</v>
      </c>
      <c r="E1303" s="8" t="s">
        <v>120</v>
      </c>
      <c r="F1303" s="8" t="s">
        <v>4576</v>
      </c>
      <c r="G1303" s="8" t="s">
        <v>2959</v>
      </c>
      <c r="H1303" s="9">
        <v>2500000</v>
      </c>
      <c r="I1303" s="9">
        <f>[1]!Tabel1[[#This Row],[Honorar]]*[1]!Tabel1[[#This Row],[Sandsynlighed]]</f>
        <v>285000</v>
      </c>
      <c r="J1303" s="10" t="s">
        <v>341</v>
      </c>
      <c r="K1303" s="1" t="s">
        <v>2105</v>
      </c>
      <c r="L1303" s="8"/>
      <c r="M1303" s="11">
        <v>0.05</v>
      </c>
      <c r="N1303" s="1"/>
      <c r="O1303" s="10">
        <v>46269.497372685182</v>
      </c>
      <c r="P1303" s="10" t="s">
        <v>46</v>
      </c>
      <c r="Q1303" s="1" t="s">
        <v>72</v>
      </c>
      <c r="R1303" s="8" t="s">
        <v>4577</v>
      </c>
      <c r="S130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0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0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0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0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0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0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0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0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0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0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0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0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03" s="12">
        <f ca="1">[1]!Tabel1[[#This Row],[Vægtet Honorar]]*([1]!Tabel1[[#This Row],[Sidst redigeret]]&gt;TODAY()-40)*([1]!Tabel1[[#This Row],[Er i resplan?]]&lt;&gt;"Ja")*([1]!Tabel1[[#This Row],[Status]]="Pågår")</f>
        <v>0</v>
      </c>
      <c r="AG1303" s="12">
        <f ca="1">[1]!Tabel1[[#This Row],[Vægtet Honorar]]*([1]!Tabel1[[#This Row],[Sidst redigeret]]&gt;TODAY()-40)*([1]!Tabel1[[#This Row],[Status]]="Pågår")</f>
        <v>0</v>
      </c>
      <c r="AH1303" s="13"/>
      <c r="AI1303" s="12"/>
      <c r="AJ1303" s="12" t="s">
        <v>2917</v>
      </c>
      <c r="AK1303" s="12" t="s">
        <v>2959</v>
      </c>
      <c r="AL1303" s="12"/>
      <c r="AM1303" s="12"/>
      <c r="AN1303" s="12"/>
      <c r="AO1303" s="12"/>
      <c r="AP1303" s="12"/>
    </row>
    <row r="1304" spans="1:42">
      <c r="A1304" t="s">
        <v>4578</v>
      </c>
      <c r="B1304" s="8"/>
      <c r="C1304" s="8" t="s">
        <v>4579</v>
      </c>
      <c r="D1304" s="8" t="s">
        <v>1468</v>
      </c>
      <c r="E1304" s="8" t="s">
        <v>167</v>
      </c>
      <c r="F1304" s="8" t="s">
        <v>4580</v>
      </c>
      <c r="G1304" s="8" t="s">
        <v>4580</v>
      </c>
      <c r="H1304" s="9">
        <v>40000</v>
      </c>
      <c r="I1304" s="9">
        <f>[1]!Tabel1[[#This Row],[Honorar]]*[1]!Tabel1[[#This Row],[Sandsynlighed]]</f>
        <v>9500</v>
      </c>
      <c r="J1304" s="10" t="s">
        <v>329</v>
      </c>
      <c r="K1304" s="1" t="s">
        <v>1191</v>
      </c>
      <c r="L1304" s="8"/>
      <c r="M1304" s="11">
        <v>0.33</v>
      </c>
      <c r="N1304" s="1"/>
      <c r="O1304" s="10">
        <v>45909.441562499997</v>
      </c>
      <c r="P1304" s="10" t="s">
        <v>46</v>
      </c>
      <c r="Q1304" s="1" t="s">
        <v>46</v>
      </c>
      <c r="R1304" s="8" t="s">
        <v>47</v>
      </c>
      <c r="S130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0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0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0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0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0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0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0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0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0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0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0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0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04" s="12">
        <f ca="1">[1]!Tabel1[[#This Row],[Vægtet Honorar]]*([1]!Tabel1[[#This Row],[Sidst redigeret]]&gt;TODAY()-40)*([1]!Tabel1[[#This Row],[Er i resplan?]]&lt;&gt;"Ja")*([1]!Tabel1[[#This Row],[Status]]="Pågår")</f>
        <v>0</v>
      </c>
      <c r="AG1304" s="12">
        <f ca="1">[1]!Tabel1[[#This Row],[Vægtet Honorar]]*([1]!Tabel1[[#This Row],[Sidst redigeret]]&gt;TODAY()-40)*([1]!Tabel1[[#This Row],[Status]]="Pågår")</f>
        <v>0</v>
      </c>
      <c r="AH1304" s="13">
        <v>45909.441631944443</v>
      </c>
      <c r="AI1304" s="12"/>
      <c r="AJ1304" s="12"/>
      <c r="AK1304" s="12"/>
      <c r="AL1304" s="12"/>
      <c r="AM1304" s="12"/>
      <c r="AN1304" s="12"/>
      <c r="AO1304" s="12"/>
      <c r="AP1304" s="12"/>
    </row>
    <row r="1305" spans="1:42">
      <c r="A1305" t="s">
        <v>4581</v>
      </c>
      <c r="B1305" s="8">
        <v>232500</v>
      </c>
      <c r="C1305" s="8" t="s">
        <v>4582</v>
      </c>
      <c r="D1305" s="8" t="s">
        <v>1886</v>
      </c>
      <c r="E1305" s="8" t="s">
        <v>94</v>
      </c>
      <c r="F1305" s="8" t="s">
        <v>1843</v>
      </c>
      <c r="G1305" s="8" t="s">
        <v>1970</v>
      </c>
      <c r="H1305" s="9">
        <v>383230</v>
      </c>
      <c r="I1305" s="9">
        <f>[1]!Tabel1[[#This Row],[Honorar]]*[1]!Tabel1[[#This Row],[Sandsynlighed]]</f>
        <v>14250</v>
      </c>
      <c r="J1305" s="10" t="s">
        <v>1287</v>
      </c>
      <c r="K1305" s="1" t="s">
        <v>1191</v>
      </c>
      <c r="L1305" s="8" t="s">
        <v>307</v>
      </c>
      <c r="M1305" s="11">
        <v>0.75</v>
      </c>
      <c r="N1305" s="1">
        <v>21000</v>
      </c>
      <c r="O1305" s="10">
        <v>45909.441562499997</v>
      </c>
      <c r="P1305" s="10" t="s">
        <v>46</v>
      </c>
      <c r="Q1305" s="1" t="s">
        <v>46</v>
      </c>
      <c r="R1305" s="8" t="s">
        <v>47</v>
      </c>
      <c r="S130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0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0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0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0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0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0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0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0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0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0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0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0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05" s="12">
        <f ca="1">[1]!Tabel1[[#This Row],[Vægtet Honorar]]*([1]!Tabel1[[#This Row],[Sidst redigeret]]&gt;TODAY()-40)*([1]!Tabel1[[#This Row],[Er i resplan?]]&lt;&gt;"Ja")*([1]!Tabel1[[#This Row],[Status]]="Pågår")</f>
        <v>0</v>
      </c>
      <c r="AG1305" s="12">
        <f ca="1">[1]!Tabel1[[#This Row],[Vægtet Honorar]]*([1]!Tabel1[[#This Row],[Sidst redigeret]]&gt;TODAY()-40)*([1]!Tabel1[[#This Row],[Status]]="Pågår")</f>
        <v>0</v>
      </c>
      <c r="AH1305" s="13">
        <v>45909.441631944443</v>
      </c>
      <c r="AI1305" s="12"/>
      <c r="AJ1305" s="12"/>
      <c r="AK1305" s="12"/>
      <c r="AL1305" s="12"/>
      <c r="AM1305" s="12"/>
      <c r="AN1305" s="12"/>
      <c r="AO1305" s="12"/>
      <c r="AP1305" s="12"/>
    </row>
    <row r="1306" spans="1:42">
      <c r="A1306" t="s">
        <v>4583</v>
      </c>
      <c r="B1306" s="8"/>
      <c r="C1306" s="8" t="s">
        <v>4584</v>
      </c>
      <c r="D1306" s="8" t="s">
        <v>358</v>
      </c>
      <c r="E1306" s="8" t="s">
        <v>102</v>
      </c>
      <c r="F1306" s="8" t="s">
        <v>4585</v>
      </c>
      <c r="G1306" s="8" t="s">
        <v>4585</v>
      </c>
      <c r="H1306" s="9">
        <v>100000</v>
      </c>
      <c r="I1306" s="9">
        <f>[1]!Tabel1[[#This Row],[Honorar]]*[1]!Tabel1[[#This Row],[Sandsynlighed]]</f>
        <v>15000</v>
      </c>
      <c r="J1306" s="10" t="s">
        <v>1287</v>
      </c>
      <c r="K1306" s="1" t="s">
        <v>1191</v>
      </c>
      <c r="L1306" s="8" t="s">
        <v>4586</v>
      </c>
      <c r="M1306" s="11">
        <v>0.95</v>
      </c>
      <c r="N1306" s="1">
        <v>5500</v>
      </c>
      <c r="O1306" s="10">
        <v>46086.612615740742</v>
      </c>
      <c r="P1306" s="10" t="s">
        <v>46</v>
      </c>
      <c r="Q1306" s="1" t="s">
        <v>72</v>
      </c>
      <c r="R1306" s="8" t="s">
        <v>47</v>
      </c>
      <c r="S130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0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0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0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0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0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0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0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0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0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0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0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0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06" s="12">
        <f ca="1">[1]!Tabel1[[#This Row],[Vægtet Honorar]]*([1]!Tabel1[[#This Row],[Sidst redigeret]]&gt;TODAY()-40)*([1]!Tabel1[[#This Row],[Er i resplan?]]&lt;&gt;"Ja")*([1]!Tabel1[[#This Row],[Status]]="Pågår")</f>
        <v>0</v>
      </c>
      <c r="AG1306" s="12">
        <f ca="1">[1]!Tabel1[[#This Row],[Vægtet Honorar]]*([1]!Tabel1[[#This Row],[Sidst redigeret]]&gt;TODAY()-40)*([1]!Tabel1[[#This Row],[Status]]="Pågår")</f>
        <v>0</v>
      </c>
      <c r="AH1306" s="13">
        <v>45905.612615740742</v>
      </c>
      <c r="AI1306" s="12"/>
      <c r="AJ1306" s="12"/>
      <c r="AK1306" s="12"/>
      <c r="AL1306" s="12"/>
      <c r="AM1306" s="12"/>
      <c r="AN1306" s="12"/>
      <c r="AO1306" s="12"/>
      <c r="AP1306" s="12"/>
    </row>
    <row r="1307" spans="1:42">
      <c r="A1307" t="s">
        <v>4587</v>
      </c>
      <c r="B1307" s="8"/>
      <c r="C1307" s="8" t="s">
        <v>4588</v>
      </c>
      <c r="D1307" s="8" t="s">
        <v>1468</v>
      </c>
      <c r="E1307" s="8" t="s">
        <v>167</v>
      </c>
      <c r="F1307" s="8" t="s">
        <v>4589</v>
      </c>
      <c r="G1307" s="8" t="s">
        <v>4590</v>
      </c>
      <c r="H1307" s="9">
        <v>50000</v>
      </c>
      <c r="I1307" s="9">
        <f>[1]!Tabel1[[#This Row],[Honorar]]*[1]!Tabel1[[#This Row],[Sandsynlighed]]</f>
        <v>375000</v>
      </c>
      <c r="J1307" s="10" t="s">
        <v>1287</v>
      </c>
      <c r="K1307" s="1" t="s">
        <v>1191</v>
      </c>
      <c r="L1307" s="8"/>
      <c r="M1307" s="11">
        <v>1</v>
      </c>
      <c r="N1307" s="1"/>
      <c r="O1307" s="10">
        <v>46080.584224537037</v>
      </c>
      <c r="P1307" s="10" t="s">
        <v>46</v>
      </c>
      <c r="Q1307" s="1" t="s">
        <v>4591</v>
      </c>
      <c r="R1307" s="8" t="s">
        <v>47</v>
      </c>
      <c r="S130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0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0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0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0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0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0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0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0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0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0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0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0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07" s="12">
        <f ca="1">[1]!Tabel1[[#This Row],[Vægtet Honorar]]*([1]!Tabel1[[#This Row],[Sidst redigeret]]&gt;TODAY()-40)*([1]!Tabel1[[#This Row],[Er i resplan?]]&lt;&gt;"Ja")*([1]!Tabel1[[#This Row],[Status]]="Pågår")</f>
        <v>0</v>
      </c>
      <c r="AG1307" s="12">
        <f ca="1">[1]!Tabel1[[#This Row],[Vægtet Honorar]]*([1]!Tabel1[[#This Row],[Sidst redigeret]]&gt;TODAY()-40)*([1]!Tabel1[[#This Row],[Status]]="Pågår")</f>
        <v>0</v>
      </c>
      <c r="AH1307" s="13">
        <v>45968.598761574074</v>
      </c>
      <c r="AI1307" s="12"/>
      <c r="AJ1307" s="12"/>
      <c r="AK1307" s="12"/>
      <c r="AL1307" s="12"/>
      <c r="AM1307" s="12"/>
      <c r="AN1307" s="12"/>
      <c r="AO1307" s="12"/>
      <c r="AP1307" s="12"/>
    </row>
    <row r="1308" spans="1:42">
      <c r="A1308" t="s">
        <v>4592</v>
      </c>
      <c r="B1308" s="8"/>
      <c r="C1308" s="8" t="s">
        <v>4593</v>
      </c>
      <c r="D1308" s="8" t="s">
        <v>2886</v>
      </c>
      <c r="E1308" s="8" t="s">
        <v>120</v>
      </c>
      <c r="F1308" s="8" t="s">
        <v>4589</v>
      </c>
      <c r="G1308" s="8" t="s">
        <v>4594</v>
      </c>
      <c r="H1308" s="9">
        <v>2000000</v>
      </c>
      <c r="I1308" s="9">
        <f>[1]!Tabel1[[#This Row],[Honorar]]*[1]!Tabel1[[#This Row],[Sandsynlighed]]</f>
        <v>125000</v>
      </c>
      <c r="J1308" s="10" t="s">
        <v>341</v>
      </c>
      <c r="K1308" s="1" t="s">
        <v>2105</v>
      </c>
      <c r="L1308" s="8" t="s">
        <v>4595</v>
      </c>
      <c r="M1308" s="11">
        <v>0.05</v>
      </c>
      <c r="N1308" s="1"/>
      <c r="O1308" s="10">
        <v>46269.497395833336</v>
      </c>
      <c r="P1308" s="10" t="s">
        <v>46</v>
      </c>
      <c r="Q1308" s="1" t="s">
        <v>72</v>
      </c>
      <c r="R1308" s="8" t="s">
        <v>1265</v>
      </c>
      <c r="S130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0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0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0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0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0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0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0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0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0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0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0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0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08" s="12">
        <f ca="1">[1]!Tabel1[[#This Row],[Vægtet Honorar]]*([1]!Tabel1[[#This Row],[Sidst redigeret]]&gt;TODAY()-40)*([1]!Tabel1[[#This Row],[Er i resplan?]]&lt;&gt;"Ja")*([1]!Tabel1[[#This Row],[Status]]="Pågår")</f>
        <v>125000</v>
      </c>
      <c r="AG1308" s="12">
        <f ca="1">[1]!Tabel1[[#This Row],[Vægtet Honorar]]*([1]!Tabel1[[#This Row],[Sidst redigeret]]&gt;TODAY()-40)*([1]!Tabel1[[#This Row],[Status]]="Pågår")</f>
        <v>125000</v>
      </c>
      <c r="AH1308" s="13"/>
      <c r="AI1308" s="12"/>
      <c r="AJ1308" s="12" t="s">
        <v>2917</v>
      </c>
      <c r="AK1308" s="12" t="s">
        <v>4594</v>
      </c>
      <c r="AL1308" s="12"/>
      <c r="AM1308" s="12"/>
      <c r="AN1308" s="12"/>
      <c r="AO1308" s="12" t="s">
        <v>4596</v>
      </c>
      <c r="AP1308" s="12"/>
    </row>
    <row r="1309" spans="1:42">
      <c r="A1309" t="s">
        <v>4597</v>
      </c>
      <c r="B1309" s="8"/>
      <c r="C1309" s="8" t="s">
        <v>4598</v>
      </c>
      <c r="D1309" s="8" t="s">
        <v>581</v>
      </c>
      <c r="E1309" s="8" t="s">
        <v>94</v>
      </c>
      <c r="F1309" s="8" t="s">
        <v>3071</v>
      </c>
      <c r="G1309" s="8" t="s">
        <v>4599</v>
      </c>
      <c r="H1309" s="9">
        <v>5000000</v>
      </c>
      <c r="I1309" s="9">
        <f>[1]!Tabel1[[#This Row],[Honorar]]*[1]!Tabel1[[#This Row],[Sandsynlighed]]</f>
        <v>13200</v>
      </c>
      <c r="J1309" s="10" t="s">
        <v>1287</v>
      </c>
      <c r="K1309" s="1" t="s">
        <v>1191</v>
      </c>
      <c r="L1309" s="8" t="s">
        <v>4600</v>
      </c>
      <c r="M1309" s="11">
        <v>0.01</v>
      </c>
      <c r="N1309" s="1"/>
      <c r="O1309" s="10">
        <v>45978.387453703705</v>
      </c>
      <c r="P1309" s="10"/>
      <c r="Q1309" s="1" t="s">
        <v>72</v>
      </c>
      <c r="R1309" s="8" t="s">
        <v>49</v>
      </c>
      <c r="S130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0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0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0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0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0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0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0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0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0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0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0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0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09" s="12">
        <f ca="1">[1]!Tabel1[[#This Row],[Vægtet Honorar]]*([1]!Tabel1[[#This Row],[Sidst redigeret]]&gt;TODAY()-40)*([1]!Tabel1[[#This Row],[Er i resplan?]]&lt;&gt;"Ja")*([1]!Tabel1[[#This Row],[Status]]="Pågår")</f>
        <v>0</v>
      </c>
      <c r="AG1309" s="12">
        <f ca="1">[1]!Tabel1[[#This Row],[Vægtet Honorar]]*([1]!Tabel1[[#This Row],[Sidst redigeret]]&gt;TODAY()-40)*([1]!Tabel1[[#This Row],[Status]]="Pågår")</f>
        <v>0</v>
      </c>
      <c r="AH1309" s="13"/>
      <c r="AI1309" s="12"/>
      <c r="AJ1309" s="12" t="s">
        <v>2917</v>
      </c>
      <c r="AK1309" s="12"/>
      <c r="AL1309" s="12"/>
      <c r="AM1309" s="12"/>
      <c r="AN1309" s="12"/>
      <c r="AO1309" s="12"/>
      <c r="AP1309" s="12"/>
    </row>
    <row r="1310" spans="1:42">
      <c r="A1310" t="s">
        <v>4601</v>
      </c>
      <c r="B1310" s="8"/>
      <c r="C1310" s="8" t="s">
        <v>4602</v>
      </c>
      <c r="D1310" s="8" t="s">
        <v>2886</v>
      </c>
      <c r="E1310" s="8" t="s">
        <v>120</v>
      </c>
      <c r="F1310" s="8" t="s">
        <v>691</v>
      </c>
      <c r="G1310" s="8" t="s">
        <v>2917</v>
      </c>
      <c r="H1310" s="9">
        <v>5000000</v>
      </c>
      <c r="I1310" s="9">
        <f>[1]!Tabel1[[#This Row],[Honorar]]*[1]!Tabel1[[#This Row],[Sandsynlighed]]</f>
        <v>287422.5</v>
      </c>
      <c r="J1310" s="10" t="s">
        <v>585</v>
      </c>
      <c r="K1310" s="1" t="s">
        <v>1430</v>
      </c>
      <c r="L1310" s="8" t="s">
        <v>4603</v>
      </c>
      <c r="M1310" s="11">
        <v>0.3</v>
      </c>
      <c r="N1310" s="1"/>
      <c r="O1310" s="10">
        <v>45909.441759259258</v>
      </c>
      <c r="P1310" s="10" t="s">
        <v>46</v>
      </c>
      <c r="Q1310" s="1" t="s">
        <v>72</v>
      </c>
      <c r="R1310" s="8" t="s">
        <v>343</v>
      </c>
      <c r="S131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1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1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1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1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1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1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1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1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1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1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1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1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10" s="12">
        <f ca="1">[1]!Tabel1[[#This Row],[Vægtet Honorar]]*([1]!Tabel1[[#This Row],[Sidst redigeret]]&gt;TODAY()-40)*([1]!Tabel1[[#This Row],[Er i resplan?]]&lt;&gt;"Ja")*([1]!Tabel1[[#This Row],[Status]]="Pågår")</f>
        <v>0</v>
      </c>
      <c r="AG1310" s="12">
        <f ca="1">[1]!Tabel1[[#This Row],[Vægtet Honorar]]*([1]!Tabel1[[#This Row],[Sidst redigeret]]&gt;TODAY()-40)*([1]!Tabel1[[#This Row],[Status]]="Pågår")</f>
        <v>0</v>
      </c>
      <c r="AH1310" s="13"/>
      <c r="AI1310" s="12"/>
      <c r="AJ1310" s="12" t="s">
        <v>2917</v>
      </c>
      <c r="AK1310" s="12" t="s">
        <v>4604</v>
      </c>
      <c r="AL1310" s="12"/>
      <c r="AM1310" s="12"/>
      <c r="AN1310" s="12" t="s">
        <v>4605</v>
      </c>
      <c r="AO1310" s="12"/>
      <c r="AP1310" s="12"/>
    </row>
    <row r="1311" spans="1:42">
      <c r="A1311" t="s">
        <v>4606</v>
      </c>
      <c r="B1311" s="8"/>
      <c r="C1311" s="8" t="s">
        <v>4607</v>
      </c>
      <c r="D1311" s="8" t="s">
        <v>134</v>
      </c>
      <c r="E1311" s="8" t="s">
        <v>94</v>
      </c>
      <c r="F1311" s="8" t="s">
        <v>4608</v>
      </c>
      <c r="G1311" s="8" t="s">
        <v>2295</v>
      </c>
      <c r="H1311" s="9">
        <v>350000</v>
      </c>
      <c r="I1311" s="9">
        <f>[1]!Tabel1[[#This Row],[Honorar]]*[1]!Tabel1[[#This Row],[Sandsynlighed]]</f>
        <v>95000</v>
      </c>
      <c r="J1311" s="10" t="s">
        <v>1287</v>
      </c>
      <c r="K1311" s="1" t="s">
        <v>1191</v>
      </c>
      <c r="L1311" s="8" t="s">
        <v>4609</v>
      </c>
      <c r="M1311" s="11">
        <v>1</v>
      </c>
      <c r="N1311" s="1" t="s">
        <v>4610</v>
      </c>
      <c r="O1311" s="10">
        <v>45909.441759259258</v>
      </c>
      <c r="P1311" s="10" t="s">
        <v>46</v>
      </c>
      <c r="Q1311" s="1" t="s">
        <v>46</v>
      </c>
      <c r="R1311" s="8" t="s">
        <v>47</v>
      </c>
      <c r="S131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1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1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1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1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1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1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1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1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1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1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1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1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11" s="12">
        <f ca="1">[1]!Tabel1[[#This Row],[Vægtet Honorar]]*([1]!Tabel1[[#This Row],[Sidst redigeret]]&gt;TODAY()-40)*([1]!Tabel1[[#This Row],[Er i resplan?]]&lt;&gt;"Ja")*([1]!Tabel1[[#This Row],[Status]]="Pågår")</f>
        <v>0</v>
      </c>
      <c r="AG1311" s="12">
        <f ca="1">[1]!Tabel1[[#This Row],[Vægtet Honorar]]*([1]!Tabel1[[#This Row],[Sidst redigeret]]&gt;TODAY()-40)*([1]!Tabel1[[#This Row],[Status]]="Pågår")</f>
        <v>0</v>
      </c>
      <c r="AH1311" s="13">
        <v>45909.441782407404</v>
      </c>
      <c r="AI1311" s="12"/>
      <c r="AJ1311" s="12"/>
      <c r="AK1311" s="12"/>
      <c r="AL1311" s="12"/>
      <c r="AM1311" s="12"/>
      <c r="AN1311" s="12"/>
      <c r="AO1311" s="12"/>
      <c r="AP1311" s="12"/>
    </row>
    <row r="1312" spans="1:42">
      <c r="A1312" t="s">
        <v>4611</v>
      </c>
      <c r="B1312" s="8"/>
      <c r="C1312" s="8" t="s">
        <v>4612</v>
      </c>
      <c r="D1312" s="8" t="s">
        <v>4254</v>
      </c>
      <c r="E1312" s="8" t="s">
        <v>167</v>
      </c>
      <c r="F1312" s="8" t="s">
        <v>1357</v>
      </c>
      <c r="G1312" s="8" t="s">
        <v>1256</v>
      </c>
      <c r="H1312" s="9">
        <v>500000</v>
      </c>
      <c r="I1312" s="9">
        <f>[1]!Tabel1[[#This Row],[Honorar]]*[1]!Tabel1[[#This Row],[Sandsynlighed]]</f>
        <v>50000</v>
      </c>
      <c r="J1312" s="10" t="s">
        <v>1287</v>
      </c>
      <c r="K1312" s="1" t="s">
        <v>342</v>
      </c>
      <c r="L1312" s="8"/>
      <c r="M1312" s="11">
        <v>0.25</v>
      </c>
      <c r="N1312" s="1"/>
      <c r="O1312" s="10">
        <v>45909.441770833335</v>
      </c>
      <c r="P1312" s="10" t="s">
        <v>46</v>
      </c>
      <c r="Q1312" s="1" t="s">
        <v>72</v>
      </c>
      <c r="R1312" s="8" t="s">
        <v>343</v>
      </c>
      <c r="S131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1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1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1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1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1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1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1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1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1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1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1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1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12" s="12">
        <f ca="1">[1]!Tabel1[[#This Row],[Vægtet Honorar]]*([1]!Tabel1[[#This Row],[Sidst redigeret]]&gt;TODAY()-40)*([1]!Tabel1[[#This Row],[Er i resplan?]]&lt;&gt;"Ja")*([1]!Tabel1[[#This Row],[Status]]="Pågår")</f>
        <v>0</v>
      </c>
      <c r="AG1312" s="12">
        <f ca="1">[1]!Tabel1[[#This Row],[Vægtet Honorar]]*([1]!Tabel1[[#This Row],[Sidst redigeret]]&gt;TODAY()-40)*([1]!Tabel1[[#This Row],[Status]]="Pågår")</f>
        <v>0</v>
      </c>
      <c r="AH1312" s="13"/>
      <c r="AI1312" s="12"/>
      <c r="AJ1312" s="12"/>
      <c r="AK1312" s="12"/>
      <c r="AL1312" s="12"/>
      <c r="AM1312" s="12"/>
      <c r="AN1312" s="12"/>
      <c r="AO1312" s="12"/>
      <c r="AP1312" s="12"/>
    </row>
    <row r="1313" spans="1:42">
      <c r="A1313" t="s">
        <v>4613</v>
      </c>
      <c r="B1313" s="8"/>
      <c r="C1313" s="8" t="s">
        <v>4614</v>
      </c>
      <c r="D1313" s="8" t="s">
        <v>2886</v>
      </c>
      <c r="E1313" s="8" t="s">
        <v>120</v>
      </c>
      <c r="F1313" s="8" t="s">
        <v>4615</v>
      </c>
      <c r="G1313" s="8" t="s">
        <v>4615</v>
      </c>
      <c r="H1313" s="9">
        <v>1000000</v>
      </c>
      <c r="I1313" s="9">
        <f>[1]!Tabel1[[#This Row],[Honorar]]*[1]!Tabel1[[#This Row],[Sandsynlighed]]</f>
        <v>100000</v>
      </c>
      <c r="J1313" s="10" t="s">
        <v>341</v>
      </c>
      <c r="K1313" s="1" t="s">
        <v>1062</v>
      </c>
      <c r="L1313" s="8"/>
      <c r="M1313" s="11">
        <v>0.05</v>
      </c>
      <c r="N1313" s="1"/>
      <c r="O1313" s="10">
        <v>46269.497465277775</v>
      </c>
      <c r="P1313" s="10" t="s">
        <v>46</v>
      </c>
      <c r="Q1313" s="1" t="s">
        <v>72</v>
      </c>
      <c r="R1313" s="8" t="s">
        <v>1265</v>
      </c>
      <c r="S131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1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1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1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1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1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1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1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1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1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1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1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1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13" s="12">
        <f ca="1">[1]!Tabel1[[#This Row],[Vægtet Honorar]]*([1]!Tabel1[[#This Row],[Sidst redigeret]]&gt;TODAY()-40)*([1]!Tabel1[[#This Row],[Er i resplan?]]&lt;&gt;"Ja")*([1]!Tabel1[[#This Row],[Status]]="Pågår")</f>
        <v>0</v>
      </c>
      <c r="AG1313" s="12">
        <f ca="1">[1]!Tabel1[[#This Row],[Vægtet Honorar]]*([1]!Tabel1[[#This Row],[Sidst redigeret]]&gt;TODAY()-40)*([1]!Tabel1[[#This Row],[Status]]="Pågår")</f>
        <v>0</v>
      </c>
      <c r="AH1313" s="13"/>
      <c r="AI1313" s="12"/>
      <c r="AJ1313" s="12" t="s">
        <v>2917</v>
      </c>
      <c r="AK1313" s="12"/>
      <c r="AL1313" s="12"/>
      <c r="AM1313" s="12"/>
      <c r="AN1313" s="12"/>
      <c r="AO1313" s="12"/>
      <c r="AP1313" s="12"/>
    </row>
    <row r="1314" spans="1:42">
      <c r="A1314" t="s">
        <v>4616</v>
      </c>
      <c r="B1314" s="8"/>
      <c r="C1314" s="8" t="s">
        <v>4614</v>
      </c>
      <c r="D1314" s="8" t="s">
        <v>2886</v>
      </c>
      <c r="E1314" s="8" t="s">
        <v>120</v>
      </c>
      <c r="F1314" s="8" t="s">
        <v>4615</v>
      </c>
      <c r="G1314" s="8" t="s">
        <v>4615</v>
      </c>
      <c r="H1314" s="9">
        <v>1000000</v>
      </c>
      <c r="I1314" s="9">
        <f>[1]!Tabel1[[#This Row],[Honorar]]*[1]!Tabel1[[#This Row],[Sandsynlighed]]</f>
        <v>50000</v>
      </c>
      <c r="J1314" s="10" t="s">
        <v>341</v>
      </c>
      <c r="K1314" s="1" t="s">
        <v>1062</v>
      </c>
      <c r="L1314" s="8"/>
      <c r="M1314" s="11">
        <v>0.05</v>
      </c>
      <c r="N1314" s="1"/>
      <c r="O1314" s="10">
        <v>46269.497488425928</v>
      </c>
      <c r="P1314" s="10" t="s">
        <v>46</v>
      </c>
      <c r="Q1314" s="1" t="s">
        <v>72</v>
      </c>
      <c r="R1314" s="8" t="s">
        <v>1265</v>
      </c>
      <c r="S131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1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1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1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1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1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1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1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1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1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1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1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1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14" s="12">
        <f ca="1">[1]!Tabel1[[#This Row],[Vægtet Honorar]]*([1]!Tabel1[[#This Row],[Sidst redigeret]]&gt;TODAY()-40)*([1]!Tabel1[[#This Row],[Er i resplan?]]&lt;&gt;"Ja")*([1]!Tabel1[[#This Row],[Status]]="Pågår")</f>
        <v>0</v>
      </c>
      <c r="AG1314" s="12">
        <f ca="1">[1]!Tabel1[[#This Row],[Vægtet Honorar]]*([1]!Tabel1[[#This Row],[Sidst redigeret]]&gt;TODAY()-40)*([1]!Tabel1[[#This Row],[Status]]="Pågår")</f>
        <v>0</v>
      </c>
      <c r="AH1314" s="13"/>
      <c r="AI1314" s="12"/>
      <c r="AJ1314" s="12" t="s">
        <v>2917</v>
      </c>
      <c r="AK1314" s="12"/>
      <c r="AL1314" s="12"/>
      <c r="AM1314" s="12"/>
      <c r="AN1314" s="12"/>
      <c r="AO1314" s="12"/>
      <c r="AP1314" s="12"/>
    </row>
    <row r="1315" spans="1:42">
      <c r="A1315" t="s">
        <v>4617</v>
      </c>
      <c r="B1315" s="8"/>
      <c r="C1315" s="8" t="s">
        <v>4618</v>
      </c>
      <c r="D1315" s="8" t="s">
        <v>720</v>
      </c>
      <c r="E1315" s="8" t="s">
        <v>71</v>
      </c>
      <c r="F1315" s="8" t="s">
        <v>4618</v>
      </c>
      <c r="G1315" s="8" t="s">
        <v>4619</v>
      </c>
      <c r="H1315" s="9">
        <v>1800000</v>
      </c>
      <c r="I1315" s="9">
        <f>[1]!Tabel1[[#This Row],[Honorar]]*[1]!Tabel1[[#This Row],[Sandsynlighed]]</f>
        <v>1500000</v>
      </c>
      <c r="J1315" s="10" t="s">
        <v>1310</v>
      </c>
      <c r="K1315" s="1" t="s">
        <v>898</v>
      </c>
      <c r="L1315" s="8" t="s">
        <v>4620</v>
      </c>
      <c r="M1315" s="11">
        <v>0.05</v>
      </c>
      <c r="N1315" s="1">
        <v>6000</v>
      </c>
      <c r="O1315" s="10">
        <v>46134.498900462961</v>
      </c>
      <c r="P1315" s="10" t="s">
        <v>46</v>
      </c>
      <c r="Q1315" s="1" t="s">
        <v>72</v>
      </c>
      <c r="R1315" s="8" t="s">
        <v>343</v>
      </c>
      <c r="S131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1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1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1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1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1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1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1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1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1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1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1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1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15" s="12">
        <f ca="1">[1]!Tabel1[[#This Row],[Vægtet Honorar]]*([1]!Tabel1[[#This Row],[Sidst redigeret]]&gt;TODAY()-40)*([1]!Tabel1[[#This Row],[Er i resplan?]]&lt;&gt;"Ja")*([1]!Tabel1[[#This Row],[Status]]="Pågår")</f>
        <v>0</v>
      </c>
      <c r="AG1315" s="12">
        <f ca="1">[1]!Tabel1[[#This Row],[Vægtet Honorar]]*([1]!Tabel1[[#This Row],[Sidst redigeret]]&gt;TODAY()-40)*([1]!Tabel1[[#This Row],[Status]]="Pågår")</f>
        <v>0</v>
      </c>
      <c r="AH1315" s="13"/>
      <c r="AI1315" s="12" t="s">
        <v>4621</v>
      </c>
      <c r="AJ1315" s="12" t="s">
        <v>1864</v>
      </c>
      <c r="AK1315" s="12"/>
      <c r="AL1315" s="12"/>
      <c r="AM1315" s="12"/>
      <c r="AN1315" s="12"/>
      <c r="AO1315" s="12"/>
      <c r="AP1315" s="12"/>
    </row>
    <row r="1316" spans="1:42">
      <c r="A1316" t="s">
        <v>4622</v>
      </c>
      <c r="B1316" s="8"/>
      <c r="C1316" s="8" t="s">
        <v>4623</v>
      </c>
      <c r="D1316" s="8" t="s">
        <v>2886</v>
      </c>
      <c r="E1316" s="8" t="s">
        <v>120</v>
      </c>
      <c r="F1316" s="8" t="s">
        <v>4624</v>
      </c>
      <c r="G1316" s="8" t="s">
        <v>3251</v>
      </c>
      <c r="H1316" s="9">
        <v>2000000</v>
      </c>
      <c r="I1316" s="9">
        <f>[1]!Tabel1[[#This Row],[Honorar]]*[1]!Tabel1[[#This Row],[Sandsynlighed]]</f>
        <v>350000</v>
      </c>
      <c r="J1316" s="10" t="s">
        <v>341</v>
      </c>
      <c r="K1316" s="1" t="s">
        <v>585</v>
      </c>
      <c r="L1316" s="8" t="s">
        <v>4625</v>
      </c>
      <c r="M1316" s="11">
        <v>0.05</v>
      </c>
      <c r="N1316" s="1" t="s">
        <v>4626</v>
      </c>
      <c r="O1316" s="10">
        <v>46269.497523148151</v>
      </c>
      <c r="P1316" s="10" t="s">
        <v>46</v>
      </c>
      <c r="Q1316" s="1" t="s">
        <v>72</v>
      </c>
      <c r="R1316" s="8" t="s">
        <v>1265</v>
      </c>
      <c r="S131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1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1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1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1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1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1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1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1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1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1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1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1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16" s="12">
        <f ca="1">[1]!Tabel1[[#This Row],[Vægtet Honorar]]*([1]!Tabel1[[#This Row],[Sidst redigeret]]&gt;TODAY()-40)*([1]!Tabel1[[#This Row],[Er i resplan?]]&lt;&gt;"Ja")*([1]!Tabel1[[#This Row],[Status]]="Pågår")</f>
        <v>0</v>
      </c>
      <c r="AG1316" s="12">
        <f ca="1">[1]!Tabel1[[#This Row],[Vægtet Honorar]]*([1]!Tabel1[[#This Row],[Sidst redigeret]]&gt;TODAY()-40)*([1]!Tabel1[[#This Row],[Status]]="Pågår")</f>
        <v>0</v>
      </c>
      <c r="AH1316" s="13"/>
      <c r="AI1316" s="12"/>
      <c r="AJ1316" s="12" t="s">
        <v>2917</v>
      </c>
      <c r="AK1316" s="12" t="s">
        <v>3251</v>
      </c>
      <c r="AL1316" s="12"/>
      <c r="AM1316" s="12"/>
      <c r="AN1316" s="12"/>
      <c r="AO1316" s="12" t="s">
        <v>4627</v>
      </c>
      <c r="AP1316" s="12"/>
    </row>
    <row r="1317" spans="1:42">
      <c r="A1317" t="s">
        <v>4628</v>
      </c>
      <c r="B1317" s="8"/>
      <c r="C1317" s="8" t="s">
        <v>4629</v>
      </c>
      <c r="D1317" s="8" t="s">
        <v>720</v>
      </c>
      <c r="E1317" s="8" t="s">
        <v>71</v>
      </c>
      <c r="F1317" s="8" t="s">
        <v>3311</v>
      </c>
      <c r="G1317" s="8"/>
      <c r="H1317" s="9">
        <v>5000000</v>
      </c>
      <c r="I1317" s="9">
        <f>[1]!Tabel1[[#This Row],[Honorar]]*[1]!Tabel1[[#This Row],[Sandsynlighed]]</f>
        <v>125000</v>
      </c>
      <c r="J1317" s="10" t="s">
        <v>1191</v>
      </c>
      <c r="K1317" s="1" t="s">
        <v>2093</v>
      </c>
      <c r="L1317" s="8"/>
      <c r="M1317" s="11">
        <v>0.01</v>
      </c>
      <c r="N1317" s="1"/>
      <c r="O1317" s="10">
        <v>45909.441770833335</v>
      </c>
      <c r="P1317" s="10"/>
      <c r="Q1317" s="1" t="s">
        <v>72</v>
      </c>
      <c r="R1317" s="8" t="s">
        <v>343</v>
      </c>
      <c r="S131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1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1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1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1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1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1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1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1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1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1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1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1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17" s="12">
        <f ca="1">[1]!Tabel1[[#This Row],[Vægtet Honorar]]*([1]!Tabel1[[#This Row],[Sidst redigeret]]&gt;TODAY()-40)*([1]!Tabel1[[#This Row],[Er i resplan?]]&lt;&gt;"Ja")*([1]!Tabel1[[#This Row],[Status]]="Pågår")</f>
        <v>0</v>
      </c>
      <c r="AG1317" s="12">
        <f ca="1">[1]!Tabel1[[#This Row],[Vægtet Honorar]]*([1]!Tabel1[[#This Row],[Sidst redigeret]]&gt;TODAY()-40)*([1]!Tabel1[[#This Row],[Status]]="Pågår")</f>
        <v>0</v>
      </c>
      <c r="AH1317" s="13"/>
      <c r="AI1317" s="12"/>
      <c r="AJ1317" s="12"/>
      <c r="AK1317" s="12"/>
      <c r="AL1317" s="12"/>
      <c r="AM1317" s="12"/>
      <c r="AN1317" s="12"/>
      <c r="AO1317" s="12"/>
      <c r="AP1317" s="12"/>
    </row>
    <row r="1318" spans="1:42">
      <c r="A1318" t="s">
        <v>4630</v>
      </c>
      <c r="B1318" s="8"/>
      <c r="C1318" s="8" t="s">
        <v>4631</v>
      </c>
      <c r="D1318" s="8" t="s">
        <v>896</v>
      </c>
      <c r="E1318" s="8" t="s">
        <v>94</v>
      </c>
      <c r="F1318" s="8" t="s">
        <v>527</v>
      </c>
      <c r="G1318" s="8" t="s">
        <v>1864</v>
      </c>
      <c r="H1318" s="9">
        <v>2000000</v>
      </c>
      <c r="I1318" s="9">
        <f>[1]!Tabel1[[#This Row],[Honorar]]*[1]!Tabel1[[#This Row],[Sandsynlighed]]</f>
        <v>50000</v>
      </c>
      <c r="J1318" s="10" t="s">
        <v>1191</v>
      </c>
      <c r="K1318" s="1" t="s">
        <v>585</v>
      </c>
      <c r="L1318" s="8"/>
      <c r="M1318" s="11">
        <v>0.2</v>
      </c>
      <c r="N1318" s="1">
        <v>1135</v>
      </c>
      <c r="O1318" s="10">
        <v>45950.510185185187</v>
      </c>
      <c r="P1318" s="10"/>
      <c r="Q1318" s="1" t="s">
        <v>72</v>
      </c>
      <c r="R1318" s="8" t="s">
        <v>75</v>
      </c>
      <c r="S131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1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1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1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1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1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1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1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1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1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1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1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1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18" s="12">
        <f ca="1">[1]!Tabel1[[#This Row],[Vægtet Honorar]]*([1]!Tabel1[[#This Row],[Sidst redigeret]]&gt;TODAY()-40)*([1]!Tabel1[[#This Row],[Er i resplan?]]&lt;&gt;"Ja")*([1]!Tabel1[[#This Row],[Status]]="Pågår")</f>
        <v>0</v>
      </c>
      <c r="AG1318" s="12">
        <f ca="1">[1]!Tabel1[[#This Row],[Vægtet Honorar]]*([1]!Tabel1[[#This Row],[Sidst redigeret]]&gt;TODAY()-40)*([1]!Tabel1[[#This Row],[Status]]="Pågår")</f>
        <v>0</v>
      </c>
      <c r="AH1318" s="13"/>
      <c r="AI1318" s="12"/>
      <c r="AJ1318" s="12" t="s">
        <v>1864</v>
      </c>
      <c r="AK1318" s="12"/>
      <c r="AL1318" s="12"/>
      <c r="AM1318" s="12"/>
      <c r="AN1318" s="12"/>
      <c r="AO1318" s="12"/>
      <c r="AP1318" s="12"/>
    </row>
    <row r="1319" spans="1:42">
      <c r="A1319" t="s">
        <v>4632</v>
      </c>
      <c r="B1319" s="8"/>
      <c r="C1319" s="8" t="s">
        <v>4633</v>
      </c>
      <c r="D1319" s="8" t="s">
        <v>896</v>
      </c>
      <c r="E1319" s="8" t="s">
        <v>94</v>
      </c>
      <c r="F1319" s="8" t="s">
        <v>3066</v>
      </c>
      <c r="G1319" s="8" t="s">
        <v>1864</v>
      </c>
      <c r="H1319" s="9">
        <v>4000000</v>
      </c>
      <c r="I1319" s="9">
        <f>[1]!Tabel1[[#This Row],[Honorar]]*[1]!Tabel1[[#This Row],[Sandsynlighed]]</f>
        <v>50000</v>
      </c>
      <c r="J1319" s="10" t="s">
        <v>1191</v>
      </c>
      <c r="K1319" s="1" t="s">
        <v>585</v>
      </c>
      <c r="L1319" s="8"/>
      <c r="M1319" s="11">
        <v>0.01</v>
      </c>
      <c r="N1319" s="1">
        <v>1950</v>
      </c>
      <c r="O1319" s="10">
        <v>45988.440254629626</v>
      </c>
      <c r="P1319" s="10"/>
      <c r="Q1319" s="1" t="s">
        <v>72</v>
      </c>
      <c r="R1319" s="8" t="s">
        <v>49</v>
      </c>
      <c r="S131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1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1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1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1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1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1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1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1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1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1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1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1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19" s="12">
        <f ca="1">[1]!Tabel1[[#This Row],[Vægtet Honorar]]*([1]!Tabel1[[#This Row],[Sidst redigeret]]&gt;TODAY()-40)*([1]!Tabel1[[#This Row],[Er i resplan?]]&lt;&gt;"Ja")*([1]!Tabel1[[#This Row],[Status]]="Pågår")</f>
        <v>0</v>
      </c>
      <c r="AG1319" s="12">
        <f ca="1">[1]!Tabel1[[#This Row],[Vægtet Honorar]]*([1]!Tabel1[[#This Row],[Sidst redigeret]]&gt;TODAY()-40)*([1]!Tabel1[[#This Row],[Status]]="Pågår")</f>
        <v>0</v>
      </c>
      <c r="AH1319" s="13"/>
      <c r="AI1319" s="12"/>
      <c r="AJ1319" s="12" t="s">
        <v>1864</v>
      </c>
      <c r="AK1319" s="12"/>
      <c r="AL1319" s="12"/>
      <c r="AM1319" s="12"/>
      <c r="AN1319" s="12"/>
      <c r="AO1319" s="12"/>
      <c r="AP1319" s="12"/>
    </row>
    <row r="1320" spans="1:42">
      <c r="A1320" t="s">
        <v>4634</v>
      </c>
      <c r="B1320" s="8"/>
      <c r="C1320" s="8" t="s">
        <v>4635</v>
      </c>
      <c r="D1320" s="8" t="s">
        <v>896</v>
      </c>
      <c r="E1320" s="8" t="s">
        <v>94</v>
      </c>
      <c r="F1320" s="8" t="s">
        <v>4636</v>
      </c>
      <c r="G1320" s="8" t="s">
        <v>4636</v>
      </c>
      <c r="H1320" s="9">
        <v>1000000</v>
      </c>
      <c r="I1320" s="9">
        <f>[1]!Tabel1[[#This Row],[Honorar]]*[1]!Tabel1[[#This Row],[Sandsynlighed]]</f>
        <v>90000</v>
      </c>
      <c r="J1320" s="10" t="s">
        <v>1191</v>
      </c>
      <c r="K1320" s="1" t="s">
        <v>2405</v>
      </c>
      <c r="L1320" s="8"/>
      <c r="M1320" s="11">
        <v>1</v>
      </c>
      <c r="N1320" s="1">
        <v>16000</v>
      </c>
      <c r="O1320" s="10">
        <v>45938.528263888889</v>
      </c>
      <c r="P1320" s="10"/>
      <c r="Q1320" s="1" t="s">
        <v>72</v>
      </c>
      <c r="R1320" s="8" t="s">
        <v>47</v>
      </c>
      <c r="S132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2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2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2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2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2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2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2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2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2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2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2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2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20" s="12">
        <f ca="1">[1]!Tabel1[[#This Row],[Vægtet Honorar]]*([1]!Tabel1[[#This Row],[Sidst redigeret]]&gt;TODAY()-40)*([1]!Tabel1[[#This Row],[Er i resplan?]]&lt;&gt;"Ja")*([1]!Tabel1[[#This Row],[Status]]="Pågår")</f>
        <v>0</v>
      </c>
      <c r="AG1320" s="12">
        <f ca="1">[1]!Tabel1[[#This Row],[Vægtet Honorar]]*([1]!Tabel1[[#This Row],[Sidst redigeret]]&gt;TODAY()-40)*([1]!Tabel1[[#This Row],[Status]]="Pågår")</f>
        <v>0</v>
      </c>
      <c r="AH1320" s="13">
        <v>45938.527673611112</v>
      </c>
      <c r="AI1320" s="12"/>
      <c r="AJ1320" s="12" t="s">
        <v>2107</v>
      </c>
      <c r="AK1320" s="12"/>
      <c r="AL1320" s="12"/>
      <c r="AM1320" s="12"/>
      <c r="AN1320" s="12"/>
      <c r="AO1320" s="12"/>
      <c r="AP1320" s="12"/>
    </row>
    <row r="1321" spans="1:42">
      <c r="A1321" t="s">
        <v>4637</v>
      </c>
      <c r="B1321" s="8"/>
      <c r="C1321" s="8" t="s">
        <v>4638</v>
      </c>
      <c r="D1321" s="8" t="s">
        <v>4639</v>
      </c>
      <c r="E1321" s="8" t="s">
        <v>167</v>
      </c>
      <c r="F1321" s="8" t="s">
        <v>2802</v>
      </c>
      <c r="G1321" s="8" t="s">
        <v>2802</v>
      </c>
      <c r="H1321" s="9">
        <v>4200000</v>
      </c>
      <c r="I1321" s="9">
        <f>[1]!Tabel1[[#This Row],[Honorar]]*[1]!Tabel1[[#This Row],[Sandsynlighed]]</f>
        <v>100000</v>
      </c>
      <c r="J1321" s="10" t="s">
        <v>1287</v>
      </c>
      <c r="K1321" s="1" t="s">
        <v>1323</v>
      </c>
      <c r="L1321" s="8"/>
      <c r="M1321" s="11">
        <v>0.5</v>
      </c>
      <c r="N1321" s="1">
        <v>6000</v>
      </c>
      <c r="O1321" s="10">
        <v>45909.441770833335</v>
      </c>
      <c r="P1321" s="10" t="s">
        <v>4640</v>
      </c>
      <c r="Q1321" s="1" t="s">
        <v>46</v>
      </c>
      <c r="R1321" s="8" t="s">
        <v>343</v>
      </c>
      <c r="S132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2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2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2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2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2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2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2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2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2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2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2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2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21" s="12">
        <f ca="1">[1]!Tabel1[[#This Row],[Vægtet Honorar]]*([1]!Tabel1[[#This Row],[Sidst redigeret]]&gt;TODAY()-40)*([1]!Tabel1[[#This Row],[Er i resplan?]]&lt;&gt;"Ja")*([1]!Tabel1[[#This Row],[Status]]="Pågår")</f>
        <v>0</v>
      </c>
      <c r="AG1321" s="12">
        <f ca="1">[1]!Tabel1[[#This Row],[Vægtet Honorar]]*([1]!Tabel1[[#This Row],[Sidst redigeret]]&gt;TODAY()-40)*([1]!Tabel1[[#This Row],[Status]]="Pågår")</f>
        <v>0</v>
      </c>
      <c r="AH1321" s="13"/>
      <c r="AI1321" s="12"/>
      <c r="AJ1321" s="12" t="s">
        <v>2107</v>
      </c>
      <c r="AK1321" s="12" t="s">
        <v>1711</v>
      </c>
      <c r="AL1321" s="12"/>
      <c r="AM1321" s="12"/>
      <c r="AN1321" s="12"/>
      <c r="AO1321" s="12"/>
      <c r="AP1321" s="12"/>
    </row>
    <row r="1322" spans="1:42">
      <c r="A1322" t="s">
        <v>4641</v>
      </c>
      <c r="B1322" s="8"/>
      <c r="C1322" s="8" t="s">
        <v>4642</v>
      </c>
      <c r="D1322" s="8" t="s">
        <v>2886</v>
      </c>
      <c r="E1322" s="8" t="s">
        <v>120</v>
      </c>
      <c r="F1322" s="8" t="s">
        <v>4643</v>
      </c>
      <c r="G1322" s="8" t="s">
        <v>3251</v>
      </c>
      <c r="H1322" s="9">
        <v>1500000</v>
      </c>
      <c r="I1322" s="9">
        <f>[1]!Tabel1[[#This Row],[Honorar]]*[1]!Tabel1[[#This Row],[Sandsynlighed]]</f>
        <v>50000</v>
      </c>
      <c r="J1322" s="10" t="s">
        <v>341</v>
      </c>
      <c r="K1322" s="1" t="s">
        <v>1062</v>
      </c>
      <c r="L1322" s="8"/>
      <c r="M1322" s="11">
        <v>0.05</v>
      </c>
      <c r="N1322" s="1">
        <v>4300</v>
      </c>
      <c r="O1322" s="10">
        <v>46269.497557870367</v>
      </c>
      <c r="P1322" s="10" t="s">
        <v>46</v>
      </c>
      <c r="Q1322" s="1" t="s">
        <v>72</v>
      </c>
      <c r="R1322" s="8" t="s">
        <v>1265</v>
      </c>
      <c r="S132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2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2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2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2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2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2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2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2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2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2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2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2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22" s="12">
        <f ca="1">[1]!Tabel1[[#This Row],[Vægtet Honorar]]*([1]!Tabel1[[#This Row],[Sidst redigeret]]&gt;TODAY()-40)*([1]!Tabel1[[#This Row],[Er i resplan?]]&lt;&gt;"Ja")*([1]!Tabel1[[#This Row],[Status]]="Pågår")</f>
        <v>0</v>
      </c>
      <c r="AG1322" s="12">
        <f ca="1">[1]!Tabel1[[#This Row],[Vægtet Honorar]]*([1]!Tabel1[[#This Row],[Sidst redigeret]]&gt;TODAY()-40)*([1]!Tabel1[[#This Row],[Status]]="Pågår")</f>
        <v>0</v>
      </c>
      <c r="AH1322" s="13"/>
      <c r="AI1322" s="12"/>
      <c r="AJ1322" s="12" t="s">
        <v>2944</v>
      </c>
      <c r="AK1322" s="12" t="s">
        <v>3251</v>
      </c>
      <c r="AL1322" s="12"/>
      <c r="AM1322" s="12"/>
      <c r="AN1322" s="12"/>
      <c r="AO1322" s="12" t="s">
        <v>4596</v>
      </c>
      <c r="AP1322" s="12"/>
    </row>
    <row r="1323" spans="1:42" ht="105">
      <c r="A1323" t="s">
        <v>4644</v>
      </c>
      <c r="B1323" s="8"/>
      <c r="C1323" s="8" t="s">
        <v>4645</v>
      </c>
      <c r="D1323" s="8" t="s">
        <v>896</v>
      </c>
      <c r="E1323" s="8" t="s">
        <v>94</v>
      </c>
      <c r="F1323" s="8" t="s">
        <v>4646</v>
      </c>
      <c r="G1323" s="8" t="s">
        <v>1864</v>
      </c>
      <c r="H1323" s="9">
        <v>1500000</v>
      </c>
      <c r="I1323" s="9">
        <f>[1]!Tabel1[[#This Row],[Honorar]]*[1]!Tabel1[[#This Row],[Sandsynlighed]]</f>
        <v>400000</v>
      </c>
      <c r="J1323" s="10" t="s">
        <v>341</v>
      </c>
      <c r="K1323" s="1" t="s">
        <v>1062</v>
      </c>
      <c r="L1323" s="17" t="s">
        <v>4647</v>
      </c>
      <c r="M1323" s="11">
        <v>0.01</v>
      </c>
      <c r="N1323" s="1">
        <v>500</v>
      </c>
      <c r="O1323" s="10">
        <v>46266.432546296295</v>
      </c>
      <c r="P1323" s="10" t="s">
        <v>46</v>
      </c>
      <c r="Q1323" s="1" t="s">
        <v>72</v>
      </c>
      <c r="R1323" s="8" t="s">
        <v>343</v>
      </c>
      <c r="S132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2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2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2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2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2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2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2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2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2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2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2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2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23" s="12">
        <f ca="1">[1]!Tabel1[[#This Row],[Vægtet Honorar]]*([1]!Tabel1[[#This Row],[Sidst redigeret]]&gt;TODAY()-40)*([1]!Tabel1[[#This Row],[Er i resplan?]]&lt;&gt;"Ja")*([1]!Tabel1[[#This Row],[Status]]="Pågår")</f>
        <v>0</v>
      </c>
      <c r="AG1323" s="12">
        <f ca="1">[1]!Tabel1[[#This Row],[Vægtet Honorar]]*([1]!Tabel1[[#This Row],[Sidst redigeret]]&gt;TODAY()-40)*([1]!Tabel1[[#This Row],[Status]]="Pågår")</f>
        <v>0</v>
      </c>
      <c r="AH1323" s="13"/>
      <c r="AI1323" s="12"/>
      <c r="AJ1323" s="12" t="s">
        <v>1864</v>
      </c>
      <c r="AK1323" s="12"/>
      <c r="AL1323" s="12"/>
      <c r="AM1323" s="12"/>
      <c r="AN1323" s="12"/>
      <c r="AO1323" s="12"/>
      <c r="AP1323" s="12"/>
    </row>
    <row r="1324" spans="1:42">
      <c r="A1324" t="s">
        <v>4648</v>
      </c>
      <c r="B1324" s="8"/>
      <c r="C1324" s="8" t="s">
        <v>4649</v>
      </c>
      <c r="D1324" s="8" t="s">
        <v>896</v>
      </c>
      <c r="E1324" s="8" t="s">
        <v>94</v>
      </c>
      <c r="F1324" s="8" t="s">
        <v>589</v>
      </c>
      <c r="G1324" s="8" t="s">
        <v>4120</v>
      </c>
      <c r="H1324" s="9">
        <v>3500000</v>
      </c>
      <c r="I1324" s="9">
        <f>[1]!Tabel1[[#This Row],[Honorar]]*[1]!Tabel1[[#This Row],[Sandsynlighed]]</f>
        <v>40000</v>
      </c>
      <c r="J1324" s="10" t="s">
        <v>341</v>
      </c>
      <c r="K1324" s="1" t="s">
        <v>1062</v>
      </c>
      <c r="L1324" s="8" t="s">
        <v>4650</v>
      </c>
      <c r="M1324" s="11">
        <v>0.01</v>
      </c>
      <c r="N1324" s="1">
        <v>2200</v>
      </c>
      <c r="O1324" s="10">
        <v>46058.483530092592</v>
      </c>
      <c r="P1324" s="10" t="s">
        <v>46</v>
      </c>
      <c r="Q1324" s="1" t="s">
        <v>72</v>
      </c>
      <c r="R1324" s="8" t="s">
        <v>49</v>
      </c>
      <c r="S132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2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2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2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2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2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2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2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2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2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2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2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2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24" s="12">
        <f ca="1">[1]!Tabel1[[#This Row],[Vægtet Honorar]]*([1]!Tabel1[[#This Row],[Sidst redigeret]]&gt;TODAY()-40)*([1]!Tabel1[[#This Row],[Er i resplan?]]&lt;&gt;"Ja")*([1]!Tabel1[[#This Row],[Status]]="Pågår")</f>
        <v>0</v>
      </c>
      <c r="AG1324" s="12">
        <f ca="1">[1]!Tabel1[[#This Row],[Vægtet Honorar]]*([1]!Tabel1[[#This Row],[Sidst redigeret]]&gt;TODAY()-40)*([1]!Tabel1[[#This Row],[Status]]="Pågår")</f>
        <v>0</v>
      </c>
      <c r="AH1324" s="13"/>
      <c r="AI1324" s="12"/>
      <c r="AJ1324" s="12" t="s">
        <v>3523</v>
      </c>
      <c r="AK1324" s="12"/>
      <c r="AL1324" s="12"/>
      <c r="AM1324" s="12"/>
      <c r="AN1324" s="12"/>
      <c r="AO1324" s="12"/>
      <c r="AP1324" s="12"/>
    </row>
    <row r="1325" spans="1:42" ht="105">
      <c r="A1325" t="s">
        <v>4651</v>
      </c>
      <c r="B1325" s="8"/>
      <c r="C1325" s="8" t="s">
        <v>4652</v>
      </c>
      <c r="D1325" s="8" t="s">
        <v>896</v>
      </c>
      <c r="E1325" s="8" t="s">
        <v>94</v>
      </c>
      <c r="F1325" s="8" t="s">
        <v>4646</v>
      </c>
      <c r="G1325" s="8" t="s">
        <v>1864</v>
      </c>
      <c r="H1325" s="9">
        <v>1500000</v>
      </c>
      <c r="I1325" s="9">
        <f>[1]!Tabel1[[#This Row],[Honorar]]*[1]!Tabel1[[#This Row],[Sandsynlighed]]</f>
        <v>1000000</v>
      </c>
      <c r="J1325" s="10" t="s">
        <v>341</v>
      </c>
      <c r="K1325" s="1" t="s">
        <v>1062</v>
      </c>
      <c r="L1325" s="17" t="s">
        <v>4653</v>
      </c>
      <c r="M1325" s="11">
        <v>0.01</v>
      </c>
      <c r="N1325" s="1">
        <v>500</v>
      </c>
      <c r="O1325" s="10">
        <v>46266.432662037034</v>
      </c>
      <c r="P1325" s="10" t="s">
        <v>46</v>
      </c>
      <c r="Q1325" s="1" t="s">
        <v>72</v>
      </c>
      <c r="R1325" s="8" t="s">
        <v>343</v>
      </c>
      <c r="S132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2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2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2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2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2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2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2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2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2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2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2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2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25" s="12">
        <f ca="1">[1]!Tabel1[[#This Row],[Vægtet Honorar]]*([1]!Tabel1[[#This Row],[Sidst redigeret]]&gt;TODAY()-40)*([1]!Tabel1[[#This Row],[Er i resplan?]]&lt;&gt;"Ja")*([1]!Tabel1[[#This Row],[Status]]="Pågår")</f>
        <v>0</v>
      </c>
      <c r="AG1325" s="12">
        <f ca="1">[1]!Tabel1[[#This Row],[Vægtet Honorar]]*([1]!Tabel1[[#This Row],[Sidst redigeret]]&gt;TODAY()-40)*([1]!Tabel1[[#This Row],[Status]]="Pågår")</f>
        <v>0</v>
      </c>
      <c r="AH1325" s="13"/>
      <c r="AI1325" s="12"/>
      <c r="AJ1325" s="12" t="s">
        <v>1864</v>
      </c>
      <c r="AK1325" s="12"/>
      <c r="AL1325" s="12"/>
      <c r="AM1325" s="12"/>
      <c r="AN1325" s="12"/>
      <c r="AO1325" s="12"/>
      <c r="AP1325" s="12"/>
    </row>
    <row r="1326" spans="1:42">
      <c r="A1326" t="s">
        <v>4654</v>
      </c>
      <c r="B1326" s="8"/>
      <c r="C1326" s="8" t="s">
        <v>4655</v>
      </c>
      <c r="D1326" s="8" t="s">
        <v>2886</v>
      </c>
      <c r="E1326" s="8" t="s">
        <v>120</v>
      </c>
      <c r="F1326" s="8" t="s">
        <v>4656</v>
      </c>
      <c r="G1326" s="8" t="s">
        <v>3695</v>
      </c>
      <c r="H1326" s="9">
        <v>500000</v>
      </c>
      <c r="I1326" s="9">
        <f>[1]!Tabel1[[#This Row],[Honorar]]*[1]!Tabel1[[#This Row],[Sandsynlighed]]</f>
        <v>2100000</v>
      </c>
      <c r="J1326" s="10" t="s">
        <v>1287</v>
      </c>
      <c r="K1326" s="1" t="s">
        <v>585</v>
      </c>
      <c r="L1326" s="8"/>
      <c r="M1326" s="11">
        <v>0.33</v>
      </c>
      <c r="N1326" s="1"/>
      <c r="O1326" s="10">
        <v>46269.497673611113</v>
      </c>
      <c r="P1326" s="10" t="s">
        <v>46</v>
      </c>
      <c r="Q1326" s="1" t="s">
        <v>46</v>
      </c>
      <c r="R1326" s="8" t="s">
        <v>75</v>
      </c>
      <c r="S132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2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2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2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2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2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2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2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2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2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2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2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2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26" s="12">
        <f ca="1">[1]!Tabel1[[#This Row],[Vægtet Honorar]]*([1]!Tabel1[[#This Row],[Sidst redigeret]]&gt;TODAY()-40)*([1]!Tabel1[[#This Row],[Er i resplan?]]&lt;&gt;"Ja")*([1]!Tabel1[[#This Row],[Status]]="Pågår")</f>
        <v>0</v>
      </c>
      <c r="AG1326" s="12">
        <f ca="1">[1]!Tabel1[[#This Row],[Vægtet Honorar]]*([1]!Tabel1[[#This Row],[Sidst redigeret]]&gt;TODAY()-40)*([1]!Tabel1[[#This Row],[Status]]="Pågår")</f>
        <v>0</v>
      </c>
      <c r="AH1326" s="13"/>
      <c r="AI1326" s="12"/>
      <c r="AJ1326" s="12" t="s">
        <v>3695</v>
      </c>
      <c r="AK1326" s="12"/>
      <c r="AL1326" s="12"/>
      <c r="AM1326" s="12"/>
      <c r="AN1326" s="12"/>
      <c r="AO1326" s="12" t="s">
        <v>4657</v>
      </c>
      <c r="AP1326" s="12"/>
    </row>
    <row r="1327" spans="1:42">
      <c r="A1327" t="s">
        <v>4658</v>
      </c>
      <c r="B1327" s="8"/>
      <c r="C1327" s="8" t="s">
        <v>4659</v>
      </c>
      <c r="D1327" s="8" t="s">
        <v>2886</v>
      </c>
      <c r="E1327" s="8" t="s">
        <v>120</v>
      </c>
      <c r="F1327" s="8" t="s">
        <v>2687</v>
      </c>
      <c r="G1327" s="8" t="s">
        <v>3330</v>
      </c>
      <c r="H1327" s="9">
        <v>100000</v>
      </c>
      <c r="I1327" s="9">
        <f>[1]!Tabel1[[#This Row],[Honorar]]*[1]!Tabel1[[#This Row],[Sandsynlighed]]</f>
        <v>75000</v>
      </c>
      <c r="J1327" s="10" t="s">
        <v>1287</v>
      </c>
      <c r="K1327" s="1" t="s">
        <v>1191</v>
      </c>
      <c r="L1327" s="8"/>
      <c r="M1327" s="11">
        <v>0.5</v>
      </c>
      <c r="N1327" s="1"/>
      <c r="O1327" s="10">
        <v>46269.497743055559</v>
      </c>
      <c r="P1327" s="10" t="s">
        <v>4507</v>
      </c>
      <c r="Q1327" s="1" t="s">
        <v>46</v>
      </c>
      <c r="R1327" s="8" t="s">
        <v>4031</v>
      </c>
      <c r="S132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2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2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2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2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2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2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2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2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2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2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2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2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27" s="12">
        <f ca="1">[1]!Tabel1[[#This Row],[Vægtet Honorar]]*([1]!Tabel1[[#This Row],[Sidst redigeret]]&gt;TODAY()-40)*([1]!Tabel1[[#This Row],[Er i resplan?]]&lt;&gt;"Ja")*([1]!Tabel1[[#This Row],[Status]]="Pågår")</f>
        <v>0</v>
      </c>
      <c r="AG1327" s="12">
        <f ca="1">[1]!Tabel1[[#This Row],[Vægtet Honorar]]*([1]!Tabel1[[#This Row],[Sidst redigeret]]&gt;TODAY()-40)*([1]!Tabel1[[#This Row],[Status]]="Pågår")</f>
        <v>0</v>
      </c>
      <c r="AH1327" s="13">
        <v>46269.497743055559</v>
      </c>
      <c r="AI1327" s="12"/>
      <c r="AJ1327" s="12" t="s">
        <v>3330</v>
      </c>
      <c r="AK1327" s="12"/>
      <c r="AL1327" s="12"/>
      <c r="AM1327" s="12"/>
      <c r="AN1327" s="12"/>
      <c r="AO1327" s="12"/>
      <c r="AP1327" s="12"/>
    </row>
    <row r="1328" spans="1:42">
      <c r="A1328" t="s">
        <v>4660</v>
      </c>
      <c r="B1328" s="8"/>
      <c r="C1328" s="8" t="s">
        <v>4661</v>
      </c>
      <c r="D1328" s="8" t="s">
        <v>720</v>
      </c>
      <c r="E1328" s="8" t="s">
        <v>71</v>
      </c>
      <c r="F1328" s="8" t="s">
        <v>4662</v>
      </c>
      <c r="G1328" s="8" t="s">
        <v>4663</v>
      </c>
      <c r="H1328" s="9">
        <v>1500000</v>
      </c>
      <c r="I1328" s="9">
        <f>[1]!Tabel1[[#This Row],[Honorar]]*[1]!Tabel1[[#This Row],[Sandsynlighed]]</f>
        <v>15000</v>
      </c>
      <c r="J1328" s="10" t="s">
        <v>1287</v>
      </c>
      <c r="K1328" s="1" t="s">
        <v>342</v>
      </c>
      <c r="L1328" s="8"/>
      <c r="M1328" s="11">
        <v>0.05</v>
      </c>
      <c r="N1328" s="1"/>
      <c r="O1328" s="10">
        <v>45909.441770833335</v>
      </c>
      <c r="P1328" s="10" t="s">
        <v>4507</v>
      </c>
      <c r="Q1328" s="1"/>
      <c r="R1328" s="8" t="s">
        <v>343</v>
      </c>
      <c r="S132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2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2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2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2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2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2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2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2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2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2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2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2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28" s="12">
        <f ca="1">[1]!Tabel1[[#This Row],[Vægtet Honorar]]*([1]!Tabel1[[#This Row],[Sidst redigeret]]&gt;TODAY()-40)*([1]!Tabel1[[#This Row],[Er i resplan?]]&lt;&gt;"Ja")*([1]!Tabel1[[#This Row],[Status]]="Pågår")</f>
        <v>15000</v>
      </c>
      <c r="AG1328" s="12">
        <f ca="1">[1]!Tabel1[[#This Row],[Vægtet Honorar]]*([1]!Tabel1[[#This Row],[Sidst redigeret]]&gt;TODAY()-40)*([1]!Tabel1[[#This Row],[Status]]="Pågår")</f>
        <v>15000</v>
      </c>
      <c r="AH1328" s="13"/>
      <c r="AI1328" s="12"/>
      <c r="AJ1328" s="12"/>
      <c r="AK1328" s="12"/>
      <c r="AL1328" s="12"/>
      <c r="AM1328" s="12"/>
      <c r="AN1328" s="12"/>
      <c r="AO1328" s="12"/>
      <c r="AP1328" s="12"/>
    </row>
    <row r="1329" spans="1:42">
      <c r="A1329" t="s">
        <v>4664</v>
      </c>
      <c r="B1329" s="8"/>
      <c r="C1329" s="8" t="s">
        <v>4665</v>
      </c>
      <c r="D1329" s="8" t="s">
        <v>720</v>
      </c>
      <c r="E1329" s="8" t="s">
        <v>71</v>
      </c>
      <c r="F1329" s="8" t="s">
        <v>4666</v>
      </c>
      <c r="G1329" s="8" t="s">
        <v>4663</v>
      </c>
      <c r="H1329" s="9">
        <v>1500000</v>
      </c>
      <c r="I1329" s="9">
        <f>[1]!Tabel1[[#This Row],[Honorar]]*[1]!Tabel1[[#This Row],[Sandsynlighed]]</f>
        <v>35000</v>
      </c>
      <c r="J1329" s="10" t="s">
        <v>1287</v>
      </c>
      <c r="K1329" s="1" t="s">
        <v>342</v>
      </c>
      <c r="L1329" s="8"/>
      <c r="M1329" s="11">
        <v>0.05</v>
      </c>
      <c r="N1329" s="1"/>
      <c r="O1329" s="10">
        <v>45909.441770833335</v>
      </c>
      <c r="P1329" s="10" t="s">
        <v>4507</v>
      </c>
      <c r="Q1329" s="1"/>
      <c r="R1329" s="8" t="s">
        <v>343</v>
      </c>
      <c r="S132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2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2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2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2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2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2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2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2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2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2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2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2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29" s="12">
        <f ca="1">[1]!Tabel1[[#This Row],[Vægtet Honorar]]*([1]!Tabel1[[#This Row],[Sidst redigeret]]&gt;TODAY()-40)*([1]!Tabel1[[#This Row],[Er i resplan?]]&lt;&gt;"Ja")*([1]!Tabel1[[#This Row],[Status]]="Pågår")</f>
        <v>0</v>
      </c>
      <c r="AG1329" s="12">
        <f ca="1">[1]!Tabel1[[#This Row],[Vægtet Honorar]]*([1]!Tabel1[[#This Row],[Sidst redigeret]]&gt;TODAY()-40)*([1]!Tabel1[[#This Row],[Status]]="Pågår")</f>
        <v>0</v>
      </c>
      <c r="AH1329" s="13"/>
      <c r="AI1329" s="12"/>
      <c r="AJ1329" s="12"/>
      <c r="AK1329" s="12"/>
      <c r="AL1329" s="12"/>
      <c r="AM1329" s="12"/>
      <c r="AN1329" s="12"/>
      <c r="AO1329" s="12"/>
      <c r="AP1329" s="12"/>
    </row>
    <row r="1330" spans="1:42">
      <c r="A1330" t="s">
        <v>4667</v>
      </c>
      <c r="B1330" s="8"/>
      <c r="C1330" s="8" t="s">
        <v>4668</v>
      </c>
      <c r="D1330" s="8" t="s">
        <v>435</v>
      </c>
      <c r="E1330" s="8" t="s">
        <v>71</v>
      </c>
      <c r="F1330" s="8" t="s">
        <v>2522</v>
      </c>
      <c r="G1330" s="8" t="s">
        <v>2522</v>
      </c>
      <c r="H1330" s="9">
        <v>50000</v>
      </c>
      <c r="I1330" s="9">
        <f>[1]!Tabel1[[#This Row],[Honorar]]*[1]!Tabel1[[#This Row],[Sandsynlighed]]</f>
        <v>15000</v>
      </c>
      <c r="J1330" s="10" t="s">
        <v>1287</v>
      </c>
      <c r="K1330" s="1" t="s">
        <v>342</v>
      </c>
      <c r="L1330" s="8"/>
      <c r="M1330" s="11">
        <v>0.05</v>
      </c>
      <c r="N1330" s="1"/>
      <c r="O1330" s="10">
        <v>45909.441770833335</v>
      </c>
      <c r="P1330" s="10" t="s">
        <v>4507</v>
      </c>
      <c r="Q1330" s="1" t="s">
        <v>72</v>
      </c>
      <c r="R1330" s="8" t="s">
        <v>343</v>
      </c>
      <c r="S133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3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3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3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3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3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3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3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3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3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3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3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3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30" s="12">
        <f ca="1">[1]!Tabel1[[#This Row],[Vægtet Honorar]]*([1]!Tabel1[[#This Row],[Sidst redigeret]]&gt;TODAY()-40)*([1]!Tabel1[[#This Row],[Er i resplan?]]&lt;&gt;"Ja")*([1]!Tabel1[[#This Row],[Status]]="Pågår")</f>
        <v>15000</v>
      </c>
      <c r="AG1330" s="12">
        <f ca="1">[1]!Tabel1[[#This Row],[Vægtet Honorar]]*([1]!Tabel1[[#This Row],[Sidst redigeret]]&gt;TODAY()-40)*([1]!Tabel1[[#This Row],[Status]]="Pågår")</f>
        <v>15000</v>
      </c>
      <c r="AH1330" s="13"/>
      <c r="AI1330" s="12"/>
      <c r="AJ1330" s="12"/>
      <c r="AK1330" s="12"/>
      <c r="AL1330" s="12"/>
      <c r="AM1330" s="12"/>
      <c r="AN1330" s="12"/>
      <c r="AO1330" s="12"/>
      <c r="AP1330" s="12"/>
    </row>
    <row r="1331" spans="1:42">
      <c r="A1331" t="s">
        <v>4669</v>
      </c>
      <c r="B1331" s="8"/>
      <c r="C1331" s="8" t="s">
        <v>4670</v>
      </c>
      <c r="D1331" s="8" t="s">
        <v>4254</v>
      </c>
      <c r="E1331" s="8" t="s">
        <v>167</v>
      </c>
      <c r="F1331" s="8" t="s">
        <v>2450</v>
      </c>
      <c r="G1331" s="8" t="s">
        <v>2450</v>
      </c>
      <c r="H1331" s="9">
        <v>7500</v>
      </c>
      <c r="I1331" s="9">
        <f>[1]!Tabel1[[#This Row],[Honorar]]*[1]!Tabel1[[#This Row],[Sandsynlighed]]</f>
        <v>165000</v>
      </c>
      <c r="J1331" s="10" t="s">
        <v>1287</v>
      </c>
      <c r="K1331" s="1" t="s">
        <v>1191</v>
      </c>
      <c r="L1331" s="8"/>
      <c r="M1331" s="11">
        <v>0.5</v>
      </c>
      <c r="N1331" s="1"/>
      <c r="O1331" s="10">
        <v>45909.441770833335</v>
      </c>
      <c r="P1331" s="10" t="s">
        <v>4507</v>
      </c>
      <c r="Q1331" s="1" t="s">
        <v>72</v>
      </c>
      <c r="R1331" s="8" t="s">
        <v>343</v>
      </c>
      <c r="S133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3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3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3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3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3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3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3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3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3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3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3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3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31" s="12">
        <f ca="1">[1]!Tabel1[[#This Row],[Vægtet Honorar]]*([1]!Tabel1[[#This Row],[Sidst redigeret]]&gt;TODAY()-40)*([1]!Tabel1[[#This Row],[Er i resplan?]]&lt;&gt;"Ja")*([1]!Tabel1[[#This Row],[Status]]="Pågår")</f>
        <v>0</v>
      </c>
      <c r="AG1331" s="12">
        <f ca="1">[1]!Tabel1[[#This Row],[Vægtet Honorar]]*([1]!Tabel1[[#This Row],[Sidst redigeret]]&gt;TODAY()-40)*([1]!Tabel1[[#This Row],[Status]]="Pågår")</f>
        <v>0</v>
      </c>
      <c r="AH1331" s="13"/>
      <c r="AI1331" s="12"/>
      <c r="AJ1331" s="12"/>
      <c r="AK1331" s="12"/>
      <c r="AL1331" s="12"/>
      <c r="AM1331" s="12"/>
      <c r="AN1331" s="12"/>
      <c r="AO1331" s="12"/>
      <c r="AP1331" s="12"/>
    </row>
    <row r="1332" spans="1:42">
      <c r="A1332" t="s">
        <v>4671</v>
      </c>
      <c r="B1332" s="8"/>
      <c r="C1332" s="8" t="s">
        <v>4672</v>
      </c>
      <c r="D1332" s="8" t="s">
        <v>4254</v>
      </c>
      <c r="E1332" s="8" t="s">
        <v>167</v>
      </c>
      <c r="F1332" s="8" t="s">
        <v>4477</v>
      </c>
      <c r="G1332" s="8" t="s">
        <v>4477</v>
      </c>
      <c r="H1332" s="9">
        <v>200000</v>
      </c>
      <c r="I1332" s="9">
        <f>[1]!Tabel1[[#This Row],[Honorar]]*[1]!Tabel1[[#This Row],[Sandsynlighed]]</f>
        <v>50000</v>
      </c>
      <c r="J1332" s="10" t="s">
        <v>1287</v>
      </c>
      <c r="K1332" s="1" t="s">
        <v>1191</v>
      </c>
      <c r="L1332" s="8"/>
      <c r="M1332" s="11">
        <v>0.5</v>
      </c>
      <c r="N1332" s="1"/>
      <c r="O1332" s="10">
        <v>45909.441770833335</v>
      </c>
      <c r="P1332" s="10" t="s">
        <v>4507</v>
      </c>
      <c r="Q1332" s="1" t="s">
        <v>72</v>
      </c>
      <c r="R1332" s="8" t="s">
        <v>343</v>
      </c>
      <c r="S133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3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3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3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3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3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3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3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3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3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3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3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3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32" s="12">
        <f ca="1">[1]!Tabel1[[#This Row],[Vægtet Honorar]]*([1]!Tabel1[[#This Row],[Sidst redigeret]]&gt;TODAY()-40)*([1]!Tabel1[[#This Row],[Er i resplan?]]&lt;&gt;"Ja")*([1]!Tabel1[[#This Row],[Status]]="Pågår")</f>
        <v>0</v>
      </c>
      <c r="AG1332" s="12">
        <f ca="1">[1]!Tabel1[[#This Row],[Vægtet Honorar]]*([1]!Tabel1[[#This Row],[Sidst redigeret]]&gt;TODAY()-40)*([1]!Tabel1[[#This Row],[Status]]="Pågår")</f>
        <v>0</v>
      </c>
      <c r="AH1332" s="13"/>
      <c r="AI1332" s="12"/>
      <c r="AJ1332" s="12"/>
      <c r="AK1332" s="12"/>
      <c r="AL1332" s="12"/>
      <c r="AM1332" s="12"/>
      <c r="AN1332" s="12"/>
      <c r="AO1332" s="12"/>
      <c r="AP1332" s="12"/>
    </row>
    <row r="1333" spans="1:42">
      <c r="A1333" t="s">
        <v>4673</v>
      </c>
      <c r="B1333" s="8"/>
      <c r="C1333" s="8" t="s">
        <v>4674</v>
      </c>
      <c r="D1333" s="8" t="s">
        <v>4254</v>
      </c>
      <c r="E1333" s="8" t="s">
        <v>167</v>
      </c>
      <c r="F1333" s="8" t="s">
        <v>671</v>
      </c>
      <c r="G1333" s="8" t="s">
        <v>671</v>
      </c>
      <c r="H1333" s="9">
        <v>750000</v>
      </c>
      <c r="I1333" s="9">
        <f>[1]!Tabel1[[#This Row],[Honorar]]*[1]!Tabel1[[#This Row],[Sandsynlighed]]</f>
        <v>75000</v>
      </c>
      <c r="J1333" s="10" t="s">
        <v>342</v>
      </c>
      <c r="K1333" s="1" t="s">
        <v>1191</v>
      </c>
      <c r="L1333" s="8"/>
      <c r="M1333" s="11">
        <v>0.2</v>
      </c>
      <c r="N1333" s="1"/>
      <c r="O1333" s="10">
        <v>45909.441770833335</v>
      </c>
      <c r="P1333" s="10" t="s">
        <v>4507</v>
      </c>
      <c r="Q1333" s="1" t="s">
        <v>72</v>
      </c>
      <c r="R1333" s="8" t="s">
        <v>343</v>
      </c>
      <c r="S133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3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3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3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3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3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3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3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3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3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3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3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3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33" s="12">
        <f ca="1">[1]!Tabel1[[#This Row],[Vægtet Honorar]]*([1]!Tabel1[[#This Row],[Sidst redigeret]]&gt;TODAY()-40)*([1]!Tabel1[[#This Row],[Er i resplan?]]&lt;&gt;"Ja")*([1]!Tabel1[[#This Row],[Status]]="Pågår")</f>
        <v>0</v>
      </c>
      <c r="AG1333" s="12">
        <f ca="1">[1]!Tabel1[[#This Row],[Vægtet Honorar]]*([1]!Tabel1[[#This Row],[Sidst redigeret]]&gt;TODAY()-40)*([1]!Tabel1[[#This Row],[Status]]="Pågår")</f>
        <v>0</v>
      </c>
      <c r="AH1333" s="13"/>
      <c r="AI1333" s="12"/>
      <c r="AJ1333" s="12"/>
      <c r="AK1333" s="12"/>
      <c r="AL1333" s="12"/>
      <c r="AM1333" s="12"/>
      <c r="AN1333" s="12"/>
      <c r="AO1333" s="12"/>
      <c r="AP1333" s="12"/>
    </row>
    <row r="1334" spans="1:42">
      <c r="A1334" t="s">
        <v>4675</v>
      </c>
      <c r="B1334" s="8"/>
      <c r="C1334" s="8" t="s">
        <v>4676</v>
      </c>
      <c r="D1334" s="8" t="s">
        <v>70</v>
      </c>
      <c r="E1334" s="8" t="s">
        <v>102</v>
      </c>
      <c r="F1334" s="8" t="s">
        <v>1538</v>
      </c>
      <c r="G1334" s="8" t="s">
        <v>1538</v>
      </c>
      <c r="H1334" s="9">
        <v>2000000</v>
      </c>
      <c r="I1334" s="9">
        <f>[1]!Tabel1[[#This Row],[Honorar]]*[1]!Tabel1[[#This Row],[Sandsynlighed]]</f>
        <v>75000</v>
      </c>
      <c r="J1334" s="10" t="s">
        <v>1310</v>
      </c>
      <c r="K1334" s="1" t="s">
        <v>342</v>
      </c>
      <c r="L1334" s="8"/>
      <c r="M1334" s="11">
        <v>0.5</v>
      </c>
      <c r="N1334" s="1"/>
      <c r="O1334" s="10">
        <v>46024.551400462966</v>
      </c>
      <c r="P1334" s="10" t="s">
        <v>46</v>
      </c>
      <c r="Q1334" s="1" t="s">
        <v>72</v>
      </c>
      <c r="R1334" s="8" t="s">
        <v>343</v>
      </c>
      <c r="S133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3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3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3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3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3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3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3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3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3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3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3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3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34" s="12">
        <f ca="1">[1]!Tabel1[[#This Row],[Vægtet Honorar]]*([1]!Tabel1[[#This Row],[Sidst redigeret]]&gt;TODAY()-40)*([1]!Tabel1[[#This Row],[Er i resplan?]]&lt;&gt;"Ja")*([1]!Tabel1[[#This Row],[Status]]="Pågår")</f>
        <v>0</v>
      </c>
      <c r="AG1334" s="12">
        <f ca="1">[1]!Tabel1[[#This Row],[Vægtet Honorar]]*([1]!Tabel1[[#This Row],[Sidst redigeret]]&gt;TODAY()-40)*([1]!Tabel1[[#This Row],[Status]]="Pågår")</f>
        <v>0</v>
      </c>
      <c r="AH1334" s="13"/>
      <c r="AI1334" s="12"/>
      <c r="AJ1334" s="12" t="s">
        <v>4677</v>
      </c>
      <c r="AK1334" s="12"/>
      <c r="AL1334" s="12"/>
      <c r="AM1334" s="12"/>
      <c r="AN1334" s="12"/>
      <c r="AO1334" s="12"/>
      <c r="AP1334" s="12"/>
    </row>
    <row r="1335" spans="1:42">
      <c r="A1335" t="s">
        <v>4678</v>
      </c>
      <c r="B1335" s="8"/>
      <c r="C1335" s="8" t="s">
        <v>4679</v>
      </c>
      <c r="D1335" s="8" t="s">
        <v>1771</v>
      </c>
      <c r="E1335" s="8" t="s">
        <v>167</v>
      </c>
      <c r="F1335" s="8" t="s">
        <v>1538</v>
      </c>
      <c r="G1335" s="8" t="s">
        <v>1538</v>
      </c>
      <c r="H1335" s="9">
        <v>3000000</v>
      </c>
      <c r="I1335" s="9">
        <f>[1]!Tabel1[[#This Row],[Honorar]]*[1]!Tabel1[[#This Row],[Sandsynlighed]]</f>
        <v>2500</v>
      </c>
      <c r="J1335" s="10" t="s">
        <v>898</v>
      </c>
      <c r="K1335" s="1" t="s">
        <v>4300</v>
      </c>
      <c r="L1335" s="8" t="s">
        <v>4680</v>
      </c>
      <c r="M1335" s="11">
        <v>0</v>
      </c>
      <c r="N1335" s="1" t="s">
        <v>4681</v>
      </c>
      <c r="O1335" s="10">
        <v>46034.471261574072</v>
      </c>
      <c r="P1335" s="10"/>
      <c r="Q1335" s="1" t="s">
        <v>72</v>
      </c>
      <c r="R1335" s="8" t="s">
        <v>75</v>
      </c>
      <c r="S133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3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3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3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3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3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3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3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3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3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3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3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3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35" s="12">
        <f ca="1">[1]!Tabel1[[#This Row],[Vægtet Honorar]]*([1]!Tabel1[[#This Row],[Sidst redigeret]]&gt;TODAY()-40)*([1]!Tabel1[[#This Row],[Er i resplan?]]&lt;&gt;"Ja")*([1]!Tabel1[[#This Row],[Status]]="Pågår")</f>
        <v>0</v>
      </c>
      <c r="AG1335" s="12">
        <f ca="1">[1]!Tabel1[[#This Row],[Vægtet Honorar]]*([1]!Tabel1[[#This Row],[Sidst redigeret]]&gt;TODAY()-40)*([1]!Tabel1[[#This Row],[Status]]="Pågår")</f>
        <v>0</v>
      </c>
      <c r="AH1335" s="13"/>
      <c r="AI1335" s="12"/>
      <c r="AJ1335" s="12" t="s">
        <v>4682</v>
      </c>
      <c r="AK1335" s="12"/>
      <c r="AL1335" s="12"/>
      <c r="AM1335" s="12"/>
      <c r="AN1335" s="12"/>
      <c r="AO1335" s="12"/>
      <c r="AP1335" s="12"/>
    </row>
    <row r="1336" spans="1:42">
      <c r="A1336" t="s">
        <v>4683</v>
      </c>
      <c r="B1336" s="8"/>
      <c r="C1336" s="8" t="s">
        <v>2810</v>
      </c>
      <c r="D1336" s="8" t="s">
        <v>70</v>
      </c>
      <c r="E1336" s="8" t="s">
        <v>102</v>
      </c>
      <c r="F1336" s="8" t="s">
        <v>1538</v>
      </c>
      <c r="G1336" s="8" t="s">
        <v>1538</v>
      </c>
      <c r="H1336" s="9">
        <v>1500000</v>
      </c>
      <c r="I1336" s="9">
        <f>[1]!Tabel1[[#This Row],[Honorar]]*[1]!Tabel1[[#This Row],[Sandsynlighed]]</f>
        <v>3750</v>
      </c>
      <c r="J1336" s="10" t="s">
        <v>341</v>
      </c>
      <c r="K1336" s="1" t="s">
        <v>342</v>
      </c>
      <c r="L1336" s="8"/>
      <c r="M1336" s="11">
        <v>0.5</v>
      </c>
      <c r="N1336" s="1" t="s">
        <v>4684</v>
      </c>
      <c r="O1336" s="10">
        <v>46024.551435185182</v>
      </c>
      <c r="P1336" s="10" t="s">
        <v>46</v>
      </c>
      <c r="Q1336" s="1" t="s">
        <v>72</v>
      </c>
      <c r="R1336" s="8" t="s">
        <v>343</v>
      </c>
      <c r="S133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3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3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3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3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3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3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3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3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3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3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3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3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36" s="12">
        <f ca="1">[1]!Tabel1[[#This Row],[Vægtet Honorar]]*([1]!Tabel1[[#This Row],[Sidst redigeret]]&gt;TODAY()-40)*([1]!Tabel1[[#This Row],[Er i resplan?]]&lt;&gt;"Ja")*([1]!Tabel1[[#This Row],[Status]]="Pågår")</f>
        <v>0</v>
      </c>
      <c r="AG1336" s="12">
        <f ca="1">[1]!Tabel1[[#This Row],[Vægtet Honorar]]*([1]!Tabel1[[#This Row],[Sidst redigeret]]&gt;TODAY()-40)*([1]!Tabel1[[#This Row],[Status]]="Pågår")</f>
        <v>0</v>
      </c>
      <c r="AH1336" s="13"/>
      <c r="AI1336" s="12"/>
      <c r="AJ1336" s="12" t="s">
        <v>1626</v>
      </c>
      <c r="AK1336" s="12"/>
      <c r="AL1336" s="12"/>
      <c r="AM1336" s="12"/>
      <c r="AN1336" s="12" t="s">
        <v>47</v>
      </c>
      <c r="AO1336" s="12"/>
      <c r="AP1336" s="12"/>
    </row>
    <row r="1337" spans="1:42">
      <c r="A1337" t="s">
        <v>4685</v>
      </c>
      <c r="B1337" s="8"/>
      <c r="C1337" s="8" t="s">
        <v>4686</v>
      </c>
      <c r="D1337" s="8" t="s">
        <v>1771</v>
      </c>
      <c r="E1337" s="8" t="s">
        <v>167</v>
      </c>
      <c r="F1337" s="8" t="s">
        <v>4687</v>
      </c>
      <c r="G1337" s="8" t="s">
        <v>4687</v>
      </c>
      <c r="H1337" s="9">
        <v>200000</v>
      </c>
      <c r="I1337" s="9">
        <f>[1]!Tabel1[[#This Row],[Honorar]]*[1]!Tabel1[[#This Row],[Sandsynlighed]]</f>
        <v>100000</v>
      </c>
      <c r="J1337" s="10" t="s">
        <v>1287</v>
      </c>
      <c r="K1337" s="1" t="s">
        <v>1310</v>
      </c>
      <c r="L1337" s="8"/>
      <c r="M1337" s="11">
        <v>1</v>
      </c>
      <c r="N1337" s="1" t="s">
        <v>4688</v>
      </c>
      <c r="O1337" s="10">
        <v>45909.441770833335</v>
      </c>
      <c r="P1337" s="10" t="s">
        <v>46</v>
      </c>
      <c r="Q1337" s="1" t="s">
        <v>4507</v>
      </c>
      <c r="R1337" s="8" t="s">
        <v>4031</v>
      </c>
      <c r="S133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3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3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3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3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3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3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3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3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3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3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3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3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37" s="12">
        <f ca="1">[1]!Tabel1[[#This Row],[Vægtet Honorar]]*([1]!Tabel1[[#This Row],[Sidst redigeret]]&gt;TODAY()-40)*([1]!Tabel1[[#This Row],[Er i resplan?]]&lt;&gt;"Ja")*([1]!Tabel1[[#This Row],[Status]]="Pågår")</f>
        <v>0</v>
      </c>
      <c r="AG1337" s="12">
        <f ca="1">[1]!Tabel1[[#This Row],[Vægtet Honorar]]*([1]!Tabel1[[#This Row],[Sidst redigeret]]&gt;TODAY()-40)*([1]!Tabel1[[#This Row],[Status]]="Pågår")</f>
        <v>0</v>
      </c>
      <c r="AH1337" s="13">
        <v>45909.441793981481</v>
      </c>
      <c r="AI1337" s="12"/>
      <c r="AJ1337" s="12"/>
      <c r="AK1337" s="12"/>
      <c r="AL1337" s="12"/>
      <c r="AM1337" s="12"/>
      <c r="AN1337" s="12"/>
      <c r="AO1337" s="12"/>
      <c r="AP1337" s="12"/>
    </row>
    <row r="1338" spans="1:42">
      <c r="A1338" t="s">
        <v>4689</v>
      </c>
      <c r="B1338" s="8"/>
      <c r="C1338" s="8" t="s">
        <v>4690</v>
      </c>
      <c r="D1338" s="8" t="s">
        <v>896</v>
      </c>
      <c r="E1338" s="8" t="s">
        <v>94</v>
      </c>
      <c r="F1338" s="8" t="s">
        <v>1735</v>
      </c>
      <c r="G1338" s="8" t="s">
        <v>2107</v>
      </c>
      <c r="H1338" s="9">
        <v>3000000</v>
      </c>
      <c r="I1338" s="9">
        <f>[1]!Tabel1[[#This Row],[Honorar]]*[1]!Tabel1[[#This Row],[Sandsynlighed]]</f>
        <v>150000</v>
      </c>
      <c r="J1338" s="10" t="s">
        <v>341</v>
      </c>
      <c r="K1338" s="1" t="s">
        <v>1062</v>
      </c>
      <c r="L1338" s="8"/>
      <c r="M1338" s="11">
        <v>0.01</v>
      </c>
      <c r="N1338" s="1" t="s">
        <v>4688</v>
      </c>
      <c r="O1338" s="10">
        <v>46209.618067129632</v>
      </c>
      <c r="P1338" s="10" t="s">
        <v>46</v>
      </c>
      <c r="Q1338" s="1" t="s">
        <v>72</v>
      </c>
      <c r="R1338" s="8" t="s">
        <v>49</v>
      </c>
      <c r="S133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3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3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3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3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3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3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3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3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3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3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3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3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38" s="12">
        <f ca="1">[1]!Tabel1[[#This Row],[Vægtet Honorar]]*([1]!Tabel1[[#This Row],[Sidst redigeret]]&gt;TODAY()-40)*([1]!Tabel1[[#This Row],[Er i resplan?]]&lt;&gt;"Ja")*([1]!Tabel1[[#This Row],[Status]]="Pågår")</f>
        <v>0</v>
      </c>
      <c r="AG1338" s="12">
        <f ca="1">[1]!Tabel1[[#This Row],[Vægtet Honorar]]*([1]!Tabel1[[#This Row],[Sidst redigeret]]&gt;TODAY()-40)*([1]!Tabel1[[#This Row],[Status]]="Pågår")</f>
        <v>0</v>
      </c>
      <c r="AH1338" s="13"/>
      <c r="AI1338" s="12"/>
      <c r="AJ1338" s="12" t="s">
        <v>3124</v>
      </c>
      <c r="AK1338" s="12"/>
      <c r="AL1338" s="12"/>
      <c r="AM1338" s="12"/>
      <c r="AN1338" s="12"/>
      <c r="AO1338" s="12"/>
      <c r="AP1338" s="12"/>
    </row>
    <row r="1339" spans="1:42">
      <c r="A1339" t="s">
        <v>4691</v>
      </c>
      <c r="B1339" s="8"/>
      <c r="C1339" s="8" t="s">
        <v>4692</v>
      </c>
      <c r="D1339" s="8" t="s">
        <v>896</v>
      </c>
      <c r="E1339" s="8" t="s">
        <v>94</v>
      </c>
      <c r="F1339" s="8" t="s">
        <v>3335</v>
      </c>
      <c r="G1339" s="8" t="s">
        <v>5437</v>
      </c>
      <c r="H1339" s="9">
        <v>3000000</v>
      </c>
      <c r="I1339" s="9">
        <f>[1]!Tabel1[[#This Row],[Honorar]]*[1]!Tabel1[[#This Row],[Sandsynlighed]]</f>
        <v>1000000</v>
      </c>
      <c r="J1339" s="10" t="s">
        <v>341</v>
      </c>
      <c r="K1339" s="1" t="s">
        <v>1062</v>
      </c>
      <c r="L1339" s="8" t="s">
        <v>4650</v>
      </c>
      <c r="M1339" s="11">
        <v>0.01</v>
      </c>
      <c r="N1339" s="1">
        <v>3000</v>
      </c>
      <c r="O1339" s="10">
        <v>46279.61996527778</v>
      </c>
      <c r="P1339" s="10" t="s">
        <v>46</v>
      </c>
      <c r="Q1339" s="1" t="s">
        <v>72</v>
      </c>
      <c r="R1339" s="8" t="s">
        <v>343</v>
      </c>
      <c r="S133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3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3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3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3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3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3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3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3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3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3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3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3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39" s="12">
        <f ca="1">[1]!Tabel1[[#This Row],[Vægtet Honorar]]*([1]!Tabel1[[#This Row],[Sidst redigeret]]&gt;TODAY()-40)*([1]!Tabel1[[#This Row],[Er i resplan?]]&lt;&gt;"Ja")*([1]!Tabel1[[#This Row],[Status]]="Pågår")</f>
        <v>0</v>
      </c>
      <c r="AG1339" s="12">
        <f ca="1">[1]!Tabel1[[#This Row],[Vægtet Honorar]]*([1]!Tabel1[[#This Row],[Sidst redigeret]]&gt;TODAY()-40)*([1]!Tabel1[[#This Row],[Status]]="Pågår")</f>
        <v>0</v>
      </c>
      <c r="AH1339" s="13"/>
      <c r="AI1339" s="12"/>
      <c r="AJ1339" s="12" t="s">
        <v>4693</v>
      </c>
      <c r="AK1339" s="12"/>
      <c r="AL1339" s="12"/>
      <c r="AM1339" s="12"/>
      <c r="AN1339" s="12"/>
      <c r="AO1339" s="12"/>
      <c r="AP1339" s="12"/>
    </row>
    <row r="1340" spans="1:42">
      <c r="A1340" t="s">
        <v>4694</v>
      </c>
      <c r="B1340" s="8"/>
      <c r="C1340" s="8" t="s">
        <v>4695</v>
      </c>
      <c r="D1340" s="8" t="s">
        <v>896</v>
      </c>
      <c r="E1340" s="8" t="s">
        <v>94</v>
      </c>
      <c r="F1340" s="8" t="s">
        <v>3948</v>
      </c>
      <c r="G1340" s="8" t="s">
        <v>3948</v>
      </c>
      <c r="H1340" s="9">
        <v>1000000</v>
      </c>
      <c r="I1340" s="9">
        <f>[1]!Tabel1[[#This Row],[Honorar]]*[1]!Tabel1[[#This Row],[Sandsynlighed]]</f>
        <v>0</v>
      </c>
      <c r="J1340" s="10" t="s">
        <v>341</v>
      </c>
      <c r="K1340" s="1" t="s">
        <v>1062</v>
      </c>
      <c r="L1340" s="8" t="s">
        <v>4696</v>
      </c>
      <c r="M1340" s="11">
        <v>0.01</v>
      </c>
      <c r="N1340" s="1">
        <v>3000</v>
      </c>
      <c r="O1340" s="10">
        <v>45966.611967592595</v>
      </c>
      <c r="P1340" s="10" t="s">
        <v>46</v>
      </c>
      <c r="Q1340" s="1" t="s">
        <v>72</v>
      </c>
      <c r="R1340" s="8" t="s">
        <v>75</v>
      </c>
      <c r="S134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4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4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4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4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4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4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4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4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4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4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4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4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40" s="12">
        <f ca="1">[1]!Tabel1[[#This Row],[Vægtet Honorar]]*([1]!Tabel1[[#This Row],[Sidst redigeret]]&gt;TODAY()-40)*([1]!Tabel1[[#This Row],[Er i resplan?]]&lt;&gt;"Ja")*([1]!Tabel1[[#This Row],[Status]]="Pågår")</f>
        <v>0</v>
      </c>
      <c r="AG1340" s="12">
        <f ca="1">[1]!Tabel1[[#This Row],[Vægtet Honorar]]*([1]!Tabel1[[#This Row],[Sidst redigeret]]&gt;TODAY()-40)*([1]!Tabel1[[#This Row],[Status]]="Pågår")</f>
        <v>0</v>
      </c>
      <c r="AH1340" s="13"/>
      <c r="AI1340" s="12"/>
      <c r="AJ1340" s="12" t="s">
        <v>3948</v>
      </c>
      <c r="AK1340" s="12"/>
      <c r="AL1340" s="12"/>
      <c r="AM1340" s="12"/>
      <c r="AN1340" s="12"/>
      <c r="AO1340" s="12"/>
      <c r="AP1340" s="12"/>
    </row>
    <row r="1341" spans="1:42">
      <c r="A1341" t="s">
        <v>4697</v>
      </c>
      <c r="B1341" s="8"/>
      <c r="C1341" s="8" t="s">
        <v>4698</v>
      </c>
      <c r="D1341" s="8" t="s">
        <v>2886</v>
      </c>
      <c r="E1341" s="8" t="s">
        <v>120</v>
      </c>
      <c r="F1341" s="8" t="s">
        <v>4699</v>
      </c>
      <c r="G1341" s="8" t="s">
        <v>2393</v>
      </c>
      <c r="H1341" s="9">
        <v>10000000</v>
      </c>
      <c r="I1341" s="9">
        <f>[1]!Tabel1[[#This Row],[Honorar]]*[1]!Tabel1[[#This Row],[Sandsynlighed]]</f>
        <v>750000</v>
      </c>
      <c r="J1341" s="10" t="s">
        <v>1062</v>
      </c>
      <c r="K1341" s="1" t="s">
        <v>2039</v>
      </c>
      <c r="L1341" s="8"/>
      <c r="M1341" s="11">
        <v>0.05</v>
      </c>
      <c r="N1341" s="1">
        <v>4000</v>
      </c>
      <c r="O1341" s="10">
        <v>45909.442083333335</v>
      </c>
      <c r="P1341" s="10" t="s">
        <v>46</v>
      </c>
      <c r="Q1341" s="1" t="s">
        <v>72</v>
      </c>
      <c r="R1341" s="8" t="s">
        <v>343</v>
      </c>
      <c r="S134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4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4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4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4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4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4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4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4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4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4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4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4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41" s="12">
        <f ca="1">[1]!Tabel1[[#This Row],[Vægtet Honorar]]*([1]!Tabel1[[#This Row],[Sidst redigeret]]&gt;TODAY()-40)*([1]!Tabel1[[#This Row],[Er i resplan?]]&lt;&gt;"Ja")*([1]!Tabel1[[#This Row],[Status]]="Pågår")</f>
        <v>0</v>
      </c>
      <c r="AG1341" s="12">
        <f ca="1">[1]!Tabel1[[#This Row],[Vægtet Honorar]]*([1]!Tabel1[[#This Row],[Sidst redigeret]]&gt;TODAY()-40)*([1]!Tabel1[[#This Row],[Status]]="Pågår")</f>
        <v>0</v>
      </c>
      <c r="AH1341" s="13"/>
      <c r="AI1341" s="12"/>
      <c r="AJ1341" s="12" t="s">
        <v>2393</v>
      </c>
      <c r="AK1341" s="12"/>
      <c r="AL1341" s="12"/>
      <c r="AM1341" s="12"/>
      <c r="AN1341" s="12"/>
      <c r="AO1341" s="12"/>
      <c r="AP1341" s="12"/>
    </row>
    <row r="1342" spans="1:42">
      <c r="A1342" t="s">
        <v>4700</v>
      </c>
      <c r="B1342" s="8"/>
      <c r="C1342" s="8" t="s">
        <v>4701</v>
      </c>
      <c r="D1342" s="8" t="s">
        <v>158</v>
      </c>
      <c r="E1342" s="8" t="s">
        <v>167</v>
      </c>
      <c r="F1342" s="8" t="s">
        <v>3311</v>
      </c>
      <c r="G1342" s="8" t="s">
        <v>2902</v>
      </c>
      <c r="H1342" s="9">
        <v>1000000</v>
      </c>
      <c r="I1342" s="9">
        <f>[1]!Tabel1[[#This Row],[Honorar]]*[1]!Tabel1[[#This Row],[Sandsynlighed]]</f>
        <v>200000</v>
      </c>
      <c r="J1342" s="10" t="s">
        <v>341</v>
      </c>
      <c r="K1342" s="1" t="s">
        <v>2039</v>
      </c>
      <c r="L1342" s="8"/>
      <c r="M1342" s="11">
        <v>0.05</v>
      </c>
      <c r="N1342" s="1"/>
      <c r="O1342" s="10">
        <v>45909.442083333335</v>
      </c>
      <c r="P1342" s="10" t="s">
        <v>72</v>
      </c>
      <c r="Q1342" s="1" t="s">
        <v>72</v>
      </c>
      <c r="R1342" s="8" t="s">
        <v>343</v>
      </c>
      <c r="S134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4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4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4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4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4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4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4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4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4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4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4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4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42" s="12">
        <f ca="1">[1]!Tabel1[[#This Row],[Vægtet Honorar]]*([1]!Tabel1[[#This Row],[Sidst redigeret]]&gt;TODAY()-40)*([1]!Tabel1[[#This Row],[Er i resplan?]]&lt;&gt;"Ja")*([1]!Tabel1[[#This Row],[Status]]="Pågår")</f>
        <v>0</v>
      </c>
      <c r="AG1342" s="12">
        <f ca="1">[1]!Tabel1[[#This Row],[Vægtet Honorar]]*([1]!Tabel1[[#This Row],[Sidst redigeret]]&gt;TODAY()-40)*([1]!Tabel1[[#This Row],[Status]]="Pågår")</f>
        <v>0</v>
      </c>
      <c r="AH1342" s="13"/>
      <c r="AI1342" s="12"/>
      <c r="AJ1342" s="12"/>
      <c r="AK1342" s="12"/>
      <c r="AL1342" s="12"/>
      <c r="AM1342" s="12"/>
      <c r="AN1342" s="12"/>
      <c r="AO1342" s="12"/>
      <c r="AP1342" s="12"/>
    </row>
    <row r="1343" spans="1:42">
      <c r="A1343" t="s">
        <v>4702</v>
      </c>
      <c r="B1343" s="8"/>
      <c r="C1343" s="8" t="s">
        <v>4703</v>
      </c>
      <c r="D1343" s="8" t="s">
        <v>3242</v>
      </c>
      <c r="E1343" s="8" t="s">
        <v>120</v>
      </c>
      <c r="F1343" s="8" t="s">
        <v>4704</v>
      </c>
      <c r="G1343" s="8" t="s">
        <v>1170</v>
      </c>
      <c r="H1343" s="9">
        <v>3000000</v>
      </c>
      <c r="I1343" s="9">
        <f>[1]!Tabel1[[#This Row],[Honorar]]*[1]!Tabel1[[#This Row],[Sandsynlighed]]</f>
        <v>30000</v>
      </c>
      <c r="J1343" s="10" t="s">
        <v>1310</v>
      </c>
      <c r="K1343" s="1" t="s">
        <v>2405</v>
      </c>
      <c r="L1343" s="8"/>
      <c r="M1343" s="11">
        <v>1</v>
      </c>
      <c r="N1343" s="1"/>
      <c r="O1343" s="10">
        <v>46269.497835648152</v>
      </c>
      <c r="P1343" s="10" t="s">
        <v>4507</v>
      </c>
      <c r="Q1343" s="1" t="s">
        <v>46</v>
      </c>
      <c r="R1343" s="8" t="s">
        <v>75</v>
      </c>
      <c r="S134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4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4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4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4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4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4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4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4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4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4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4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4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43" s="12">
        <f ca="1">[1]!Tabel1[[#This Row],[Vægtet Honorar]]*([1]!Tabel1[[#This Row],[Sidst redigeret]]&gt;TODAY()-40)*([1]!Tabel1[[#This Row],[Er i resplan?]]&lt;&gt;"Ja")*([1]!Tabel1[[#This Row],[Status]]="Pågår")</f>
        <v>0</v>
      </c>
      <c r="AG1343" s="12">
        <f ca="1">[1]!Tabel1[[#This Row],[Vægtet Honorar]]*([1]!Tabel1[[#This Row],[Sidst redigeret]]&gt;TODAY()-40)*([1]!Tabel1[[#This Row],[Status]]="Pågår")</f>
        <v>0</v>
      </c>
      <c r="AH1343" s="13"/>
      <c r="AI1343" s="12"/>
      <c r="AJ1343" s="12" t="s">
        <v>2541</v>
      </c>
      <c r="AK1343" s="12" t="s">
        <v>1170</v>
      </c>
      <c r="AL1343" s="12"/>
      <c r="AM1343" s="12"/>
      <c r="AN1343" s="12"/>
      <c r="AO1343" s="12"/>
      <c r="AP1343" s="12"/>
    </row>
    <row r="1344" spans="1:42">
      <c r="A1344" t="s">
        <v>4705</v>
      </c>
      <c r="B1344" s="8"/>
      <c r="C1344" s="8" t="s">
        <v>4706</v>
      </c>
      <c r="D1344" s="8" t="s">
        <v>1623</v>
      </c>
      <c r="E1344" s="8" t="s">
        <v>102</v>
      </c>
      <c r="F1344" s="8" t="s">
        <v>4707</v>
      </c>
      <c r="G1344" s="8" t="s">
        <v>4707</v>
      </c>
      <c r="H1344" s="9">
        <v>1700000</v>
      </c>
      <c r="I1344" s="9">
        <f>[1]!Tabel1[[#This Row],[Honorar]]*[1]!Tabel1[[#This Row],[Sandsynlighed]]</f>
        <v>30000</v>
      </c>
      <c r="J1344" s="10" t="s">
        <v>1191</v>
      </c>
      <c r="K1344" s="1" t="s">
        <v>1062</v>
      </c>
      <c r="L1344" s="8"/>
      <c r="M1344" s="11">
        <v>0.5</v>
      </c>
      <c r="N1344" s="1">
        <v>2800</v>
      </c>
      <c r="O1344" s="10">
        <v>45993.551111111112</v>
      </c>
      <c r="P1344" s="10"/>
      <c r="Q1344" s="1" t="s">
        <v>46</v>
      </c>
      <c r="R1344" s="8" t="s">
        <v>343</v>
      </c>
      <c r="S134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4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4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4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4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4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4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4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4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4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4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4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4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44" s="12">
        <f ca="1">[1]!Tabel1[[#This Row],[Vægtet Honorar]]*([1]!Tabel1[[#This Row],[Sidst redigeret]]&gt;TODAY()-40)*([1]!Tabel1[[#This Row],[Er i resplan?]]&lt;&gt;"Ja")*([1]!Tabel1[[#This Row],[Status]]="Pågår")</f>
        <v>30000</v>
      </c>
      <c r="AG1344" s="12">
        <f ca="1">[1]!Tabel1[[#This Row],[Vægtet Honorar]]*([1]!Tabel1[[#This Row],[Sidst redigeret]]&gt;TODAY()-40)*([1]!Tabel1[[#This Row],[Status]]="Pågår")</f>
        <v>30000</v>
      </c>
      <c r="AH1344" s="13"/>
      <c r="AI1344" s="12"/>
      <c r="AJ1344" s="12"/>
      <c r="AK1344" s="12"/>
      <c r="AL1344" s="12"/>
      <c r="AM1344" s="12"/>
      <c r="AN1344" s="12"/>
      <c r="AO1344" s="12"/>
      <c r="AP1344" s="12"/>
    </row>
    <row r="1345" spans="1:42">
      <c r="A1345" t="s">
        <v>4708</v>
      </c>
      <c r="B1345" s="8"/>
      <c r="C1345" s="8" t="s">
        <v>4709</v>
      </c>
      <c r="D1345" s="8" t="s">
        <v>1771</v>
      </c>
      <c r="E1345" s="8" t="s">
        <v>167</v>
      </c>
      <c r="F1345" s="8" t="s">
        <v>4710</v>
      </c>
      <c r="G1345" s="8" t="s">
        <v>4711</v>
      </c>
      <c r="H1345" s="9">
        <v>100000</v>
      </c>
      <c r="I1345" s="9">
        <f>[1]!Tabel1[[#This Row],[Honorar]]*[1]!Tabel1[[#This Row],[Sandsynlighed]]</f>
        <v>10000</v>
      </c>
      <c r="J1345" s="10" t="s">
        <v>1287</v>
      </c>
      <c r="K1345" s="1" t="s">
        <v>1310</v>
      </c>
      <c r="L1345" s="8" t="s">
        <v>4712</v>
      </c>
      <c r="M1345" s="11">
        <v>1</v>
      </c>
      <c r="N1345" s="1" t="s">
        <v>4713</v>
      </c>
      <c r="O1345" s="10">
        <v>46080.583715277775</v>
      </c>
      <c r="P1345" s="10" t="s">
        <v>4507</v>
      </c>
      <c r="Q1345" s="1" t="s">
        <v>4507</v>
      </c>
      <c r="R1345" s="8" t="s">
        <v>47</v>
      </c>
      <c r="S134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4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4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4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4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4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4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4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4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4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4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4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4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45" s="12">
        <f ca="1">[1]!Tabel1[[#This Row],[Vægtet Honorar]]*([1]!Tabel1[[#This Row],[Sidst redigeret]]&gt;TODAY()-40)*([1]!Tabel1[[#This Row],[Er i resplan?]]&lt;&gt;"Ja")*([1]!Tabel1[[#This Row],[Status]]="Pågår")</f>
        <v>0</v>
      </c>
      <c r="AG1345" s="12">
        <f ca="1">[1]!Tabel1[[#This Row],[Vægtet Honorar]]*([1]!Tabel1[[#This Row],[Sidst redigeret]]&gt;TODAY()-40)*([1]!Tabel1[[#This Row],[Status]]="Pågår")</f>
        <v>0</v>
      </c>
      <c r="AH1345" s="13">
        <v>45910.543553240743</v>
      </c>
      <c r="AI1345" s="12"/>
      <c r="AJ1345" s="12"/>
      <c r="AK1345" s="12"/>
      <c r="AL1345" s="12"/>
      <c r="AM1345" s="12"/>
      <c r="AN1345" s="12"/>
      <c r="AO1345" s="12"/>
      <c r="AP1345" s="12"/>
    </row>
    <row r="1346" spans="1:42">
      <c r="A1346" t="s">
        <v>4714</v>
      </c>
      <c r="B1346" s="8"/>
      <c r="C1346" s="8" t="s">
        <v>4715</v>
      </c>
      <c r="D1346" s="8" t="s">
        <v>4099</v>
      </c>
      <c r="E1346" s="8" t="s">
        <v>120</v>
      </c>
      <c r="F1346" s="8" t="s">
        <v>4716</v>
      </c>
      <c r="G1346" s="8" t="s">
        <v>4716</v>
      </c>
      <c r="H1346" s="9">
        <v>100000</v>
      </c>
      <c r="I1346" s="9">
        <f>[1]!Tabel1[[#This Row],[Honorar]]*[1]!Tabel1[[#This Row],[Sandsynlighed]]</f>
        <v>500000</v>
      </c>
      <c r="J1346" s="10" t="s">
        <v>1191</v>
      </c>
      <c r="K1346" s="1" t="s">
        <v>1310</v>
      </c>
      <c r="L1346" s="8" t="s">
        <v>4717</v>
      </c>
      <c r="M1346" s="11">
        <v>0.5</v>
      </c>
      <c r="N1346" s="1"/>
      <c r="O1346" s="10">
        <v>46269.497893518521</v>
      </c>
      <c r="P1346" s="10" t="s">
        <v>4507</v>
      </c>
      <c r="Q1346" s="1" t="s">
        <v>46</v>
      </c>
      <c r="R1346" s="8" t="s">
        <v>47</v>
      </c>
      <c r="S134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4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4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4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4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4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4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4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4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4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4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4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4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46" s="12">
        <f ca="1">[1]!Tabel1[[#This Row],[Vægtet Honorar]]*([1]!Tabel1[[#This Row],[Sidst redigeret]]&gt;TODAY()-40)*([1]!Tabel1[[#This Row],[Er i resplan?]]&lt;&gt;"Ja")*([1]!Tabel1[[#This Row],[Status]]="Pågår")</f>
        <v>0</v>
      </c>
      <c r="AG1346" s="12">
        <f ca="1">[1]!Tabel1[[#This Row],[Vægtet Honorar]]*([1]!Tabel1[[#This Row],[Sidst redigeret]]&gt;TODAY()-40)*([1]!Tabel1[[#This Row],[Status]]="Pågår")</f>
        <v>0</v>
      </c>
      <c r="AH1346" s="13">
        <v>46269.497893518521</v>
      </c>
      <c r="AI1346" s="12"/>
      <c r="AJ1346" s="12"/>
      <c r="AK1346" s="12"/>
      <c r="AL1346" s="12"/>
      <c r="AM1346" s="12"/>
      <c r="AN1346" s="12"/>
      <c r="AO1346" s="12"/>
      <c r="AP1346" s="12"/>
    </row>
    <row r="1347" spans="1:42">
      <c r="A1347" t="s">
        <v>4718</v>
      </c>
      <c r="B1347" s="8"/>
      <c r="C1347" s="8" t="s">
        <v>4719</v>
      </c>
      <c r="D1347" s="8" t="s">
        <v>158</v>
      </c>
      <c r="E1347" s="8"/>
      <c r="F1347" s="8" t="s">
        <v>891</v>
      </c>
      <c r="G1347" s="8" t="s">
        <v>4720</v>
      </c>
      <c r="H1347" s="9">
        <v>1</v>
      </c>
      <c r="I1347" s="9">
        <f>[1]!Tabel1[[#This Row],[Honorar]]*[1]!Tabel1[[#This Row],[Sandsynlighed]]</f>
        <v>50000</v>
      </c>
      <c r="J1347" s="10" t="s">
        <v>341</v>
      </c>
      <c r="K1347" s="1" t="s">
        <v>1861</v>
      </c>
      <c r="L1347" s="8"/>
      <c r="M1347" s="11">
        <v>0.01</v>
      </c>
      <c r="N1347" s="1" t="e" cm="1" vm="1">
        <f t="array" aca="1" ref="N1347" ca="1">N1345:AH1345</f>
        <v>#VALUE!</v>
      </c>
      <c r="O1347" s="10">
        <v>45910.542951388888</v>
      </c>
      <c r="P1347" s="10" t="s">
        <v>4507</v>
      </c>
      <c r="Q1347" s="1" t="s">
        <v>72</v>
      </c>
      <c r="R1347" s="8" t="s">
        <v>343</v>
      </c>
      <c r="S134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4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4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4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4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4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4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4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4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4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4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4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4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47" s="12">
        <f ca="1">[1]!Tabel1[[#This Row],[Vægtet Honorar]]*([1]!Tabel1[[#This Row],[Sidst redigeret]]&gt;TODAY()-40)*([1]!Tabel1[[#This Row],[Er i resplan?]]&lt;&gt;"Ja")*([1]!Tabel1[[#This Row],[Status]]="Pågår")</f>
        <v>0</v>
      </c>
      <c r="AG1347" s="12">
        <f ca="1">[1]!Tabel1[[#This Row],[Vægtet Honorar]]*([1]!Tabel1[[#This Row],[Sidst redigeret]]&gt;TODAY()-40)*([1]!Tabel1[[#This Row],[Status]]="Pågår")</f>
        <v>0</v>
      </c>
      <c r="AH1347" s="13"/>
      <c r="AI1347" s="12"/>
      <c r="AJ1347" s="12"/>
      <c r="AK1347" s="12"/>
      <c r="AL1347" s="12"/>
      <c r="AM1347" s="12"/>
      <c r="AN1347" s="12"/>
      <c r="AO1347" s="12"/>
      <c r="AP1347" s="12"/>
    </row>
    <row r="1348" spans="1:42">
      <c r="A1348" t="s">
        <v>4721</v>
      </c>
      <c r="B1348" s="8"/>
      <c r="C1348" s="8" t="s">
        <v>4722</v>
      </c>
      <c r="D1348" s="8" t="s">
        <v>134</v>
      </c>
      <c r="E1348" s="8" t="s">
        <v>94</v>
      </c>
      <c r="F1348" s="8" t="s">
        <v>4723</v>
      </c>
      <c r="G1348" s="8" t="s">
        <v>4723</v>
      </c>
      <c r="H1348" s="9">
        <v>5000</v>
      </c>
      <c r="I1348" s="9">
        <f>[1]!Tabel1[[#This Row],[Honorar]]*[1]!Tabel1[[#This Row],[Sandsynlighed]]</f>
        <v>3000000</v>
      </c>
      <c r="J1348" s="10" t="s">
        <v>1287</v>
      </c>
      <c r="K1348" s="1" t="s">
        <v>1287</v>
      </c>
      <c r="L1348" s="8" t="s">
        <v>4724</v>
      </c>
      <c r="M1348" s="11">
        <v>1</v>
      </c>
      <c r="N1348" s="1" t="s">
        <v>777</v>
      </c>
      <c r="O1348" s="10">
        <v>45909.683437500003</v>
      </c>
      <c r="P1348" s="10" t="s">
        <v>4507</v>
      </c>
      <c r="Q1348" s="1" t="s">
        <v>72</v>
      </c>
      <c r="R1348" s="8" t="s">
        <v>47</v>
      </c>
      <c r="S134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4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4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4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4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4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4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4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4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4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4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4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4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48" s="12">
        <f ca="1">[1]!Tabel1[[#This Row],[Vægtet Honorar]]*([1]!Tabel1[[#This Row],[Sidst redigeret]]&gt;TODAY()-40)*([1]!Tabel1[[#This Row],[Er i resplan?]]&lt;&gt;"Ja")*([1]!Tabel1[[#This Row],[Status]]="Pågår")</f>
        <v>0</v>
      </c>
      <c r="AG1348" s="12">
        <f ca="1">[1]!Tabel1[[#This Row],[Vægtet Honorar]]*([1]!Tabel1[[#This Row],[Sidst redigeret]]&gt;TODAY()-40)*([1]!Tabel1[[#This Row],[Status]]="Pågår")</f>
        <v>0</v>
      </c>
      <c r="AH1348" s="13">
        <v>45909.683437500003</v>
      </c>
      <c r="AI1348" s="12"/>
      <c r="AJ1348" s="12" t="s">
        <v>1363</v>
      </c>
      <c r="AK1348" s="12" t="s">
        <v>4725</v>
      </c>
      <c r="AL1348" s="12"/>
      <c r="AM1348" s="12"/>
      <c r="AN1348" s="12" t="s">
        <v>75</v>
      </c>
      <c r="AO1348" s="12"/>
      <c r="AP1348" s="12"/>
    </row>
    <row r="1349" spans="1:42" ht="90">
      <c r="A1349" t="s">
        <v>4726</v>
      </c>
      <c r="B1349" s="8"/>
      <c r="C1349" s="8" t="s">
        <v>4727</v>
      </c>
      <c r="D1349" s="8" t="s">
        <v>134</v>
      </c>
      <c r="E1349" s="8" t="s">
        <v>94</v>
      </c>
      <c r="F1349" s="8" t="s">
        <v>4728</v>
      </c>
      <c r="G1349" s="8" t="s">
        <v>4729</v>
      </c>
      <c r="H1349" s="9">
        <v>50000</v>
      </c>
      <c r="I1349" s="9">
        <f>[1]!Tabel1[[#This Row],[Honorar]]*[1]!Tabel1[[#This Row],[Sandsynlighed]]</f>
        <v>850000</v>
      </c>
      <c r="J1349" s="10" t="s">
        <v>1310</v>
      </c>
      <c r="K1349" s="1" t="s">
        <v>1191</v>
      </c>
      <c r="L1349" s="17" t="s">
        <v>4730</v>
      </c>
      <c r="M1349" s="11">
        <v>0.05</v>
      </c>
      <c r="N1349" s="1" t="s">
        <v>4731</v>
      </c>
      <c r="O1349" s="10">
        <v>46266.424143518518</v>
      </c>
      <c r="P1349" s="10" t="s">
        <v>4507</v>
      </c>
      <c r="Q1349" s="1" t="s">
        <v>72</v>
      </c>
      <c r="R1349" s="8" t="s">
        <v>49</v>
      </c>
      <c r="S134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4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4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4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4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4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4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4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4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4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4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4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4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49" s="12">
        <f ca="1">[1]!Tabel1[[#This Row],[Vægtet Honorar]]*([1]!Tabel1[[#This Row],[Sidst redigeret]]&gt;TODAY()-40)*([1]!Tabel1[[#This Row],[Er i resplan?]]&lt;&gt;"Ja")*([1]!Tabel1[[#This Row],[Status]]="Pågår")</f>
        <v>0</v>
      </c>
      <c r="AG1349" s="12">
        <f ca="1">[1]!Tabel1[[#This Row],[Vægtet Honorar]]*([1]!Tabel1[[#This Row],[Sidst redigeret]]&gt;TODAY()-40)*([1]!Tabel1[[#This Row],[Status]]="Pågår")</f>
        <v>0</v>
      </c>
      <c r="AH1349" s="13"/>
      <c r="AI1349" s="12"/>
      <c r="AJ1349" s="12"/>
      <c r="AK1349" s="12"/>
      <c r="AL1349" s="12"/>
      <c r="AM1349" s="12"/>
      <c r="AN1349" s="12"/>
      <c r="AO1349" s="12"/>
      <c r="AP1349" s="12"/>
    </row>
    <row r="1350" spans="1:42">
      <c r="A1350" t="s">
        <v>4732</v>
      </c>
      <c r="B1350" s="8"/>
      <c r="C1350" s="8" t="s">
        <v>4733</v>
      </c>
      <c r="D1350" s="8" t="s">
        <v>4734</v>
      </c>
      <c r="E1350" s="8" t="s">
        <v>167</v>
      </c>
      <c r="F1350" s="8" t="s">
        <v>4735</v>
      </c>
      <c r="G1350" s="8" t="s">
        <v>4736</v>
      </c>
      <c r="H1350" s="9">
        <v>500000</v>
      </c>
      <c r="I1350" s="9">
        <f>[1]!Tabel1[[#This Row],[Honorar]]*[1]!Tabel1[[#This Row],[Sandsynlighed]]</f>
        <v>100000</v>
      </c>
      <c r="J1350" s="10" t="s">
        <v>1287</v>
      </c>
      <c r="K1350" s="1" t="s">
        <v>342</v>
      </c>
      <c r="L1350" s="8"/>
      <c r="M1350" s="11">
        <v>0.5</v>
      </c>
      <c r="N1350" s="1"/>
      <c r="O1350" s="10">
        <v>45909.442083333335</v>
      </c>
      <c r="P1350" s="10" t="s">
        <v>4507</v>
      </c>
      <c r="Q1350" s="1" t="s">
        <v>72</v>
      </c>
      <c r="R1350" s="8" t="s">
        <v>343</v>
      </c>
      <c r="S135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5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5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5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5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5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5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5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5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5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5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5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5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50" s="12">
        <f ca="1">[1]!Tabel1[[#This Row],[Vægtet Honorar]]*([1]!Tabel1[[#This Row],[Sidst redigeret]]&gt;TODAY()-40)*([1]!Tabel1[[#This Row],[Er i resplan?]]&lt;&gt;"Ja")*([1]!Tabel1[[#This Row],[Status]]="Pågår")</f>
        <v>0</v>
      </c>
      <c r="AG1350" s="12">
        <f ca="1">[1]!Tabel1[[#This Row],[Vægtet Honorar]]*([1]!Tabel1[[#This Row],[Sidst redigeret]]&gt;TODAY()-40)*([1]!Tabel1[[#This Row],[Status]]="Pågår")</f>
        <v>0</v>
      </c>
      <c r="AH1350" s="13"/>
      <c r="AI1350" s="12"/>
      <c r="AJ1350" s="12"/>
      <c r="AK1350" s="12"/>
      <c r="AL1350" s="12"/>
      <c r="AM1350" s="12"/>
      <c r="AN1350" s="12"/>
      <c r="AO1350" s="12"/>
      <c r="AP1350" s="12"/>
    </row>
    <row r="1351" spans="1:42">
      <c r="A1351" t="s">
        <v>4737</v>
      </c>
      <c r="B1351" s="8"/>
      <c r="C1351" s="8" t="s">
        <v>4738</v>
      </c>
      <c r="D1351" s="8" t="s">
        <v>2886</v>
      </c>
      <c r="E1351" s="8" t="s">
        <v>120</v>
      </c>
      <c r="F1351" s="8" t="s">
        <v>4739</v>
      </c>
      <c r="G1351" s="8" t="s">
        <v>4739</v>
      </c>
      <c r="H1351" s="9">
        <v>500000</v>
      </c>
      <c r="I1351" s="9">
        <f>[1]!Tabel1[[#This Row],[Honorar]]*[1]!Tabel1[[#This Row],[Sandsynlighed]]</f>
        <v>50000</v>
      </c>
      <c r="J1351" s="10" t="s">
        <v>1287</v>
      </c>
      <c r="K1351" s="1" t="s">
        <v>585</v>
      </c>
      <c r="L1351" s="8"/>
      <c r="M1351" s="11">
        <v>0.5</v>
      </c>
      <c r="N1351" s="1"/>
      <c r="O1351" s="10">
        <v>46269.49795138889</v>
      </c>
      <c r="P1351" s="10" t="s">
        <v>4507</v>
      </c>
      <c r="Q1351" s="1" t="s">
        <v>46</v>
      </c>
      <c r="R1351" s="8" t="s">
        <v>75</v>
      </c>
      <c r="S135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5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5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5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5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5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5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5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5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5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5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5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5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51" s="12">
        <f ca="1">[1]!Tabel1[[#This Row],[Vægtet Honorar]]*([1]!Tabel1[[#This Row],[Sidst redigeret]]&gt;TODAY()-40)*([1]!Tabel1[[#This Row],[Er i resplan?]]&lt;&gt;"Ja")*([1]!Tabel1[[#This Row],[Status]]="Pågår")</f>
        <v>0</v>
      </c>
      <c r="AG1351" s="12">
        <f ca="1">[1]!Tabel1[[#This Row],[Vægtet Honorar]]*([1]!Tabel1[[#This Row],[Sidst redigeret]]&gt;TODAY()-40)*([1]!Tabel1[[#This Row],[Status]]="Pågår")</f>
        <v>0</v>
      </c>
      <c r="AH1351" s="13"/>
      <c r="AI1351" s="12"/>
      <c r="AJ1351" s="12" t="s">
        <v>4740</v>
      </c>
      <c r="AK1351" s="12"/>
      <c r="AL1351" s="12"/>
      <c r="AM1351" s="12"/>
      <c r="AN1351" s="12"/>
      <c r="AO1351" s="12"/>
      <c r="AP1351" s="12"/>
    </row>
    <row r="1352" spans="1:42">
      <c r="A1352" t="s">
        <v>4741</v>
      </c>
      <c r="B1352" s="8"/>
      <c r="C1352" s="8" t="s">
        <v>4742</v>
      </c>
      <c r="D1352" s="8" t="s">
        <v>4743</v>
      </c>
      <c r="E1352" s="8"/>
      <c r="F1352" s="8" t="s">
        <v>1314</v>
      </c>
      <c r="G1352" s="8" t="s">
        <v>1314</v>
      </c>
      <c r="H1352" s="9">
        <v>5000000</v>
      </c>
      <c r="I1352" s="9">
        <f>[1]!Tabel1[[#This Row],[Honorar]]*[1]!Tabel1[[#This Row],[Sandsynlighed]]</f>
        <v>0.01</v>
      </c>
      <c r="J1352" s="10" t="s">
        <v>341</v>
      </c>
      <c r="K1352" s="1" t="s">
        <v>3601</v>
      </c>
      <c r="L1352" s="8"/>
      <c r="M1352" s="11">
        <v>0.05</v>
      </c>
      <c r="N1352" s="1"/>
      <c r="O1352" s="10">
        <v>45909.442083333335</v>
      </c>
      <c r="P1352" s="10"/>
      <c r="Q1352" s="1" t="s">
        <v>72</v>
      </c>
      <c r="R1352" s="8" t="s">
        <v>343</v>
      </c>
      <c r="S135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5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5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5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5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5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5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5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5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5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5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5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5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52" s="12">
        <f ca="1">[1]!Tabel1[[#This Row],[Vægtet Honorar]]*([1]!Tabel1[[#This Row],[Sidst redigeret]]&gt;TODAY()-40)*([1]!Tabel1[[#This Row],[Er i resplan?]]&lt;&gt;"Ja")*([1]!Tabel1[[#This Row],[Status]]="Pågår")</f>
        <v>0</v>
      </c>
      <c r="AG1352" s="12">
        <f ca="1">[1]!Tabel1[[#This Row],[Vægtet Honorar]]*([1]!Tabel1[[#This Row],[Sidst redigeret]]&gt;TODAY()-40)*([1]!Tabel1[[#This Row],[Status]]="Pågår")</f>
        <v>0</v>
      </c>
      <c r="AH1352" s="13"/>
      <c r="AI1352" s="12"/>
      <c r="AJ1352" s="12" t="s">
        <v>4744</v>
      </c>
      <c r="AK1352" s="12"/>
      <c r="AL1352" s="12"/>
      <c r="AM1352" s="12"/>
      <c r="AN1352" s="12"/>
      <c r="AO1352" s="12"/>
      <c r="AP1352" s="12"/>
    </row>
    <row r="1353" spans="1:42" ht="60">
      <c r="A1353" t="s">
        <v>4745</v>
      </c>
      <c r="B1353" s="8"/>
      <c r="C1353" s="8" t="s">
        <v>4746</v>
      </c>
      <c r="D1353" s="8" t="s">
        <v>896</v>
      </c>
      <c r="E1353" s="8" t="s">
        <v>94</v>
      </c>
      <c r="F1353" s="8" t="s">
        <v>2444</v>
      </c>
      <c r="G1353" s="8" t="s">
        <v>1737</v>
      </c>
      <c r="H1353" s="9">
        <v>5000000</v>
      </c>
      <c r="I1353" s="9">
        <f>[1]!Tabel1[[#This Row],[Honorar]]*[1]!Tabel1[[#This Row],[Sandsynlighed]]</f>
        <v>5000</v>
      </c>
      <c r="J1353" s="10" t="s">
        <v>1310</v>
      </c>
      <c r="K1353" s="1" t="s">
        <v>2105</v>
      </c>
      <c r="L1353" s="17" t="s">
        <v>4747</v>
      </c>
      <c r="M1353" s="11">
        <v>0.01</v>
      </c>
      <c r="N1353" s="1"/>
      <c r="O1353" s="10">
        <v>46241.435185185182</v>
      </c>
      <c r="P1353" s="10"/>
      <c r="Q1353" s="1" t="s">
        <v>72</v>
      </c>
      <c r="R1353" s="8" t="s">
        <v>343</v>
      </c>
      <c r="S135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5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5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5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5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5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5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5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5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5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5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5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5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53" s="12">
        <f ca="1">[1]!Tabel1[[#This Row],[Vægtet Honorar]]*([1]!Tabel1[[#This Row],[Sidst redigeret]]&gt;TODAY()-40)*([1]!Tabel1[[#This Row],[Er i resplan?]]&lt;&gt;"Ja")*([1]!Tabel1[[#This Row],[Status]]="Pågår")</f>
        <v>0</v>
      </c>
      <c r="AG1353" s="12">
        <f ca="1">[1]!Tabel1[[#This Row],[Vægtet Honorar]]*([1]!Tabel1[[#This Row],[Sidst redigeret]]&gt;TODAY()-40)*([1]!Tabel1[[#This Row],[Status]]="Pågår")</f>
        <v>0</v>
      </c>
      <c r="AH1353" s="13"/>
      <c r="AI1353" s="12"/>
      <c r="AJ1353" s="12" t="s">
        <v>1737</v>
      </c>
      <c r="AK1353" s="12"/>
      <c r="AL1353" s="12"/>
      <c r="AM1353" s="12"/>
      <c r="AN1353" s="12"/>
      <c r="AO1353" s="12"/>
      <c r="AP1353" s="12"/>
    </row>
    <row r="1354" spans="1:42">
      <c r="A1354" t="s">
        <v>4748</v>
      </c>
      <c r="B1354" s="8"/>
      <c r="C1354" s="8" t="s">
        <v>4749</v>
      </c>
      <c r="D1354" s="8" t="s">
        <v>1468</v>
      </c>
      <c r="E1354" s="8" t="s">
        <v>167</v>
      </c>
      <c r="F1354" s="8" t="s">
        <v>4580</v>
      </c>
      <c r="G1354" s="8" t="s">
        <v>4580</v>
      </c>
      <c r="H1354" s="9">
        <v>75000</v>
      </c>
      <c r="I1354" s="9">
        <f>[1]!Tabel1[[#This Row],[Honorar]]*[1]!Tabel1[[#This Row],[Sandsynlighed]]</f>
        <v>2500</v>
      </c>
      <c r="J1354" s="10" t="s">
        <v>1287</v>
      </c>
      <c r="K1354" s="1" t="s">
        <v>1191</v>
      </c>
      <c r="L1354" s="17"/>
      <c r="M1354" s="11">
        <v>0.8</v>
      </c>
      <c r="N1354" s="1"/>
      <c r="O1354" s="10">
        <v>45968.59884259259</v>
      </c>
      <c r="P1354" s="10" t="s">
        <v>46</v>
      </c>
      <c r="Q1354" s="1" t="s">
        <v>72</v>
      </c>
      <c r="R1354" s="8" t="s">
        <v>75</v>
      </c>
      <c r="S135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5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5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5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5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5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5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5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5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5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5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5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5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54" s="12">
        <f ca="1">[1]!Tabel1[[#This Row],[Vægtet Honorar]]*([1]!Tabel1[[#This Row],[Sidst redigeret]]&gt;TODAY()-40)*([1]!Tabel1[[#This Row],[Er i resplan?]]&lt;&gt;"Ja")*([1]!Tabel1[[#This Row],[Status]]="Pågår")</f>
        <v>0</v>
      </c>
      <c r="AG1354" s="12">
        <f ca="1">[1]!Tabel1[[#This Row],[Vægtet Honorar]]*([1]!Tabel1[[#This Row],[Sidst redigeret]]&gt;TODAY()-40)*([1]!Tabel1[[#This Row],[Status]]="Pågår")</f>
        <v>0</v>
      </c>
      <c r="AH1354" s="13"/>
      <c r="AI1354" s="12"/>
      <c r="AJ1354" s="12"/>
      <c r="AK1354" s="12"/>
      <c r="AL1354" s="12"/>
      <c r="AM1354" s="12"/>
      <c r="AN1354" s="12"/>
      <c r="AO1354" s="12"/>
      <c r="AP1354" s="12"/>
    </row>
    <row r="1355" spans="1:42" ht="75">
      <c r="A1355" t="s">
        <v>4750</v>
      </c>
      <c r="B1355" s="8"/>
      <c r="C1355" s="8" t="s">
        <v>4751</v>
      </c>
      <c r="D1355" s="8" t="s">
        <v>134</v>
      </c>
      <c r="E1355" s="8" t="s">
        <v>94</v>
      </c>
      <c r="F1355" s="8" t="s">
        <v>460</v>
      </c>
      <c r="G1355" s="8" t="s">
        <v>461</v>
      </c>
      <c r="H1355" s="9">
        <v>1700000</v>
      </c>
      <c r="I1355" s="9">
        <f>[1]!Tabel1[[#This Row],[Honorar]]*[1]!Tabel1[[#This Row],[Sandsynlighed]]</f>
        <v>250000</v>
      </c>
      <c r="J1355" s="10" t="s">
        <v>341</v>
      </c>
      <c r="K1355" s="1" t="s">
        <v>342</v>
      </c>
      <c r="L1355" s="17" t="s">
        <v>4752</v>
      </c>
      <c r="M1355" s="11">
        <v>1</v>
      </c>
      <c r="N1355" s="1" t="s">
        <v>777</v>
      </c>
      <c r="O1355" s="10">
        <v>46051.900625000002</v>
      </c>
      <c r="P1355" s="10" t="s">
        <v>46</v>
      </c>
      <c r="Q1355" s="1" t="s">
        <v>72</v>
      </c>
      <c r="R1355" s="8" t="s">
        <v>47</v>
      </c>
      <c r="S135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5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5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5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5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5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5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5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5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5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5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5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5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55" s="12">
        <f ca="1">[1]!Tabel1[[#This Row],[Vægtet Honorar]]*([1]!Tabel1[[#This Row],[Sidst redigeret]]&gt;TODAY()-40)*([1]!Tabel1[[#This Row],[Er i resplan?]]&lt;&gt;"Ja")*([1]!Tabel1[[#This Row],[Status]]="Pågår")</f>
        <v>0</v>
      </c>
      <c r="AG1355" s="12">
        <f ca="1">[1]!Tabel1[[#This Row],[Vægtet Honorar]]*([1]!Tabel1[[#This Row],[Sidst redigeret]]&gt;TODAY()-40)*([1]!Tabel1[[#This Row],[Status]]="Pågår")</f>
        <v>0</v>
      </c>
      <c r="AH1355" s="13">
        <v>46051.900625000002</v>
      </c>
      <c r="AI1355" s="12"/>
      <c r="AJ1355" s="12"/>
      <c r="AK1355" s="12"/>
      <c r="AL1355" s="12"/>
      <c r="AM1355" s="12"/>
      <c r="AN1355" s="12"/>
      <c r="AO1355" s="12"/>
      <c r="AP1355" s="12"/>
    </row>
    <row r="1356" spans="1:42">
      <c r="A1356" t="s">
        <v>4753</v>
      </c>
      <c r="B1356" s="8"/>
      <c r="C1356" s="8" t="s">
        <v>4754</v>
      </c>
      <c r="D1356" s="8" t="s">
        <v>2886</v>
      </c>
      <c r="E1356" s="8" t="s">
        <v>120</v>
      </c>
      <c r="F1356" s="8" t="s">
        <v>547</v>
      </c>
      <c r="G1356" s="8" t="s">
        <v>547</v>
      </c>
      <c r="H1356" s="9">
        <v>750000</v>
      </c>
      <c r="I1356" s="9">
        <f>[1]!Tabel1[[#This Row],[Honorar]]*[1]!Tabel1[[#This Row],[Sandsynlighed]]</f>
        <v>250000</v>
      </c>
      <c r="J1356" s="10" t="s">
        <v>341</v>
      </c>
      <c r="K1356" s="1" t="s">
        <v>1861</v>
      </c>
      <c r="L1356" s="17"/>
      <c r="M1356" s="11">
        <v>0.05</v>
      </c>
      <c r="N1356" s="1" t="s">
        <v>777</v>
      </c>
      <c r="O1356" s="10">
        <v>46269.498020833336</v>
      </c>
      <c r="P1356" s="10" t="s">
        <v>46</v>
      </c>
      <c r="Q1356" s="1" t="s">
        <v>72</v>
      </c>
      <c r="R1356" s="8" t="s">
        <v>75</v>
      </c>
      <c r="S135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5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5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5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5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5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5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5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5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5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5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5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5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56" s="12">
        <f ca="1">[1]!Tabel1[[#This Row],[Vægtet Honorar]]*([1]!Tabel1[[#This Row],[Sidst redigeret]]&gt;TODAY()-40)*([1]!Tabel1[[#This Row],[Er i resplan?]]&lt;&gt;"Ja")*([1]!Tabel1[[#This Row],[Status]]="Pågår")</f>
        <v>0</v>
      </c>
      <c r="AG1356" s="12">
        <f ca="1">[1]!Tabel1[[#This Row],[Vægtet Honorar]]*([1]!Tabel1[[#This Row],[Sidst redigeret]]&gt;TODAY()-40)*([1]!Tabel1[[#This Row],[Status]]="Pågår")</f>
        <v>0</v>
      </c>
      <c r="AH1356" s="13"/>
      <c r="AI1356" s="12" t="s">
        <v>4530</v>
      </c>
      <c r="AJ1356" s="12"/>
      <c r="AK1356" s="12"/>
      <c r="AL1356" s="12"/>
      <c r="AM1356" s="12"/>
      <c r="AN1356" s="12"/>
      <c r="AO1356" s="12"/>
      <c r="AP1356" s="12"/>
    </row>
    <row r="1357" spans="1:42" ht="30">
      <c r="A1357" t="s">
        <v>4755</v>
      </c>
      <c r="B1357" s="8"/>
      <c r="C1357" s="8" t="s">
        <v>4756</v>
      </c>
      <c r="D1357" s="8" t="s">
        <v>896</v>
      </c>
      <c r="E1357" s="8" t="s">
        <v>94</v>
      </c>
      <c r="F1357" s="8" t="s">
        <v>589</v>
      </c>
      <c r="G1357" s="8" t="s">
        <v>3124</v>
      </c>
      <c r="H1357" s="9">
        <v>7500000</v>
      </c>
      <c r="I1357" s="9">
        <f>[1]!Tabel1[[#This Row],[Honorar]]*[1]!Tabel1[[#This Row],[Sandsynlighed]]</f>
        <v>250000</v>
      </c>
      <c r="J1357" s="10" t="s">
        <v>1062</v>
      </c>
      <c r="K1357" s="1" t="s">
        <v>898</v>
      </c>
      <c r="L1357" s="17" t="s">
        <v>4757</v>
      </c>
      <c r="M1357" s="11">
        <v>0.01</v>
      </c>
      <c r="N1357" s="1">
        <v>4500</v>
      </c>
      <c r="O1357" s="10">
        <v>46241.434201388889</v>
      </c>
      <c r="P1357" s="10" t="s">
        <v>46</v>
      </c>
      <c r="Q1357" s="1" t="s">
        <v>72</v>
      </c>
      <c r="R1357" s="8" t="s">
        <v>49</v>
      </c>
      <c r="S135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5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5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5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5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5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5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5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5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5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5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5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5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57" s="12">
        <f ca="1">[1]!Tabel1[[#This Row],[Vægtet Honorar]]*([1]!Tabel1[[#This Row],[Sidst redigeret]]&gt;TODAY()-40)*([1]!Tabel1[[#This Row],[Er i resplan?]]&lt;&gt;"Ja")*([1]!Tabel1[[#This Row],[Status]]="Pågår")</f>
        <v>0</v>
      </c>
      <c r="AG1357" s="12">
        <f ca="1">[1]!Tabel1[[#This Row],[Vægtet Honorar]]*([1]!Tabel1[[#This Row],[Sidst redigeret]]&gt;TODAY()-40)*([1]!Tabel1[[#This Row],[Status]]="Pågår")</f>
        <v>0</v>
      </c>
      <c r="AH1357" s="13"/>
      <c r="AI1357" s="12"/>
      <c r="AJ1357" s="12" t="s">
        <v>3124</v>
      </c>
      <c r="AK1357" s="12"/>
      <c r="AL1357" s="12"/>
      <c r="AM1357" s="12"/>
      <c r="AN1357" s="12"/>
      <c r="AO1357" s="12"/>
      <c r="AP1357" s="12"/>
    </row>
    <row r="1358" spans="1:42" ht="30">
      <c r="A1358" t="s">
        <v>4758</v>
      </c>
      <c r="B1358" s="8"/>
      <c r="C1358" s="8" t="s">
        <v>4759</v>
      </c>
      <c r="D1358" s="8" t="s">
        <v>158</v>
      </c>
      <c r="E1358" s="8" t="s">
        <v>167</v>
      </c>
      <c r="F1358" s="8" t="s">
        <v>671</v>
      </c>
      <c r="G1358" s="8" t="s">
        <v>1240</v>
      </c>
      <c r="H1358" s="9">
        <v>1300000</v>
      </c>
      <c r="I1358" s="9">
        <f>[1]!Tabel1[[#This Row],[Honorar]]*[1]!Tabel1[[#This Row],[Sandsynlighed]]</f>
        <v>50000</v>
      </c>
      <c r="J1358" s="10" t="s">
        <v>341</v>
      </c>
      <c r="K1358" s="1" t="s">
        <v>1861</v>
      </c>
      <c r="L1358" s="17" t="s">
        <v>4760</v>
      </c>
      <c r="M1358" s="11">
        <v>0.01</v>
      </c>
      <c r="N1358" s="1"/>
      <c r="O1358" s="10">
        <v>45909.442083333335</v>
      </c>
      <c r="P1358" s="10" t="s">
        <v>4591</v>
      </c>
      <c r="Q1358" s="1" t="s">
        <v>72</v>
      </c>
      <c r="R1358" s="8" t="s">
        <v>343</v>
      </c>
      <c r="S135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5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5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5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5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5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5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5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5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5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5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5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5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58" s="12">
        <f ca="1">[1]!Tabel1[[#This Row],[Vægtet Honorar]]*([1]!Tabel1[[#This Row],[Sidst redigeret]]&gt;TODAY()-40)*([1]!Tabel1[[#This Row],[Er i resplan?]]&lt;&gt;"Ja")*([1]!Tabel1[[#This Row],[Status]]="Pågår")</f>
        <v>0</v>
      </c>
      <c r="AG1358" s="12">
        <f ca="1">[1]!Tabel1[[#This Row],[Vægtet Honorar]]*([1]!Tabel1[[#This Row],[Sidst redigeret]]&gt;TODAY()-40)*([1]!Tabel1[[#This Row],[Status]]="Pågår")</f>
        <v>0</v>
      </c>
      <c r="AH1358" s="13"/>
      <c r="AI1358" s="12"/>
      <c r="AJ1358" s="12"/>
      <c r="AK1358" s="12"/>
      <c r="AL1358" s="12"/>
      <c r="AM1358" s="12"/>
      <c r="AN1358" s="12" t="s">
        <v>4761</v>
      </c>
      <c r="AO1358" s="12"/>
      <c r="AP1358" s="12">
        <v>20250917</v>
      </c>
    </row>
    <row r="1359" spans="1:42" ht="45">
      <c r="A1359" t="s">
        <v>4762</v>
      </c>
      <c r="B1359" s="8"/>
      <c r="C1359" s="8" t="s">
        <v>4763</v>
      </c>
      <c r="D1359" s="8" t="s">
        <v>1771</v>
      </c>
      <c r="E1359" s="8" t="s">
        <v>167</v>
      </c>
      <c r="F1359" s="8" t="s">
        <v>3846</v>
      </c>
      <c r="G1359" s="8" t="s">
        <v>3615</v>
      </c>
      <c r="H1359" s="9">
        <v>100000</v>
      </c>
      <c r="I1359" s="9">
        <f>[1]!Tabel1[[#This Row],[Honorar]]*[1]!Tabel1[[#This Row],[Sandsynlighed]]</f>
        <v>60000</v>
      </c>
      <c r="J1359" s="10" t="s">
        <v>1287</v>
      </c>
      <c r="K1359" s="1" t="s">
        <v>1861</v>
      </c>
      <c r="L1359" s="17" t="s">
        <v>4764</v>
      </c>
      <c r="M1359" s="11">
        <v>1</v>
      </c>
      <c r="N1359" s="1"/>
      <c r="O1359" s="10">
        <v>45981.360590277778</v>
      </c>
      <c r="P1359" s="10" t="s">
        <v>46</v>
      </c>
      <c r="Q1359" s="1" t="s">
        <v>4507</v>
      </c>
      <c r="R1359" s="8" t="s">
        <v>47</v>
      </c>
      <c r="S135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5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5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5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5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5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5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5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5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5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5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5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5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59" s="12">
        <f ca="1">[1]!Tabel1[[#This Row],[Vægtet Honorar]]*([1]!Tabel1[[#This Row],[Sidst redigeret]]&gt;TODAY()-40)*([1]!Tabel1[[#This Row],[Er i resplan?]]&lt;&gt;"Ja")*([1]!Tabel1[[#This Row],[Status]]="Pågår")</f>
        <v>0</v>
      </c>
      <c r="AG1359" s="12">
        <f ca="1">[1]!Tabel1[[#This Row],[Vægtet Honorar]]*([1]!Tabel1[[#This Row],[Sidst redigeret]]&gt;TODAY()-40)*([1]!Tabel1[[#This Row],[Status]]="Pågår")</f>
        <v>0</v>
      </c>
      <c r="AH1359" s="13">
        <v>45975.341099537036</v>
      </c>
      <c r="AI1359" s="12"/>
      <c r="AJ1359" s="12"/>
      <c r="AK1359" s="12"/>
      <c r="AL1359" s="12"/>
      <c r="AM1359" s="12"/>
      <c r="AN1359" s="12"/>
      <c r="AO1359" s="12"/>
      <c r="AP1359" s="12"/>
    </row>
    <row r="1360" spans="1:42">
      <c r="A1360" t="s">
        <v>4765</v>
      </c>
      <c r="B1360" s="8"/>
      <c r="C1360" s="8" t="s">
        <v>4766</v>
      </c>
      <c r="D1360" s="8" t="s">
        <v>569</v>
      </c>
      <c r="E1360" s="8" t="s">
        <v>167</v>
      </c>
      <c r="F1360" s="8" t="s">
        <v>4767</v>
      </c>
      <c r="G1360" s="8"/>
      <c r="H1360" s="9">
        <v>300000</v>
      </c>
      <c r="I1360" s="9">
        <f>[1]!Tabel1[[#This Row],[Honorar]]*[1]!Tabel1[[#This Row],[Sandsynlighed]]</f>
        <v>1700000</v>
      </c>
      <c r="J1360" s="10" t="s">
        <v>1287</v>
      </c>
      <c r="K1360" s="1" t="s">
        <v>2405</v>
      </c>
      <c r="L1360" s="17"/>
      <c r="M1360" s="11">
        <v>0.5</v>
      </c>
      <c r="N1360" s="1"/>
      <c r="O1360" s="10">
        <v>45981.328645833331</v>
      </c>
      <c r="P1360" s="10" t="s">
        <v>72</v>
      </c>
      <c r="Q1360" s="1" t="s">
        <v>72</v>
      </c>
      <c r="R1360" s="8" t="s">
        <v>49</v>
      </c>
      <c r="S136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6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6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6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6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6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6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6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6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6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6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6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6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60" s="12">
        <f ca="1">[1]!Tabel1[[#This Row],[Vægtet Honorar]]*([1]!Tabel1[[#This Row],[Sidst redigeret]]&gt;TODAY()-40)*([1]!Tabel1[[#This Row],[Er i resplan?]]&lt;&gt;"Ja")*([1]!Tabel1[[#This Row],[Status]]="Pågår")</f>
        <v>0</v>
      </c>
      <c r="AG1360" s="12">
        <f ca="1">[1]!Tabel1[[#This Row],[Vægtet Honorar]]*([1]!Tabel1[[#This Row],[Sidst redigeret]]&gt;TODAY()-40)*([1]!Tabel1[[#This Row],[Status]]="Pågår")</f>
        <v>0</v>
      </c>
      <c r="AH1360" s="13"/>
      <c r="AI1360" s="12"/>
      <c r="AJ1360" s="12"/>
      <c r="AK1360" s="12"/>
      <c r="AL1360" s="12"/>
      <c r="AM1360" s="12"/>
      <c r="AN1360" s="12"/>
      <c r="AO1360" s="12"/>
      <c r="AP1360" s="12"/>
    </row>
    <row r="1361" spans="1:42">
      <c r="A1361" t="s">
        <v>4768</v>
      </c>
      <c r="B1361" s="8"/>
      <c r="C1361" s="8" t="s">
        <v>4769</v>
      </c>
      <c r="D1361" s="8" t="s">
        <v>158</v>
      </c>
      <c r="E1361" s="8" t="s">
        <v>167</v>
      </c>
      <c r="F1361" s="8" t="s">
        <v>1357</v>
      </c>
      <c r="G1361" s="8" t="s">
        <v>4770</v>
      </c>
      <c r="H1361" s="9">
        <v>200000</v>
      </c>
      <c r="I1361" s="9">
        <f>[1]!Tabel1[[#This Row],[Honorar]]*[1]!Tabel1[[#This Row],[Sandsynlighed]]</f>
        <v>37500</v>
      </c>
      <c r="J1361" s="10" t="s">
        <v>1287</v>
      </c>
      <c r="K1361" s="1" t="s">
        <v>585</v>
      </c>
      <c r="L1361" s="17"/>
      <c r="M1361" s="11">
        <v>0.5</v>
      </c>
      <c r="N1361" s="1"/>
      <c r="O1361" s="10">
        <v>45909.442083333335</v>
      </c>
      <c r="P1361" s="10" t="s">
        <v>46</v>
      </c>
      <c r="Q1361" s="1" t="s">
        <v>72</v>
      </c>
      <c r="R1361" s="8" t="s">
        <v>343</v>
      </c>
      <c r="S136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6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6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6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6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6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6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6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6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6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6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6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6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61" s="12">
        <f ca="1">[1]!Tabel1[[#This Row],[Vægtet Honorar]]*([1]!Tabel1[[#This Row],[Sidst redigeret]]&gt;TODAY()-40)*([1]!Tabel1[[#This Row],[Er i resplan?]]&lt;&gt;"Ja")*([1]!Tabel1[[#This Row],[Status]]="Pågår")</f>
        <v>0</v>
      </c>
      <c r="AG1361" s="12">
        <f ca="1">[1]!Tabel1[[#This Row],[Vægtet Honorar]]*([1]!Tabel1[[#This Row],[Sidst redigeret]]&gt;TODAY()-40)*([1]!Tabel1[[#This Row],[Status]]="Pågår")</f>
        <v>0</v>
      </c>
      <c r="AH1361" s="13"/>
      <c r="AI1361" s="12"/>
      <c r="AJ1361" s="12"/>
      <c r="AK1361" s="12"/>
      <c r="AL1361" s="12"/>
      <c r="AM1361" s="12"/>
      <c r="AN1361" s="12"/>
      <c r="AO1361" s="12"/>
      <c r="AP1361" s="12"/>
    </row>
    <row r="1362" spans="1:42">
      <c r="A1362" t="s">
        <v>4771</v>
      </c>
      <c r="B1362" s="8"/>
      <c r="C1362" s="8" t="s">
        <v>4772</v>
      </c>
      <c r="D1362" s="8" t="s">
        <v>1771</v>
      </c>
      <c r="E1362" s="8" t="s">
        <v>167</v>
      </c>
      <c r="F1362" s="8" t="s">
        <v>4773</v>
      </c>
      <c r="G1362" s="8" t="s">
        <v>4774</v>
      </c>
      <c r="H1362" s="9">
        <v>500000</v>
      </c>
      <c r="I1362" s="9">
        <f>[1]!Tabel1[[#This Row],[Honorar]]*[1]!Tabel1[[#This Row],[Sandsynlighed]]</f>
        <v>75000</v>
      </c>
      <c r="J1362" s="10" t="s">
        <v>1310</v>
      </c>
      <c r="K1362" s="1" t="s">
        <v>2405</v>
      </c>
      <c r="L1362" s="17"/>
      <c r="M1362" s="11">
        <v>0.25</v>
      </c>
      <c r="N1362" s="1" t="s">
        <v>4775</v>
      </c>
      <c r="O1362" s="10">
        <v>45909.442083333335</v>
      </c>
      <c r="P1362" s="10" t="s">
        <v>46</v>
      </c>
      <c r="Q1362" s="1" t="s">
        <v>72</v>
      </c>
      <c r="R1362" s="8" t="s">
        <v>343</v>
      </c>
      <c r="S136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6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6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6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6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6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6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6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6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6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6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6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6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62" s="12">
        <f ca="1">[1]!Tabel1[[#This Row],[Vægtet Honorar]]*([1]!Tabel1[[#This Row],[Sidst redigeret]]&gt;TODAY()-40)*([1]!Tabel1[[#This Row],[Er i resplan?]]&lt;&gt;"Ja")*([1]!Tabel1[[#This Row],[Status]]="Pågår")</f>
        <v>0</v>
      </c>
      <c r="AG1362" s="12">
        <f ca="1">[1]!Tabel1[[#This Row],[Vægtet Honorar]]*([1]!Tabel1[[#This Row],[Sidst redigeret]]&gt;TODAY()-40)*([1]!Tabel1[[#This Row],[Status]]="Pågår")</f>
        <v>0</v>
      </c>
      <c r="AH1362" s="13"/>
      <c r="AI1362" s="12"/>
      <c r="AJ1362" s="12"/>
      <c r="AK1362" s="12"/>
      <c r="AL1362" s="12"/>
      <c r="AM1362" s="12"/>
      <c r="AN1362" s="12"/>
      <c r="AO1362" s="12"/>
      <c r="AP1362" s="12"/>
    </row>
    <row r="1363" spans="1:42" ht="60">
      <c r="A1363" t="s">
        <v>4776</v>
      </c>
      <c r="B1363" s="8"/>
      <c r="C1363" s="8" t="s">
        <v>4777</v>
      </c>
      <c r="D1363" s="8" t="s">
        <v>1771</v>
      </c>
      <c r="E1363" s="8" t="s">
        <v>167</v>
      </c>
      <c r="F1363" s="8" t="s">
        <v>4778</v>
      </c>
      <c r="G1363" s="8"/>
      <c r="H1363" s="9">
        <v>100000</v>
      </c>
      <c r="I1363" s="9">
        <f>[1]!Tabel1[[#This Row],[Honorar]]*[1]!Tabel1[[#This Row],[Sandsynlighed]]</f>
        <v>13000</v>
      </c>
      <c r="J1363" s="10" t="s">
        <v>1310</v>
      </c>
      <c r="K1363" s="1" t="s">
        <v>1709</v>
      </c>
      <c r="L1363" s="17" t="s">
        <v>4779</v>
      </c>
      <c r="M1363" s="11">
        <v>0.01</v>
      </c>
      <c r="N1363" s="1"/>
      <c r="O1363" s="10">
        <v>45909.442083333335</v>
      </c>
      <c r="P1363" s="10"/>
      <c r="Q1363" s="1" t="s">
        <v>72</v>
      </c>
      <c r="R1363" s="8" t="s">
        <v>343</v>
      </c>
      <c r="S136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6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6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6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6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6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6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6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6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6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6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6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6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63" s="12">
        <f ca="1">[1]!Tabel1[[#This Row],[Vægtet Honorar]]*([1]!Tabel1[[#This Row],[Sidst redigeret]]&gt;TODAY()-40)*([1]!Tabel1[[#This Row],[Er i resplan?]]&lt;&gt;"Ja")*([1]!Tabel1[[#This Row],[Status]]="Pågår")</f>
        <v>0</v>
      </c>
      <c r="AG1363" s="12">
        <f ca="1">[1]!Tabel1[[#This Row],[Vægtet Honorar]]*([1]!Tabel1[[#This Row],[Sidst redigeret]]&gt;TODAY()-40)*([1]!Tabel1[[#This Row],[Status]]="Pågår")</f>
        <v>0</v>
      </c>
      <c r="AH1363" s="13"/>
      <c r="AI1363" s="12"/>
      <c r="AJ1363" s="12"/>
      <c r="AK1363" s="12" t="s">
        <v>1015</v>
      </c>
      <c r="AL1363" s="12"/>
      <c r="AM1363" s="12"/>
      <c r="AN1363" s="12" t="s">
        <v>4321</v>
      </c>
      <c r="AO1363" s="12"/>
      <c r="AP1363" s="12"/>
    </row>
    <row r="1364" spans="1:42">
      <c r="A1364" t="s">
        <v>4780</v>
      </c>
      <c r="B1364" s="8"/>
      <c r="C1364" s="8" t="s">
        <v>4781</v>
      </c>
      <c r="D1364" s="8" t="s">
        <v>70</v>
      </c>
      <c r="E1364" s="8" t="s">
        <v>102</v>
      </c>
      <c r="F1364" s="8" t="s">
        <v>4782</v>
      </c>
      <c r="G1364" s="8" t="s">
        <v>4782</v>
      </c>
      <c r="H1364" s="9">
        <v>150000</v>
      </c>
      <c r="I1364" s="9">
        <f>[1]!Tabel1[[#This Row],[Honorar]]*[1]!Tabel1[[#This Row],[Sandsynlighed]]</f>
        <v>100000</v>
      </c>
      <c r="J1364" s="10" t="s">
        <v>1191</v>
      </c>
      <c r="K1364" s="1" t="s">
        <v>341</v>
      </c>
      <c r="L1364" s="17"/>
      <c r="M1364" s="11">
        <v>0.5</v>
      </c>
      <c r="N1364" s="1"/>
      <c r="O1364" s="10">
        <v>46024.551527777781</v>
      </c>
      <c r="P1364" s="10" t="s">
        <v>46</v>
      </c>
      <c r="Q1364" s="1" t="s">
        <v>72</v>
      </c>
      <c r="R1364" s="8" t="s">
        <v>47</v>
      </c>
      <c r="S136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6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6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6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6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6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6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6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6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6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6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6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6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64" s="12">
        <f ca="1">[1]!Tabel1[[#This Row],[Vægtet Honorar]]*([1]!Tabel1[[#This Row],[Sidst redigeret]]&gt;TODAY()-40)*([1]!Tabel1[[#This Row],[Er i resplan?]]&lt;&gt;"Ja")*([1]!Tabel1[[#This Row],[Status]]="Pågår")</f>
        <v>0</v>
      </c>
      <c r="AG1364" s="12">
        <f ca="1">[1]!Tabel1[[#This Row],[Vægtet Honorar]]*([1]!Tabel1[[#This Row],[Sidst redigeret]]&gt;TODAY()-40)*([1]!Tabel1[[#This Row],[Status]]="Pågår")</f>
        <v>0</v>
      </c>
      <c r="AH1364" s="13">
        <v>45945.327268518522</v>
      </c>
      <c r="AI1364" s="12"/>
      <c r="AJ1364" s="12"/>
      <c r="AK1364" s="12"/>
      <c r="AL1364" s="12"/>
      <c r="AM1364" s="12"/>
      <c r="AN1364" s="12"/>
      <c r="AO1364" s="12"/>
      <c r="AP1364" s="12"/>
    </row>
    <row r="1365" spans="1:42">
      <c r="A1365" t="s">
        <v>4783</v>
      </c>
      <c r="B1365" s="8"/>
      <c r="C1365" s="8" t="s">
        <v>4784</v>
      </c>
      <c r="D1365" s="8" t="s">
        <v>4150</v>
      </c>
      <c r="E1365" s="8" t="s">
        <v>120</v>
      </c>
      <c r="F1365" s="8" t="s">
        <v>4785</v>
      </c>
      <c r="G1365" s="8" t="s">
        <v>2944</v>
      </c>
      <c r="H1365" s="9">
        <v>2000000</v>
      </c>
      <c r="I1365" s="9">
        <f>[1]!Tabel1[[#This Row],[Honorar]]*[1]!Tabel1[[#This Row],[Sandsynlighed]]</f>
        <v>150000</v>
      </c>
      <c r="J1365" s="10" t="s">
        <v>341</v>
      </c>
      <c r="K1365" s="1" t="s">
        <v>1062</v>
      </c>
      <c r="L1365" s="17"/>
      <c r="M1365" s="11">
        <v>0.05</v>
      </c>
      <c r="N1365" s="1">
        <v>2000</v>
      </c>
      <c r="O1365" s="10">
        <v>45909.442094907405</v>
      </c>
      <c r="P1365" s="10" t="s">
        <v>4507</v>
      </c>
      <c r="Q1365" s="1" t="s">
        <v>72</v>
      </c>
      <c r="R1365" s="8" t="s">
        <v>343</v>
      </c>
      <c r="S136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6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6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6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6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6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6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6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6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6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6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6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6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65" s="12">
        <f ca="1">[1]!Tabel1[[#This Row],[Vægtet Honorar]]*([1]!Tabel1[[#This Row],[Sidst redigeret]]&gt;TODAY()-40)*([1]!Tabel1[[#This Row],[Er i resplan?]]&lt;&gt;"Ja")*([1]!Tabel1[[#This Row],[Status]]="Pågår")</f>
        <v>0</v>
      </c>
      <c r="AG1365" s="12">
        <f ca="1">[1]!Tabel1[[#This Row],[Vægtet Honorar]]*([1]!Tabel1[[#This Row],[Sidst redigeret]]&gt;TODAY()-40)*([1]!Tabel1[[#This Row],[Status]]="Pågår")</f>
        <v>0</v>
      </c>
      <c r="AH1365" s="13"/>
      <c r="AI1365" s="12"/>
      <c r="AJ1365" s="12" t="s">
        <v>2944</v>
      </c>
      <c r="AK1365" s="12"/>
      <c r="AL1365" s="12"/>
      <c r="AM1365" s="12"/>
      <c r="AN1365" s="12"/>
      <c r="AO1365" s="12"/>
      <c r="AP1365" s="12"/>
    </row>
    <row r="1366" spans="1:42">
      <c r="A1366" t="s">
        <v>4786</v>
      </c>
      <c r="B1366" s="8"/>
      <c r="C1366" s="8" t="s">
        <v>4787</v>
      </c>
      <c r="D1366" s="8" t="s">
        <v>358</v>
      </c>
      <c r="E1366" s="8" t="s">
        <v>102</v>
      </c>
      <c r="F1366" s="8" t="s">
        <v>339</v>
      </c>
      <c r="G1366" s="8" t="s">
        <v>339</v>
      </c>
      <c r="H1366" s="9">
        <v>100000</v>
      </c>
      <c r="I1366" s="9">
        <f>[1]!Tabel1[[#This Row],[Honorar]]*[1]!Tabel1[[#This Row],[Sandsynlighed]]</f>
        <v>100000</v>
      </c>
      <c r="J1366" s="10" t="s">
        <v>1287</v>
      </c>
      <c r="K1366" s="1" t="s">
        <v>341</v>
      </c>
      <c r="L1366" s="17"/>
      <c r="M1366" s="11">
        <v>0.5</v>
      </c>
      <c r="N1366" s="1">
        <v>2000</v>
      </c>
      <c r="O1366" s="10">
        <v>46086.613043981481</v>
      </c>
      <c r="P1366" s="10" t="s">
        <v>4507</v>
      </c>
      <c r="Q1366" s="1" t="s">
        <v>72</v>
      </c>
      <c r="R1366" s="8" t="s">
        <v>47</v>
      </c>
      <c r="S136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6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6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6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6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6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6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6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6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6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6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6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6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66" s="12">
        <f ca="1">[1]!Tabel1[[#This Row],[Vægtet Honorar]]*([1]!Tabel1[[#This Row],[Sidst redigeret]]&gt;TODAY()-40)*([1]!Tabel1[[#This Row],[Er i resplan?]]&lt;&gt;"Ja")*([1]!Tabel1[[#This Row],[Status]]="Pågår")</f>
        <v>0</v>
      </c>
      <c r="AG1366" s="12">
        <f ca="1">[1]!Tabel1[[#This Row],[Vægtet Honorar]]*([1]!Tabel1[[#This Row],[Sidst redigeret]]&gt;TODAY()-40)*([1]!Tabel1[[#This Row],[Status]]="Pågår")</f>
        <v>0</v>
      </c>
      <c r="AH1366" s="13">
        <v>46086.613043981481</v>
      </c>
      <c r="AI1366" s="12"/>
      <c r="AJ1366" s="12"/>
      <c r="AK1366" s="12"/>
      <c r="AL1366" s="12"/>
      <c r="AM1366" s="12"/>
      <c r="AN1366" s="12"/>
      <c r="AO1366" s="12"/>
      <c r="AP1366" s="12"/>
    </row>
    <row r="1367" spans="1:42" ht="60">
      <c r="A1367" t="s">
        <v>4788</v>
      </c>
      <c r="B1367" s="8"/>
      <c r="C1367" s="8" t="s">
        <v>4789</v>
      </c>
      <c r="D1367" s="8" t="s">
        <v>896</v>
      </c>
      <c r="E1367" s="8" t="s">
        <v>94</v>
      </c>
      <c r="F1367" s="8" t="s">
        <v>4116</v>
      </c>
      <c r="G1367" s="8" t="s">
        <v>1864</v>
      </c>
      <c r="H1367" s="9">
        <v>3000000</v>
      </c>
      <c r="I1367" s="9">
        <f>[1]!Tabel1[[#This Row],[Honorar]]*[1]!Tabel1[[#This Row],[Sandsynlighed]]</f>
        <v>125000</v>
      </c>
      <c r="J1367" s="10" t="s">
        <v>341</v>
      </c>
      <c r="K1367" s="1" t="s">
        <v>342</v>
      </c>
      <c r="L1367" s="17" t="s">
        <v>4790</v>
      </c>
      <c r="M1367" s="11">
        <v>0.01</v>
      </c>
      <c r="N1367" s="1">
        <v>1500</v>
      </c>
      <c r="O1367" s="10">
        <v>46241.434930555559</v>
      </c>
      <c r="P1367" s="10" t="s">
        <v>4507</v>
      </c>
      <c r="Q1367" s="1" t="s">
        <v>72</v>
      </c>
      <c r="R1367" s="8" t="s">
        <v>343</v>
      </c>
      <c r="S136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6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6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6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6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6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6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6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6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6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6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6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6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67" s="12">
        <f ca="1">[1]!Tabel1[[#This Row],[Vægtet Honorar]]*([1]!Tabel1[[#This Row],[Sidst redigeret]]&gt;TODAY()-40)*([1]!Tabel1[[#This Row],[Er i resplan?]]&lt;&gt;"Ja")*([1]!Tabel1[[#This Row],[Status]]="Pågår")</f>
        <v>0</v>
      </c>
      <c r="AG1367" s="12">
        <f ca="1">[1]!Tabel1[[#This Row],[Vægtet Honorar]]*([1]!Tabel1[[#This Row],[Sidst redigeret]]&gt;TODAY()-40)*([1]!Tabel1[[#This Row],[Status]]="Pågår")</f>
        <v>0</v>
      </c>
      <c r="AH1367" s="13"/>
      <c r="AI1367" s="12" t="s">
        <v>1309</v>
      </c>
      <c r="AJ1367" s="12" t="s">
        <v>1864</v>
      </c>
      <c r="AK1367" s="12"/>
      <c r="AL1367" s="12"/>
      <c r="AM1367" s="12"/>
      <c r="AN1367" s="12"/>
      <c r="AO1367" s="12"/>
      <c r="AP1367" s="12"/>
    </row>
    <row r="1368" spans="1:42" ht="60">
      <c r="A1368" t="s">
        <v>4791</v>
      </c>
      <c r="B1368" s="8"/>
      <c r="C1368" s="8" t="s">
        <v>4792</v>
      </c>
      <c r="D1368" s="8" t="s">
        <v>896</v>
      </c>
      <c r="E1368" s="8" t="s">
        <v>94</v>
      </c>
      <c r="F1368" s="8" t="s">
        <v>3066</v>
      </c>
      <c r="G1368" s="8" t="s">
        <v>1864</v>
      </c>
      <c r="H1368" s="9">
        <v>3000000</v>
      </c>
      <c r="I1368" s="9">
        <f>[1]!Tabel1[[#This Row],[Honorar]]*[1]!Tabel1[[#This Row],[Sandsynlighed]]</f>
        <v>1000</v>
      </c>
      <c r="J1368" s="10" t="s">
        <v>341</v>
      </c>
      <c r="K1368" s="1" t="s">
        <v>342</v>
      </c>
      <c r="L1368" s="17" t="s">
        <v>4790</v>
      </c>
      <c r="M1368" s="11">
        <v>0.01</v>
      </c>
      <c r="N1368" s="1">
        <v>3000</v>
      </c>
      <c r="O1368" s="10">
        <v>46279.60052083333</v>
      </c>
      <c r="P1368" s="10" t="s">
        <v>4507</v>
      </c>
      <c r="Q1368" s="1" t="s">
        <v>72</v>
      </c>
      <c r="R1368" s="8" t="s">
        <v>343</v>
      </c>
      <c r="S136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6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6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6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6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6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6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6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6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6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6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6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6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68" s="12">
        <f ca="1">[1]!Tabel1[[#This Row],[Vægtet Honorar]]*([1]!Tabel1[[#This Row],[Sidst redigeret]]&gt;TODAY()-40)*([1]!Tabel1[[#This Row],[Er i resplan?]]&lt;&gt;"Ja")*([1]!Tabel1[[#This Row],[Status]]="Pågår")</f>
        <v>0</v>
      </c>
      <c r="AG1368" s="12">
        <f ca="1">[1]!Tabel1[[#This Row],[Vægtet Honorar]]*([1]!Tabel1[[#This Row],[Sidst redigeret]]&gt;TODAY()-40)*([1]!Tabel1[[#This Row],[Status]]="Pågår")</f>
        <v>0</v>
      </c>
      <c r="AH1368" s="13"/>
      <c r="AI1368" s="12"/>
      <c r="AJ1368" s="12" t="s">
        <v>1864</v>
      </c>
      <c r="AK1368" s="12"/>
      <c r="AL1368" s="12"/>
      <c r="AM1368" s="12"/>
      <c r="AN1368" s="12"/>
      <c r="AO1368" s="12"/>
      <c r="AP1368" s="12"/>
    </row>
    <row r="1369" spans="1:42" ht="60">
      <c r="A1369" t="s">
        <v>4793</v>
      </c>
      <c r="B1369" s="8"/>
      <c r="C1369" s="8" t="s">
        <v>4794</v>
      </c>
      <c r="D1369" s="8" t="s">
        <v>896</v>
      </c>
      <c r="E1369" s="8" t="s">
        <v>94</v>
      </c>
      <c r="F1369" s="8" t="s">
        <v>589</v>
      </c>
      <c r="G1369" s="8" t="s">
        <v>4795</v>
      </c>
      <c r="H1369" s="9">
        <v>1000000</v>
      </c>
      <c r="I1369" s="9">
        <f>[1]!Tabel1[[#This Row],[Honorar]]*[1]!Tabel1[[#This Row],[Sandsynlighed]]</f>
        <v>75000</v>
      </c>
      <c r="J1369" s="10" t="s">
        <v>341</v>
      </c>
      <c r="K1369" s="1" t="s">
        <v>342</v>
      </c>
      <c r="L1369" s="17" t="s">
        <v>4796</v>
      </c>
      <c r="M1369" s="11">
        <v>0.01</v>
      </c>
      <c r="N1369" s="1">
        <v>1270</v>
      </c>
      <c r="O1369" s="10">
        <v>46279.60052083333</v>
      </c>
      <c r="P1369" s="10" t="s">
        <v>4507</v>
      </c>
      <c r="Q1369" s="1" t="s">
        <v>72</v>
      </c>
      <c r="R1369" s="8" t="s">
        <v>343</v>
      </c>
      <c r="S136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6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6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6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6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6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6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6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6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6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6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6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6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69" s="12">
        <f ca="1">[1]!Tabel1[[#This Row],[Vægtet Honorar]]*([1]!Tabel1[[#This Row],[Sidst redigeret]]&gt;TODAY()-40)*([1]!Tabel1[[#This Row],[Er i resplan?]]&lt;&gt;"Ja")*([1]!Tabel1[[#This Row],[Status]]="Pågår")</f>
        <v>0</v>
      </c>
      <c r="AG1369" s="12">
        <f ca="1">[1]!Tabel1[[#This Row],[Vægtet Honorar]]*([1]!Tabel1[[#This Row],[Sidst redigeret]]&gt;TODAY()-40)*([1]!Tabel1[[#This Row],[Status]]="Pågår")</f>
        <v>0</v>
      </c>
      <c r="AH1369" s="13"/>
      <c r="AI1369" s="12"/>
      <c r="AJ1369" s="12" t="s">
        <v>4795</v>
      </c>
      <c r="AK1369" s="12"/>
      <c r="AL1369" s="12"/>
      <c r="AM1369" s="12"/>
      <c r="AN1369" s="12"/>
      <c r="AO1369" s="12"/>
      <c r="AP1369" s="12"/>
    </row>
    <row r="1370" spans="1:42">
      <c r="A1370" t="s">
        <v>4797</v>
      </c>
      <c r="B1370" s="8"/>
      <c r="C1370" s="8" t="s">
        <v>4798</v>
      </c>
      <c r="D1370" s="8" t="s">
        <v>720</v>
      </c>
      <c r="E1370" s="8" t="s">
        <v>71</v>
      </c>
      <c r="F1370" s="8" t="s">
        <v>721</v>
      </c>
      <c r="G1370" s="8" t="s">
        <v>1589</v>
      </c>
      <c r="H1370" s="9">
        <v>30000</v>
      </c>
      <c r="I1370" s="9">
        <f>[1]!Tabel1[[#This Row],[Honorar]]*[1]!Tabel1[[#This Row],[Sandsynlighed]]</f>
        <v>100000</v>
      </c>
      <c r="J1370" s="10" t="s">
        <v>1287</v>
      </c>
      <c r="K1370" s="1" t="s">
        <v>1191</v>
      </c>
      <c r="L1370" s="17"/>
      <c r="M1370" s="11">
        <v>0</v>
      </c>
      <c r="N1370" s="1"/>
      <c r="O1370" s="10">
        <v>46279.60052083333</v>
      </c>
      <c r="P1370" s="10" t="s">
        <v>4507</v>
      </c>
      <c r="Q1370" s="1" t="s">
        <v>72</v>
      </c>
      <c r="R1370" s="8" t="s">
        <v>343</v>
      </c>
      <c r="S137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7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7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7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7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7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7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7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7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7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7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7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7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70" s="12">
        <f ca="1">[1]!Tabel1[[#This Row],[Vægtet Honorar]]*([1]!Tabel1[[#This Row],[Sidst redigeret]]&gt;TODAY()-40)*([1]!Tabel1[[#This Row],[Er i resplan?]]&lt;&gt;"Ja")*([1]!Tabel1[[#This Row],[Status]]="Pågår")</f>
        <v>0</v>
      </c>
      <c r="AG1370" s="12">
        <f ca="1">[1]!Tabel1[[#This Row],[Vægtet Honorar]]*([1]!Tabel1[[#This Row],[Sidst redigeret]]&gt;TODAY()-40)*([1]!Tabel1[[#This Row],[Status]]="Pågår")</f>
        <v>0</v>
      </c>
      <c r="AH1370" s="13"/>
      <c r="AI1370" s="12"/>
      <c r="AJ1370" s="12"/>
      <c r="AK1370" s="12"/>
      <c r="AL1370" s="12"/>
      <c r="AM1370" s="12"/>
      <c r="AN1370" s="12"/>
      <c r="AO1370" s="12"/>
      <c r="AP1370" s="12"/>
    </row>
    <row r="1371" spans="1:42">
      <c r="A1371" t="s">
        <v>4799</v>
      </c>
      <c r="B1371" s="8"/>
      <c r="C1371" s="8" t="s">
        <v>4800</v>
      </c>
      <c r="D1371" s="8" t="s">
        <v>980</v>
      </c>
      <c r="E1371" s="8" t="s">
        <v>71</v>
      </c>
      <c r="F1371" s="8" t="s">
        <v>478</v>
      </c>
      <c r="G1371" s="8" t="s">
        <v>478</v>
      </c>
      <c r="H1371" s="9">
        <v>75000</v>
      </c>
      <c r="I1371" s="9">
        <f>[1]!Tabel1[[#This Row],[Honorar]]*[1]!Tabel1[[#This Row],[Sandsynlighed]]</f>
        <v>50000</v>
      </c>
      <c r="J1371" s="10" t="s">
        <v>1287</v>
      </c>
      <c r="K1371" s="1" t="s">
        <v>1191</v>
      </c>
      <c r="L1371" s="17"/>
      <c r="M1371" s="11">
        <v>0.5</v>
      </c>
      <c r="N1371" s="1"/>
      <c r="O1371" s="10">
        <v>46279.60052083333</v>
      </c>
      <c r="P1371" s="10" t="s">
        <v>4507</v>
      </c>
      <c r="Q1371" s="1" t="s">
        <v>72</v>
      </c>
      <c r="R1371" s="8" t="s">
        <v>343</v>
      </c>
      <c r="S137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7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7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7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7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7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7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7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7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7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7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7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7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71" s="12">
        <f ca="1">[1]!Tabel1[[#This Row],[Vægtet Honorar]]*([1]!Tabel1[[#This Row],[Sidst redigeret]]&gt;TODAY()-40)*([1]!Tabel1[[#This Row],[Er i resplan?]]&lt;&gt;"Ja")*([1]!Tabel1[[#This Row],[Status]]="Pågår")</f>
        <v>0</v>
      </c>
      <c r="AG1371" s="12">
        <f ca="1">[1]!Tabel1[[#This Row],[Vægtet Honorar]]*([1]!Tabel1[[#This Row],[Sidst redigeret]]&gt;TODAY()-40)*([1]!Tabel1[[#This Row],[Status]]="Pågår")</f>
        <v>0</v>
      </c>
      <c r="AH1371" s="13"/>
      <c r="AI1371" s="12"/>
      <c r="AJ1371" s="12"/>
      <c r="AK1371" s="12"/>
      <c r="AL1371" s="12"/>
      <c r="AM1371" s="12"/>
      <c r="AN1371" s="12"/>
      <c r="AO1371" s="12"/>
      <c r="AP1371" s="12"/>
    </row>
    <row r="1372" spans="1:42">
      <c r="A1372" t="s">
        <v>4801</v>
      </c>
      <c r="B1372" s="8"/>
      <c r="C1372" s="8" t="s">
        <v>4802</v>
      </c>
      <c r="D1372" s="8" t="s">
        <v>980</v>
      </c>
      <c r="E1372" s="8" t="s">
        <v>71</v>
      </c>
      <c r="F1372" s="8" t="s">
        <v>478</v>
      </c>
      <c r="G1372" s="8" t="s">
        <v>478</v>
      </c>
      <c r="H1372" s="9">
        <v>50000</v>
      </c>
      <c r="I1372" s="9">
        <f>[1]!Tabel1[[#This Row],[Honorar]]*[1]!Tabel1[[#This Row],[Sandsynlighed]]</f>
        <v>30000</v>
      </c>
      <c r="J1372" s="10" t="s">
        <v>1287</v>
      </c>
      <c r="K1372" s="1" t="s">
        <v>1191</v>
      </c>
      <c r="L1372" s="17"/>
      <c r="M1372" s="11">
        <v>0.5</v>
      </c>
      <c r="N1372" s="1"/>
      <c r="O1372" s="10">
        <v>46279.60052083333</v>
      </c>
      <c r="P1372" s="10" t="s">
        <v>4507</v>
      </c>
      <c r="Q1372" s="1" t="s">
        <v>46</v>
      </c>
      <c r="R1372" s="8" t="s">
        <v>343</v>
      </c>
      <c r="S137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7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7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7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7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7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7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7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7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7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7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7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7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72" s="12">
        <f ca="1">[1]!Tabel1[[#This Row],[Vægtet Honorar]]*([1]!Tabel1[[#This Row],[Sidst redigeret]]&gt;TODAY()-40)*([1]!Tabel1[[#This Row],[Er i resplan?]]&lt;&gt;"Ja")*([1]!Tabel1[[#This Row],[Status]]="Pågår")</f>
        <v>0</v>
      </c>
      <c r="AG1372" s="12">
        <f ca="1">[1]!Tabel1[[#This Row],[Vægtet Honorar]]*([1]!Tabel1[[#This Row],[Sidst redigeret]]&gt;TODAY()-40)*([1]!Tabel1[[#This Row],[Status]]="Pågår")</f>
        <v>0</v>
      </c>
      <c r="AH1372" s="13"/>
      <c r="AI1372" s="12"/>
      <c r="AJ1372" s="12"/>
      <c r="AK1372" s="12"/>
      <c r="AL1372" s="12"/>
      <c r="AM1372" s="12"/>
      <c r="AN1372" s="12"/>
      <c r="AO1372" s="12"/>
      <c r="AP1372" s="12"/>
    </row>
    <row r="1373" spans="1:42">
      <c r="A1373" t="s">
        <v>4803</v>
      </c>
      <c r="B1373" s="8"/>
      <c r="C1373" s="8" t="s">
        <v>4804</v>
      </c>
      <c r="D1373" s="8" t="s">
        <v>980</v>
      </c>
      <c r="E1373" s="8" t="s">
        <v>71</v>
      </c>
      <c r="F1373" s="8" t="s">
        <v>478</v>
      </c>
      <c r="G1373" s="8" t="s">
        <v>478</v>
      </c>
      <c r="H1373" s="9">
        <v>25000</v>
      </c>
      <c r="I1373" s="9">
        <f>[1]!Tabel1[[#This Row],[Honorar]]*[1]!Tabel1[[#This Row],[Sandsynlighed]]</f>
        <v>30000</v>
      </c>
      <c r="J1373" s="10" t="s">
        <v>1191</v>
      </c>
      <c r="K1373" s="1" t="s">
        <v>1191</v>
      </c>
      <c r="L1373" s="17"/>
      <c r="M1373" s="11">
        <v>0.5</v>
      </c>
      <c r="N1373" s="1"/>
      <c r="O1373" s="10">
        <v>46279.60052083333</v>
      </c>
      <c r="P1373" s="10" t="s">
        <v>4507</v>
      </c>
      <c r="Q1373" s="1" t="s">
        <v>46</v>
      </c>
      <c r="R1373" s="8" t="s">
        <v>343</v>
      </c>
      <c r="S137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7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7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7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7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7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7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7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7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7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7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7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7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73" s="12">
        <f ca="1">[1]!Tabel1[[#This Row],[Vægtet Honorar]]*([1]!Tabel1[[#This Row],[Sidst redigeret]]&gt;TODAY()-40)*([1]!Tabel1[[#This Row],[Er i resplan?]]&lt;&gt;"Ja")*([1]!Tabel1[[#This Row],[Status]]="Pågår")</f>
        <v>30000</v>
      </c>
      <c r="AG1373" s="12">
        <f ca="1">[1]!Tabel1[[#This Row],[Vægtet Honorar]]*([1]!Tabel1[[#This Row],[Sidst redigeret]]&gt;TODAY()-40)*([1]!Tabel1[[#This Row],[Status]]="Pågår")</f>
        <v>30000</v>
      </c>
      <c r="AH1373" s="13"/>
      <c r="AI1373" s="12"/>
      <c r="AJ1373" s="12"/>
      <c r="AK1373" s="12"/>
      <c r="AL1373" s="12"/>
      <c r="AM1373" s="12"/>
      <c r="AN1373" s="12"/>
      <c r="AO1373" s="12"/>
      <c r="AP1373" s="12"/>
    </row>
    <row r="1374" spans="1:42" ht="75">
      <c r="A1374" t="s">
        <v>4805</v>
      </c>
      <c r="B1374" s="8"/>
      <c r="C1374" s="8" t="s">
        <v>4806</v>
      </c>
      <c r="D1374" s="8" t="s">
        <v>1764</v>
      </c>
      <c r="E1374" s="8" t="s">
        <v>71</v>
      </c>
      <c r="F1374" s="8" t="s">
        <v>4806</v>
      </c>
      <c r="G1374" s="8" t="s">
        <v>4806</v>
      </c>
      <c r="H1374" s="9">
        <v>75000</v>
      </c>
      <c r="I1374" s="9">
        <f>[1]!Tabel1[[#This Row],[Honorar]]*[1]!Tabel1[[#This Row],[Sandsynlighed]]</f>
        <v>10000</v>
      </c>
      <c r="J1374" s="10" t="s">
        <v>1287</v>
      </c>
      <c r="K1374" s="1" t="s">
        <v>1191</v>
      </c>
      <c r="L1374" s="17" t="s">
        <v>4807</v>
      </c>
      <c r="M1374" s="11">
        <v>0.5</v>
      </c>
      <c r="N1374" s="1"/>
      <c r="O1374" s="10">
        <v>46279.60052083333</v>
      </c>
      <c r="P1374" s="10" t="s">
        <v>4507</v>
      </c>
      <c r="Q1374" s="1" t="s">
        <v>72</v>
      </c>
      <c r="R1374" s="8" t="s">
        <v>343</v>
      </c>
      <c r="S137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7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7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7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7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7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7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7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7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7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7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7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7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74" s="12">
        <f ca="1">[1]!Tabel1[[#This Row],[Vægtet Honorar]]*([1]!Tabel1[[#This Row],[Sidst redigeret]]&gt;TODAY()-40)*([1]!Tabel1[[#This Row],[Er i resplan?]]&lt;&gt;"Ja")*([1]!Tabel1[[#This Row],[Status]]="Pågår")</f>
        <v>10000</v>
      </c>
      <c r="AG1374" s="12">
        <f ca="1">[1]!Tabel1[[#This Row],[Vægtet Honorar]]*([1]!Tabel1[[#This Row],[Sidst redigeret]]&gt;TODAY()-40)*([1]!Tabel1[[#This Row],[Status]]="Pågår")</f>
        <v>10000</v>
      </c>
      <c r="AH1374" s="13"/>
      <c r="AI1374" s="12"/>
      <c r="AJ1374" s="12"/>
      <c r="AK1374" s="12"/>
      <c r="AL1374" s="12"/>
      <c r="AM1374" s="12"/>
      <c r="AN1374" s="12"/>
      <c r="AO1374" s="12"/>
      <c r="AP1374" s="12"/>
    </row>
    <row r="1375" spans="1:42" ht="75">
      <c r="A1375" t="s">
        <v>4808</v>
      </c>
      <c r="B1375" s="8"/>
      <c r="C1375" s="8" t="s">
        <v>4809</v>
      </c>
      <c r="D1375" s="8" t="s">
        <v>707</v>
      </c>
      <c r="E1375" s="8" t="s">
        <v>94</v>
      </c>
      <c r="F1375" s="8" t="s">
        <v>3121</v>
      </c>
      <c r="G1375" s="8" t="s">
        <v>2308</v>
      </c>
      <c r="H1375" s="9">
        <v>75000</v>
      </c>
      <c r="I1375" s="9">
        <f>[1]!Tabel1[[#This Row],[Honorar]]*[1]!Tabel1[[#This Row],[Sandsynlighed]]</f>
        <v>0</v>
      </c>
      <c r="J1375" s="10" t="s">
        <v>341</v>
      </c>
      <c r="K1375" s="1" t="s">
        <v>1310</v>
      </c>
      <c r="L1375" s="17" t="s">
        <v>4810</v>
      </c>
      <c r="M1375" s="11">
        <v>0.25</v>
      </c>
      <c r="N1375" s="1">
        <v>200</v>
      </c>
      <c r="O1375" s="10">
        <v>46279.60052083333</v>
      </c>
      <c r="P1375" s="10" t="s">
        <v>4507</v>
      </c>
      <c r="Q1375" s="1" t="s">
        <v>72</v>
      </c>
      <c r="R1375" s="8" t="s">
        <v>75</v>
      </c>
      <c r="S137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7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7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7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7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7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7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7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7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7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7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7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7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75" s="12">
        <f ca="1">[1]!Tabel1[[#This Row],[Vægtet Honorar]]*([1]!Tabel1[[#This Row],[Sidst redigeret]]&gt;TODAY()-40)*([1]!Tabel1[[#This Row],[Er i resplan?]]&lt;&gt;"Ja")*([1]!Tabel1[[#This Row],[Status]]="Pågår")</f>
        <v>0</v>
      </c>
      <c r="AG1375" s="12">
        <f ca="1">[1]!Tabel1[[#This Row],[Vægtet Honorar]]*([1]!Tabel1[[#This Row],[Sidst redigeret]]&gt;TODAY()-40)*([1]!Tabel1[[#This Row],[Status]]="Pågår")</f>
        <v>0</v>
      </c>
      <c r="AH1375" s="13"/>
      <c r="AI1375" s="12"/>
      <c r="AJ1375" s="12"/>
      <c r="AK1375" s="12"/>
      <c r="AL1375" s="12"/>
      <c r="AM1375" s="12"/>
      <c r="AN1375" s="12"/>
      <c r="AO1375" s="12"/>
      <c r="AP1375" s="12"/>
    </row>
    <row r="1376" spans="1:42" ht="75">
      <c r="A1376" t="s">
        <v>4811</v>
      </c>
      <c r="B1376" s="8"/>
      <c r="C1376" s="8" t="s">
        <v>4812</v>
      </c>
      <c r="D1376" s="8" t="s">
        <v>1771</v>
      </c>
      <c r="E1376" s="8" t="s">
        <v>167</v>
      </c>
      <c r="F1376" s="8" t="s">
        <v>2755</v>
      </c>
      <c r="G1376" s="8" t="s">
        <v>2755</v>
      </c>
      <c r="H1376" s="9">
        <v>300000</v>
      </c>
      <c r="I1376" s="9">
        <f>[1]!Tabel1[[#This Row],[Honorar]]*[1]!Tabel1[[#This Row],[Sandsynlighed]]</f>
        <v>37500</v>
      </c>
      <c r="J1376" s="10" t="s">
        <v>1191</v>
      </c>
      <c r="K1376" s="1" t="s">
        <v>1310</v>
      </c>
      <c r="L1376" s="17" t="s">
        <v>4813</v>
      </c>
      <c r="M1376" s="11">
        <v>0.5</v>
      </c>
      <c r="N1376" s="1"/>
      <c r="O1376" s="10">
        <v>46279.60052083333</v>
      </c>
      <c r="P1376" s="10" t="s">
        <v>4507</v>
      </c>
      <c r="Q1376" s="1" t="s">
        <v>72</v>
      </c>
      <c r="R1376" s="8" t="s">
        <v>343</v>
      </c>
      <c r="S137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7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7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7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7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7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7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7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7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7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7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7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7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76" s="12">
        <f ca="1">[1]!Tabel1[[#This Row],[Vægtet Honorar]]*([1]!Tabel1[[#This Row],[Sidst redigeret]]&gt;TODAY()-40)*([1]!Tabel1[[#This Row],[Er i resplan?]]&lt;&gt;"Ja")*([1]!Tabel1[[#This Row],[Status]]="Pågår")</f>
        <v>37500</v>
      </c>
      <c r="AG1376" s="12">
        <f ca="1">[1]!Tabel1[[#This Row],[Vægtet Honorar]]*([1]!Tabel1[[#This Row],[Sidst redigeret]]&gt;TODAY()-40)*([1]!Tabel1[[#This Row],[Status]]="Pågår")</f>
        <v>37500</v>
      </c>
      <c r="AH1376" s="13"/>
      <c r="AI1376" s="12"/>
      <c r="AJ1376" s="12"/>
      <c r="AK1376" s="12"/>
      <c r="AL1376" s="12"/>
      <c r="AM1376" s="12"/>
      <c r="AN1376" s="12"/>
      <c r="AO1376" s="12"/>
      <c r="AP1376" s="12"/>
    </row>
    <row r="1377" spans="1:42">
      <c r="A1377" t="s">
        <v>4814</v>
      </c>
      <c r="B1377" s="8"/>
      <c r="C1377" s="8" t="s">
        <v>1040</v>
      </c>
      <c r="D1377" s="8"/>
      <c r="E1377" s="8"/>
      <c r="F1377" s="8"/>
      <c r="G1377" s="8"/>
      <c r="H1377" s="9"/>
      <c r="I1377" s="9"/>
      <c r="J1377" s="10"/>
      <c r="K1377" s="1"/>
      <c r="L1377" s="17"/>
      <c r="M1377" s="11"/>
      <c r="N1377" s="1"/>
      <c r="O1377" s="10">
        <v>46279.60052083333</v>
      </c>
      <c r="P1377" s="10"/>
      <c r="Q1377" s="1"/>
      <c r="R1377" s="8"/>
      <c r="S137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7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7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7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7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7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7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7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7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7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7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7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7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77" s="12">
        <f ca="1">[1]!Tabel1[[#This Row],[Vægtet Honorar]]*([1]!Tabel1[[#This Row],[Sidst redigeret]]&gt;TODAY()-40)*([1]!Tabel1[[#This Row],[Er i resplan?]]&lt;&gt;"Ja")*([1]!Tabel1[[#This Row],[Status]]="Pågår")</f>
        <v>0</v>
      </c>
      <c r="AG1377" s="12">
        <f ca="1">[1]!Tabel1[[#This Row],[Vægtet Honorar]]*([1]!Tabel1[[#This Row],[Sidst redigeret]]&gt;TODAY()-40)*([1]!Tabel1[[#This Row],[Status]]="Pågår")</f>
        <v>25000</v>
      </c>
      <c r="AH1377" s="13"/>
      <c r="AI1377" s="12"/>
      <c r="AJ1377" s="12"/>
      <c r="AK1377" s="12"/>
      <c r="AL1377" s="12"/>
      <c r="AM1377" s="12"/>
      <c r="AN1377" s="12"/>
      <c r="AO1377" s="12"/>
      <c r="AP1377" s="12"/>
    </row>
    <row r="1378" spans="1:42" ht="30">
      <c r="A1378" t="s">
        <v>4815</v>
      </c>
      <c r="B1378" s="8"/>
      <c r="C1378" s="8" t="s">
        <v>4816</v>
      </c>
      <c r="D1378" s="8" t="s">
        <v>1771</v>
      </c>
      <c r="E1378" s="8" t="s">
        <v>167</v>
      </c>
      <c r="F1378" s="8" t="s">
        <v>2755</v>
      </c>
      <c r="G1378" s="8" t="s">
        <v>2755</v>
      </c>
      <c r="H1378" s="9">
        <v>1000000</v>
      </c>
      <c r="I1378" s="9">
        <f>[1]!Tabel1[[#This Row],[Honorar]]*[1]!Tabel1[[#This Row],[Sandsynlighed]]</f>
        <v>12500</v>
      </c>
      <c r="J1378" s="10" t="s">
        <v>341</v>
      </c>
      <c r="K1378" s="1" t="s">
        <v>1861</v>
      </c>
      <c r="L1378" s="17" t="s">
        <v>4817</v>
      </c>
      <c r="M1378" s="11">
        <v>0.5</v>
      </c>
      <c r="N1378" s="1">
        <v>5000</v>
      </c>
      <c r="O1378" s="10">
        <v>46279.60052083333</v>
      </c>
      <c r="P1378" s="10" t="s">
        <v>4507</v>
      </c>
      <c r="Q1378" s="1" t="s">
        <v>72</v>
      </c>
      <c r="R1378" s="8" t="s">
        <v>343</v>
      </c>
      <c r="S137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7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7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7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7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7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7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7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7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7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7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7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7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78" s="12">
        <f ca="1">[1]!Tabel1[[#This Row],[Vægtet Honorar]]*([1]!Tabel1[[#This Row],[Sidst redigeret]]&gt;TODAY()-40)*([1]!Tabel1[[#This Row],[Er i resplan?]]&lt;&gt;"Ja")*([1]!Tabel1[[#This Row],[Status]]="Pågår")</f>
        <v>0</v>
      </c>
      <c r="AG1378" s="12">
        <f ca="1">[1]!Tabel1[[#This Row],[Vægtet Honorar]]*([1]!Tabel1[[#This Row],[Sidst redigeret]]&gt;TODAY()-40)*([1]!Tabel1[[#This Row],[Status]]="Pågår")</f>
        <v>12500</v>
      </c>
      <c r="AH1378" s="13"/>
      <c r="AI1378" s="12"/>
      <c r="AJ1378" s="12"/>
      <c r="AK1378" s="12"/>
      <c r="AL1378" s="12"/>
      <c r="AM1378" s="12"/>
      <c r="AN1378" s="12"/>
      <c r="AO1378" s="12"/>
      <c r="AP1378" s="12"/>
    </row>
    <row r="1379" spans="1:42" ht="30">
      <c r="A1379" t="s">
        <v>4818</v>
      </c>
      <c r="B1379" s="8"/>
      <c r="C1379" s="8" t="s">
        <v>4819</v>
      </c>
      <c r="D1379" s="8" t="s">
        <v>1771</v>
      </c>
      <c r="E1379" s="8" t="s">
        <v>167</v>
      </c>
      <c r="F1379" s="8" t="s">
        <v>2755</v>
      </c>
      <c r="G1379" s="8" t="s">
        <v>2755</v>
      </c>
      <c r="H1379" s="9">
        <v>3500000</v>
      </c>
      <c r="I1379" s="9">
        <f>[1]!Tabel1[[#This Row],[Honorar]]*[1]!Tabel1[[#This Row],[Sandsynlighed]]</f>
        <v>37500</v>
      </c>
      <c r="J1379" s="10" t="s">
        <v>1310</v>
      </c>
      <c r="K1379" s="1" t="s">
        <v>1323</v>
      </c>
      <c r="L1379" s="17" t="s">
        <v>4817</v>
      </c>
      <c r="M1379" s="11">
        <v>0.5</v>
      </c>
      <c r="N1379" s="1">
        <v>15000</v>
      </c>
      <c r="O1379" s="10">
        <v>46279.60052083333</v>
      </c>
      <c r="P1379" s="10" t="s">
        <v>4507</v>
      </c>
      <c r="Q1379" s="1" t="s">
        <v>72</v>
      </c>
      <c r="R1379" s="8" t="s">
        <v>343</v>
      </c>
      <c r="S137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7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7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7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7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7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7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7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7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7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7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7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7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79" s="12">
        <f ca="1">[1]!Tabel1[[#This Row],[Vægtet Honorar]]*([1]!Tabel1[[#This Row],[Sidst redigeret]]&gt;TODAY()-40)*([1]!Tabel1[[#This Row],[Er i resplan?]]&lt;&gt;"Ja")*([1]!Tabel1[[#This Row],[Status]]="Pågår")</f>
        <v>37500</v>
      </c>
      <c r="AG1379" s="12">
        <f ca="1">[1]!Tabel1[[#This Row],[Vægtet Honorar]]*([1]!Tabel1[[#This Row],[Sidst redigeret]]&gt;TODAY()-40)*([1]!Tabel1[[#This Row],[Status]]="Pågår")</f>
        <v>37500</v>
      </c>
      <c r="AH1379" s="13"/>
      <c r="AI1379" s="12"/>
      <c r="AJ1379" s="12"/>
      <c r="AK1379" s="12"/>
      <c r="AL1379" s="12"/>
      <c r="AM1379" s="12"/>
      <c r="AN1379" s="12"/>
      <c r="AO1379" s="12"/>
      <c r="AP1379" s="12"/>
    </row>
    <row r="1380" spans="1:42">
      <c r="A1380" t="s">
        <v>4820</v>
      </c>
      <c r="B1380" s="8"/>
      <c r="C1380" s="8" t="s">
        <v>4821</v>
      </c>
      <c r="D1380" s="8" t="s">
        <v>158</v>
      </c>
      <c r="E1380" s="8" t="s">
        <v>167</v>
      </c>
      <c r="F1380" s="8" t="s">
        <v>4822</v>
      </c>
      <c r="G1380" s="8" t="s">
        <v>4823</v>
      </c>
      <c r="H1380" s="9">
        <v>1</v>
      </c>
      <c r="I1380" s="9">
        <f>[1]!Tabel1[[#This Row],[Honorar]]*[1]!Tabel1[[#This Row],[Sandsynlighed]]</f>
        <v>18750</v>
      </c>
      <c r="J1380" s="10" t="s">
        <v>341</v>
      </c>
      <c r="K1380" s="1" t="s">
        <v>342</v>
      </c>
      <c r="L1380" s="17" t="s">
        <v>601</v>
      </c>
      <c r="M1380" s="11">
        <v>0.01</v>
      </c>
      <c r="N1380" s="1"/>
      <c r="O1380" s="10">
        <v>46279.60052083333</v>
      </c>
      <c r="P1380" s="10" t="s">
        <v>4507</v>
      </c>
      <c r="Q1380" s="1" t="s">
        <v>72</v>
      </c>
      <c r="R1380" s="8" t="s">
        <v>343</v>
      </c>
      <c r="S138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8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8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8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8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8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8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8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8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8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8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8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8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80" s="12">
        <f ca="1">[1]!Tabel1[[#This Row],[Vægtet Honorar]]*([1]!Tabel1[[#This Row],[Sidst redigeret]]&gt;TODAY()-40)*([1]!Tabel1[[#This Row],[Er i resplan?]]&lt;&gt;"Ja")*([1]!Tabel1[[#This Row],[Status]]="Pågår")</f>
        <v>0</v>
      </c>
      <c r="AG1380" s="12">
        <f ca="1">[1]!Tabel1[[#This Row],[Vægtet Honorar]]*([1]!Tabel1[[#This Row],[Sidst redigeret]]&gt;TODAY()-40)*([1]!Tabel1[[#This Row],[Status]]="Pågår")</f>
        <v>0</v>
      </c>
      <c r="AH1380" s="13"/>
      <c r="AI1380" s="12" t="s">
        <v>4823</v>
      </c>
      <c r="AJ1380" s="12"/>
      <c r="AK1380" s="12"/>
      <c r="AL1380" s="12"/>
      <c r="AM1380" s="12"/>
      <c r="AN1380" s="12"/>
      <c r="AO1380" s="12"/>
      <c r="AP1380" s="12"/>
    </row>
    <row r="1381" spans="1:42">
      <c r="A1381" t="s">
        <v>4824</v>
      </c>
      <c r="B1381" s="8"/>
      <c r="C1381" s="8" t="s">
        <v>4825</v>
      </c>
      <c r="D1381" s="8" t="s">
        <v>2886</v>
      </c>
      <c r="E1381" s="8" t="s">
        <v>120</v>
      </c>
      <c r="F1381" s="8" t="s">
        <v>4826</v>
      </c>
      <c r="G1381" s="8" t="s">
        <v>4826</v>
      </c>
      <c r="H1381" s="9">
        <v>8000000</v>
      </c>
      <c r="I1381" s="9">
        <f>[1]!Tabel1[[#This Row],[Honorar]]*[1]!Tabel1[[#This Row],[Sandsynlighed]]</f>
        <v>150000</v>
      </c>
      <c r="J1381" s="10" t="s">
        <v>341</v>
      </c>
      <c r="K1381" s="1" t="s">
        <v>3601</v>
      </c>
      <c r="L1381" s="17"/>
      <c r="M1381" s="11">
        <v>0.05</v>
      </c>
      <c r="N1381" s="1"/>
      <c r="O1381" s="10">
        <v>46279.60052083333</v>
      </c>
      <c r="P1381" s="10" t="s">
        <v>4591</v>
      </c>
      <c r="Q1381" s="1" t="s">
        <v>72</v>
      </c>
      <c r="R1381" s="8" t="s">
        <v>75</v>
      </c>
      <c r="S138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8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8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8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8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8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8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8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8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8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8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8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8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81" s="12">
        <f ca="1">[1]!Tabel1[[#This Row],[Vægtet Honorar]]*([1]!Tabel1[[#This Row],[Sidst redigeret]]&gt;TODAY()-40)*([1]!Tabel1[[#This Row],[Er i resplan?]]&lt;&gt;"Ja")*([1]!Tabel1[[#This Row],[Status]]="Pågår")</f>
        <v>150000</v>
      </c>
      <c r="AG1381" s="12">
        <f ca="1">[1]!Tabel1[[#This Row],[Vægtet Honorar]]*([1]!Tabel1[[#This Row],[Sidst redigeret]]&gt;TODAY()-40)*([1]!Tabel1[[#This Row],[Status]]="Pågår")</f>
        <v>150000</v>
      </c>
      <c r="AH1381" s="13"/>
      <c r="AI1381" s="12"/>
      <c r="AJ1381" s="12"/>
      <c r="AK1381" s="12"/>
      <c r="AL1381" s="12"/>
      <c r="AM1381" s="12"/>
      <c r="AN1381" s="12"/>
      <c r="AO1381" s="12"/>
      <c r="AP1381" s="12"/>
    </row>
    <row r="1382" spans="1:42">
      <c r="A1382" t="s">
        <v>4827</v>
      </c>
      <c r="B1382" s="8"/>
      <c r="C1382" s="8" t="s">
        <v>4828</v>
      </c>
      <c r="D1382" s="8" t="s">
        <v>4829</v>
      </c>
      <c r="E1382" s="8" t="s">
        <v>102</v>
      </c>
      <c r="F1382" s="8" t="s">
        <v>3694</v>
      </c>
      <c r="G1382" s="8" t="s">
        <v>3694</v>
      </c>
      <c r="H1382" s="9">
        <v>500000</v>
      </c>
      <c r="I1382" s="9">
        <f>[1]!Tabel1[[#This Row],[Honorar]]*[1]!Tabel1[[#This Row],[Sandsynlighed]]</f>
        <v>0</v>
      </c>
      <c r="J1382" s="10" t="s">
        <v>1310</v>
      </c>
      <c r="K1382" s="1" t="s">
        <v>2405</v>
      </c>
      <c r="L1382" s="17"/>
      <c r="M1382" s="11">
        <v>0.2</v>
      </c>
      <c r="N1382" s="1"/>
      <c r="O1382" s="10">
        <v>46279.60052083333</v>
      </c>
      <c r="P1382" s="10" t="s">
        <v>4830</v>
      </c>
      <c r="Q1382" s="1" t="s">
        <v>72</v>
      </c>
      <c r="R1382" s="8" t="s">
        <v>343</v>
      </c>
      <c r="S138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8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8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8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8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8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8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8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8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8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8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8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8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82" s="12">
        <f ca="1">[1]!Tabel1[[#This Row],[Vægtet Honorar]]*([1]!Tabel1[[#This Row],[Sidst redigeret]]&gt;TODAY()-40)*([1]!Tabel1[[#This Row],[Er i resplan?]]&lt;&gt;"Ja")*([1]!Tabel1[[#This Row],[Status]]="Pågår")</f>
        <v>0</v>
      </c>
      <c r="AG1382" s="12">
        <f ca="1">[1]!Tabel1[[#This Row],[Vægtet Honorar]]*([1]!Tabel1[[#This Row],[Sidst redigeret]]&gt;TODAY()-40)*([1]!Tabel1[[#This Row],[Status]]="Pågår")</f>
        <v>0</v>
      </c>
      <c r="AH1382" s="13"/>
      <c r="AI1382" s="12"/>
      <c r="AJ1382" s="12"/>
      <c r="AK1382" s="12"/>
      <c r="AL1382" s="12"/>
      <c r="AM1382" s="12"/>
      <c r="AN1382" s="12"/>
      <c r="AO1382" s="12"/>
      <c r="AP1382" s="12"/>
    </row>
    <row r="1383" spans="1:42">
      <c r="A1383" t="s">
        <v>4831</v>
      </c>
      <c r="B1383" s="8"/>
      <c r="C1383" s="8" t="s">
        <v>4832</v>
      </c>
      <c r="D1383" s="8" t="s">
        <v>4829</v>
      </c>
      <c r="E1383" s="8" t="s">
        <v>102</v>
      </c>
      <c r="F1383" s="8" t="s">
        <v>4833</v>
      </c>
      <c r="G1383" s="8" t="s">
        <v>3694</v>
      </c>
      <c r="H1383" s="9">
        <v>2000000</v>
      </c>
      <c r="I1383" s="9">
        <f>[1]!Tabel1[[#This Row],[Honorar]]*[1]!Tabel1[[#This Row],[Sandsynlighed]]</f>
        <v>500000</v>
      </c>
      <c r="J1383" s="10" t="s">
        <v>341</v>
      </c>
      <c r="K1383" s="1" t="s">
        <v>2405</v>
      </c>
      <c r="L1383" s="17"/>
      <c r="M1383" s="11">
        <v>0.2</v>
      </c>
      <c r="N1383" s="1"/>
      <c r="O1383" s="10">
        <v>46279.60052083333</v>
      </c>
      <c r="P1383" s="10" t="s">
        <v>4830</v>
      </c>
      <c r="Q1383" s="1" t="s">
        <v>72</v>
      </c>
      <c r="R1383" s="8" t="s">
        <v>343</v>
      </c>
      <c r="S138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8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8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8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8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8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8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8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8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8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8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8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8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83" s="12">
        <f ca="1">[1]!Tabel1[[#This Row],[Vægtet Honorar]]*([1]!Tabel1[[#This Row],[Sidst redigeret]]&gt;TODAY()-40)*([1]!Tabel1[[#This Row],[Er i resplan?]]&lt;&gt;"Ja")*([1]!Tabel1[[#This Row],[Status]]="Pågår")</f>
        <v>500000</v>
      </c>
      <c r="AG1383" s="12">
        <f ca="1">[1]!Tabel1[[#This Row],[Vægtet Honorar]]*([1]!Tabel1[[#This Row],[Sidst redigeret]]&gt;TODAY()-40)*([1]!Tabel1[[#This Row],[Status]]="Pågår")</f>
        <v>500000</v>
      </c>
      <c r="AH1383" s="13"/>
      <c r="AI1383" s="12"/>
      <c r="AJ1383" s="12" t="s">
        <v>1363</v>
      </c>
      <c r="AK1383" s="12"/>
      <c r="AL1383" s="12"/>
      <c r="AM1383" s="12"/>
      <c r="AN1383" s="12" t="s">
        <v>47</v>
      </c>
      <c r="AO1383" s="12"/>
      <c r="AP1383" s="12"/>
    </row>
    <row r="1384" spans="1:42">
      <c r="A1384" t="s">
        <v>4834</v>
      </c>
      <c r="B1384" s="8"/>
      <c r="C1384" s="8" t="s">
        <v>4835</v>
      </c>
      <c r="D1384" s="8" t="s">
        <v>4254</v>
      </c>
      <c r="E1384" s="8" t="s">
        <v>167</v>
      </c>
      <c r="F1384" s="8" t="s">
        <v>4836</v>
      </c>
      <c r="G1384" s="8" t="s">
        <v>4836</v>
      </c>
      <c r="H1384" s="9">
        <v>1500000</v>
      </c>
      <c r="I1384" s="9">
        <f>[1]!Tabel1[[#This Row],[Honorar]]*[1]!Tabel1[[#This Row],[Sandsynlighed]]</f>
        <v>1750000</v>
      </c>
      <c r="J1384" s="10" t="s">
        <v>1287</v>
      </c>
      <c r="K1384" s="1" t="s">
        <v>2405</v>
      </c>
      <c r="L1384" s="17"/>
      <c r="M1384" s="11">
        <v>0.5</v>
      </c>
      <c r="N1384" s="1"/>
      <c r="O1384" s="10">
        <v>46279.60052083333</v>
      </c>
      <c r="P1384" s="10"/>
      <c r="Q1384" s="1" t="s">
        <v>72</v>
      </c>
      <c r="R1384" s="8" t="s">
        <v>343</v>
      </c>
      <c r="S138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8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8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8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8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8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8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8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8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8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8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8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8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84" s="12">
        <f ca="1">[1]!Tabel1[[#This Row],[Vægtet Honorar]]*([1]!Tabel1[[#This Row],[Sidst redigeret]]&gt;TODAY()-40)*([1]!Tabel1[[#This Row],[Er i resplan?]]&lt;&gt;"Ja")*([1]!Tabel1[[#This Row],[Status]]="Pågår")</f>
        <v>1750000</v>
      </c>
      <c r="AG1384" s="12">
        <f ca="1">[1]!Tabel1[[#This Row],[Vægtet Honorar]]*([1]!Tabel1[[#This Row],[Sidst redigeret]]&gt;TODAY()-40)*([1]!Tabel1[[#This Row],[Status]]="Pågår")</f>
        <v>1750000</v>
      </c>
      <c r="AH1384" s="13"/>
      <c r="AI1384" s="12"/>
      <c r="AJ1384" s="12"/>
      <c r="AK1384" s="12"/>
      <c r="AL1384" s="12"/>
      <c r="AM1384" s="12"/>
      <c r="AN1384" s="12"/>
      <c r="AO1384" s="12"/>
      <c r="AP1384" s="12"/>
    </row>
    <row r="1385" spans="1:42">
      <c r="A1385" t="s">
        <v>4837</v>
      </c>
      <c r="B1385" s="8"/>
      <c r="C1385" s="8" t="s">
        <v>4838</v>
      </c>
      <c r="D1385" s="8" t="s">
        <v>720</v>
      </c>
      <c r="E1385" s="8" t="s">
        <v>71</v>
      </c>
      <c r="F1385" s="8" t="s">
        <v>1152</v>
      </c>
      <c r="G1385" s="8" t="s">
        <v>1152</v>
      </c>
      <c r="H1385" s="9">
        <v>500000</v>
      </c>
      <c r="I1385" s="9">
        <f>[1]!Tabel1[[#This Row],[Honorar]]*[1]!Tabel1[[#This Row],[Sandsynlighed]]</f>
        <v>0.01</v>
      </c>
      <c r="J1385" s="10" t="s">
        <v>1287</v>
      </c>
      <c r="K1385" s="1" t="s">
        <v>341</v>
      </c>
      <c r="L1385" s="17"/>
      <c r="M1385" s="11">
        <v>0.5</v>
      </c>
      <c r="N1385" s="1"/>
      <c r="O1385" s="10">
        <v>46279.60052083333</v>
      </c>
      <c r="P1385" s="10"/>
      <c r="Q1385" s="1" t="s">
        <v>72</v>
      </c>
      <c r="R1385" s="8" t="s">
        <v>75</v>
      </c>
      <c r="S138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8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8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8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8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8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8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8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8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8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8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8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8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85" s="12">
        <f ca="1">[1]!Tabel1[[#This Row],[Vægtet Honorar]]*([1]!Tabel1[[#This Row],[Sidst redigeret]]&gt;TODAY()-40)*([1]!Tabel1[[#This Row],[Er i resplan?]]&lt;&gt;"Ja")*([1]!Tabel1[[#This Row],[Status]]="Pågår")</f>
        <v>0.01</v>
      </c>
      <c r="AG1385" s="12">
        <f ca="1">[1]!Tabel1[[#This Row],[Vægtet Honorar]]*([1]!Tabel1[[#This Row],[Sidst redigeret]]&gt;TODAY()-40)*([1]!Tabel1[[#This Row],[Status]]="Pågår")</f>
        <v>0.01</v>
      </c>
      <c r="AH1385" s="13"/>
      <c r="AI1385" s="12"/>
      <c r="AJ1385" s="12"/>
      <c r="AK1385" s="12"/>
      <c r="AL1385" s="12"/>
      <c r="AM1385" s="12"/>
      <c r="AN1385" s="12"/>
      <c r="AO1385" s="12"/>
      <c r="AP1385" s="12"/>
    </row>
    <row r="1386" spans="1:42">
      <c r="A1386" t="s">
        <v>4839</v>
      </c>
      <c r="B1386" s="8"/>
      <c r="C1386" s="8" t="s">
        <v>4840</v>
      </c>
      <c r="D1386" s="8" t="s">
        <v>2886</v>
      </c>
      <c r="E1386" s="8" t="s">
        <v>120</v>
      </c>
      <c r="F1386" s="8" t="s">
        <v>691</v>
      </c>
      <c r="G1386" s="8" t="s">
        <v>691</v>
      </c>
      <c r="H1386" s="9">
        <v>2000000</v>
      </c>
      <c r="I1386" s="9">
        <f>[1]!Tabel1[[#This Row],[Honorar]]*[1]!Tabel1[[#This Row],[Sandsynlighed]]</f>
        <v>400000</v>
      </c>
      <c r="J1386" s="10" t="s">
        <v>341</v>
      </c>
      <c r="K1386" s="1" t="s">
        <v>1062</v>
      </c>
      <c r="L1386" s="17"/>
      <c r="M1386" s="11">
        <v>0.05</v>
      </c>
      <c r="N1386" s="1"/>
      <c r="O1386" s="10">
        <v>46279.60052083333</v>
      </c>
      <c r="P1386" s="10" t="s">
        <v>4507</v>
      </c>
      <c r="Q1386" s="1" t="s">
        <v>72</v>
      </c>
      <c r="R1386" s="8" t="s">
        <v>343</v>
      </c>
      <c r="S138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8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8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8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8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8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8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8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8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8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8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8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8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86" s="12">
        <f ca="1">[1]!Tabel1[[#This Row],[Vægtet Honorar]]*([1]!Tabel1[[#This Row],[Sidst redigeret]]&gt;TODAY()-40)*([1]!Tabel1[[#This Row],[Er i resplan?]]&lt;&gt;"Ja")*([1]!Tabel1[[#This Row],[Status]]="Pågår")</f>
        <v>0</v>
      </c>
      <c r="AG1386" s="12">
        <f ca="1">[1]!Tabel1[[#This Row],[Vægtet Honorar]]*([1]!Tabel1[[#This Row],[Sidst redigeret]]&gt;TODAY()-40)*([1]!Tabel1[[#This Row],[Status]]="Pågår")</f>
        <v>0</v>
      </c>
      <c r="AH1386" s="13"/>
      <c r="AI1386" s="12"/>
      <c r="AJ1386" s="12" t="s">
        <v>943</v>
      </c>
      <c r="AK1386" s="12"/>
      <c r="AL1386" s="12"/>
      <c r="AM1386" s="12"/>
      <c r="AN1386" s="12"/>
      <c r="AO1386" s="12"/>
      <c r="AP1386" s="12"/>
    </row>
    <row r="1387" spans="1:42" ht="60">
      <c r="A1387" t="s">
        <v>4841</v>
      </c>
      <c r="B1387" s="8"/>
      <c r="C1387" s="8" t="s">
        <v>4842</v>
      </c>
      <c r="D1387" s="8" t="s">
        <v>896</v>
      </c>
      <c r="E1387" s="8" t="s">
        <v>94</v>
      </c>
      <c r="F1387" s="8" t="s">
        <v>589</v>
      </c>
      <c r="G1387" s="8" t="s">
        <v>2775</v>
      </c>
      <c r="H1387" s="9">
        <v>2000000</v>
      </c>
      <c r="I1387" s="9">
        <f>[1]!Tabel1[[#This Row],[Honorar]]*[1]!Tabel1[[#This Row],[Sandsynlighed]]</f>
        <v>100000</v>
      </c>
      <c r="J1387" s="10" t="s">
        <v>1062</v>
      </c>
      <c r="K1387" s="1" t="s">
        <v>1861</v>
      </c>
      <c r="L1387" s="17" t="s">
        <v>4843</v>
      </c>
      <c r="M1387" s="11">
        <v>0.01</v>
      </c>
      <c r="N1387" s="1"/>
      <c r="O1387" s="10">
        <v>46279.60052083333</v>
      </c>
      <c r="P1387" s="10" t="s">
        <v>4507</v>
      </c>
      <c r="Q1387" s="1" t="s">
        <v>72</v>
      </c>
      <c r="R1387" s="8" t="s">
        <v>343</v>
      </c>
      <c r="S138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8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8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8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8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8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8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8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8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8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8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8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8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87" s="12">
        <f ca="1">[1]!Tabel1[[#This Row],[Vægtet Honorar]]*([1]!Tabel1[[#This Row],[Sidst redigeret]]&gt;TODAY()-40)*([1]!Tabel1[[#This Row],[Er i resplan?]]&lt;&gt;"Ja")*([1]!Tabel1[[#This Row],[Status]]="Pågår")</f>
        <v>100000</v>
      </c>
      <c r="AG1387" s="12">
        <f ca="1">[1]!Tabel1[[#This Row],[Vægtet Honorar]]*([1]!Tabel1[[#This Row],[Sidst redigeret]]&gt;TODAY()-40)*([1]!Tabel1[[#This Row],[Status]]="Pågår")</f>
        <v>100000</v>
      </c>
      <c r="AH1387" s="13"/>
      <c r="AI1387" s="12"/>
      <c r="AJ1387" s="12" t="s">
        <v>3124</v>
      </c>
      <c r="AK1387" s="12"/>
      <c r="AL1387" s="12"/>
      <c r="AM1387" s="12"/>
      <c r="AN1387" s="12"/>
      <c r="AO1387" s="12"/>
      <c r="AP1387" s="12"/>
    </row>
    <row r="1388" spans="1:42" ht="90">
      <c r="A1388" t="s">
        <v>4844</v>
      </c>
      <c r="B1388" s="8"/>
      <c r="C1388" s="8" t="s">
        <v>4845</v>
      </c>
      <c r="D1388" s="8" t="s">
        <v>134</v>
      </c>
      <c r="E1388" s="8" t="s">
        <v>94</v>
      </c>
      <c r="F1388" s="8" t="s">
        <v>4846</v>
      </c>
      <c r="G1388" s="8" t="s">
        <v>4846</v>
      </c>
      <c r="H1388" s="9">
        <v>60000</v>
      </c>
      <c r="I1388" s="9">
        <f>[1]!Tabel1[[#This Row],[Honorar]]*[1]!Tabel1[[#This Row],[Sandsynlighed]]</f>
        <v>400000</v>
      </c>
      <c r="J1388" s="10" t="s">
        <v>1191</v>
      </c>
      <c r="K1388" s="1" t="s">
        <v>341</v>
      </c>
      <c r="L1388" s="17" t="s">
        <v>4847</v>
      </c>
      <c r="M1388" s="11">
        <v>0.5</v>
      </c>
      <c r="N1388" s="1" t="s">
        <v>4848</v>
      </c>
      <c r="O1388" s="10">
        <v>46279.60052083333</v>
      </c>
      <c r="P1388" s="10" t="s">
        <v>4507</v>
      </c>
      <c r="Q1388" s="1" t="s">
        <v>72</v>
      </c>
      <c r="R1388" s="8" t="s">
        <v>49</v>
      </c>
      <c r="S138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8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8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8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8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8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8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8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8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8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8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8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8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88" s="12">
        <f ca="1">[1]!Tabel1[[#This Row],[Vægtet Honorar]]*([1]!Tabel1[[#This Row],[Sidst redigeret]]&gt;TODAY()-40)*([1]!Tabel1[[#This Row],[Er i resplan?]]&lt;&gt;"Ja")*([1]!Tabel1[[#This Row],[Status]]="Pågår")</f>
        <v>400000</v>
      </c>
      <c r="AG1388" s="12">
        <f ca="1">[1]!Tabel1[[#This Row],[Vægtet Honorar]]*([1]!Tabel1[[#This Row],[Sidst redigeret]]&gt;TODAY()-40)*([1]!Tabel1[[#This Row],[Status]]="Pågår")</f>
        <v>400000</v>
      </c>
      <c r="AH1388" s="13"/>
      <c r="AI1388" s="12"/>
      <c r="AJ1388" s="12"/>
      <c r="AK1388" s="12"/>
      <c r="AL1388" s="12"/>
      <c r="AM1388" s="12"/>
      <c r="AN1388" s="12"/>
      <c r="AO1388" s="12"/>
      <c r="AP1388" s="12"/>
    </row>
    <row r="1389" spans="1:42" ht="120">
      <c r="A1389" t="s">
        <v>4849</v>
      </c>
      <c r="B1389" s="8"/>
      <c r="C1389" s="8" t="s">
        <v>4850</v>
      </c>
      <c r="D1389" s="8" t="s">
        <v>134</v>
      </c>
      <c r="E1389" s="8" t="s">
        <v>94</v>
      </c>
      <c r="F1389" s="8" t="s">
        <v>1305</v>
      </c>
      <c r="G1389" s="8" t="s">
        <v>1305</v>
      </c>
      <c r="H1389" s="9">
        <v>625000</v>
      </c>
      <c r="I1389" s="9">
        <f>[1]!Tabel1[[#This Row],[Honorar]]*[1]!Tabel1[[#This Row],[Sandsynlighed]]</f>
        <v>750000</v>
      </c>
      <c r="J1389" s="10" t="s">
        <v>341</v>
      </c>
      <c r="K1389" s="1" t="s">
        <v>585</v>
      </c>
      <c r="L1389" s="17" t="s">
        <v>4851</v>
      </c>
      <c r="M1389" s="11">
        <v>0.5</v>
      </c>
      <c r="N1389" s="1" t="s">
        <v>4852</v>
      </c>
      <c r="O1389" s="10">
        <v>46279.60052083333</v>
      </c>
      <c r="P1389" s="10" t="s">
        <v>4507</v>
      </c>
      <c r="Q1389" s="1" t="s">
        <v>46</v>
      </c>
      <c r="R1389" s="8" t="s">
        <v>75</v>
      </c>
      <c r="S138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8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8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8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8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8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8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8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8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8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8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8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8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89" s="12">
        <f ca="1">[1]!Tabel1[[#This Row],[Vægtet Honorar]]*([1]!Tabel1[[#This Row],[Sidst redigeret]]&gt;TODAY()-40)*([1]!Tabel1[[#This Row],[Er i resplan?]]&lt;&gt;"Ja")*([1]!Tabel1[[#This Row],[Status]]="Pågår")</f>
        <v>750000</v>
      </c>
      <c r="AG1389" s="12">
        <f ca="1">[1]!Tabel1[[#This Row],[Vægtet Honorar]]*([1]!Tabel1[[#This Row],[Sidst redigeret]]&gt;TODAY()-40)*([1]!Tabel1[[#This Row],[Status]]="Pågår")</f>
        <v>750000</v>
      </c>
      <c r="AH1389" s="13"/>
      <c r="AI1389" s="12"/>
      <c r="AJ1389" s="12"/>
      <c r="AK1389" s="12"/>
      <c r="AL1389" s="12"/>
      <c r="AM1389" s="12"/>
      <c r="AN1389" s="12"/>
      <c r="AO1389" s="12"/>
      <c r="AP1389" s="12"/>
    </row>
    <row r="1390" spans="1:42" ht="90">
      <c r="A1390" t="s">
        <v>4853</v>
      </c>
      <c r="B1390" s="8"/>
      <c r="C1390" s="8" t="s">
        <v>4854</v>
      </c>
      <c r="D1390" s="8" t="s">
        <v>2368</v>
      </c>
      <c r="E1390" s="8" t="s">
        <v>94</v>
      </c>
      <c r="F1390" s="8" t="s">
        <v>4855</v>
      </c>
      <c r="G1390" s="8" t="s">
        <v>767</v>
      </c>
      <c r="H1390" s="9">
        <v>1000000</v>
      </c>
      <c r="I1390" s="9">
        <f>[1]!Tabel1[[#This Row],[Honorar]]*[1]!Tabel1[[#This Row],[Sandsynlighed]]</f>
        <v>250000</v>
      </c>
      <c r="J1390" s="10" t="s">
        <v>1191</v>
      </c>
      <c r="K1390" s="1" t="s">
        <v>1310</v>
      </c>
      <c r="L1390" s="17" t="s">
        <v>4856</v>
      </c>
      <c r="M1390" s="11">
        <v>0.01</v>
      </c>
      <c r="N1390" s="1" t="s">
        <v>105</v>
      </c>
      <c r="O1390" s="10">
        <v>46279.60052083333</v>
      </c>
      <c r="P1390" s="10" t="s">
        <v>4507</v>
      </c>
      <c r="Q1390" s="1" t="s">
        <v>72</v>
      </c>
      <c r="R1390" s="8" t="s">
        <v>343</v>
      </c>
      <c r="S139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9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9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9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9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9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9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9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9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9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9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9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9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90" s="12">
        <f ca="1">[1]!Tabel1[[#This Row],[Vægtet Honorar]]*([1]!Tabel1[[#This Row],[Sidst redigeret]]&gt;TODAY()-40)*([1]!Tabel1[[#This Row],[Er i resplan?]]&lt;&gt;"Ja")*([1]!Tabel1[[#This Row],[Status]]="Pågår")</f>
        <v>0</v>
      </c>
      <c r="AG1390" s="12">
        <f ca="1">[1]!Tabel1[[#This Row],[Vægtet Honorar]]*([1]!Tabel1[[#This Row],[Sidst redigeret]]&gt;TODAY()-40)*([1]!Tabel1[[#This Row],[Status]]="Pågår")</f>
        <v>0</v>
      </c>
      <c r="AH1390" s="13"/>
      <c r="AI1390" s="12"/>
      <c r="AJ1390" s="12"/>
      <c r="AK1390" s="12"/>
      <c r="AL1390" s="12"/>
      <c r="AM1390" s="12"/>
      <c r="AN1390" s="12"/>
      <c r="AO1390" s="12"/>
      <c r="AP1390" s="12"/>
    </row>
    <row r="1391" spans="1:42">
      <c r="A1391" t="s">
        <v>4857</v>
      </c>
      <c r="B1391" s="8"/>
      <c r="C1391" s="8" t="s">
        <v>4858</v>
      </c>
      <c r="D1391" s="8" t="s">
        <v>720</v>
      </c>
      <c r="E1391" s="8" t="s">
        <v>71</v>
      </c>
      <c r="F1391" s="8" t="s">
        <v>1012</v>
      </c>
      <c r="G1391" s="8" t="s">
        <v>1012</v>
      </c>
      <c r="H1391" s="9">
        <v>1000000</v>
      </c>
      <c r="I1391" s="9">
        <f>[1]!Tabel1[[#This Row],[Honorar]]*[1]!Tabel1[[#This Row],[Sandsynlighed]]</f>
        <v>100000</v>
      </c>
      <c r="J1391" s="10" t="s">
        <v>1191</v>
      </c>
      <c r="K1391" s="1" t="s">
        <v>1310</v>
      </c>
      <c r="L1391" s="17"/>
      <c r="M1391" s="11">
        <v>0.75</v>
      </c>
      <c r="N1391" s="1"/>
      <c r="O1391" s="10">
        <v>46279.60052083333</v>
      </c>
      <c r="P1391" s="10" t="s">
        <v>4507</v>
      </c>
      <c r="Q1391" s="1" t="s">
        <v>4507</v>
      </c>
      <c r="R1391" s="8" t="s">
        <v>47</v>
      </c>
      <c r="S139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9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9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9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9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9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9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9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9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9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9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9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9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91" s="12">
        <f ca="1">[1]!Tabel1[[#This Row],[Vægtet Honorar]]*([1]!Tabel1[[#This Row],[Sidst redigeret]]&gt;TODAY()-40)*([1]!Tabel1[[#This Row],[Er i resplan?]]&lt;&gt;"Ja")*([1]!Tabel1[[#This Row],[Status]]="Pågår")</f>
        <v>100000</v>
      </c>
      <c r="AG1391" s="12">
        <f ca="1">[1]!Tabel1[[#This Row],[Vægtet Honorar]]*([1]!Tabel1[[#This Row],[Sidst redigeret]]&gt;TODAY()-40)*([1]!Tabel1[[#This Row],[Status]]="Pågår")</f>
        <v>100000</v>
      </c>
      <c r="AH1391" s="13">
        <v>45993.409837962965</v>
      </c>
      <c r="AI1391" s="12"/>
      <c r="AJ1391" s="12"/>
      <c r="AK1391" s="12"/>
      <c r="AL1391" s="12"/>
      <c r="AM1391" s="12"/>
      <c r="AN1391" s="12"/>
      <c r="AO1391" s="12"/>
      <c r="AP1391" s="12"/>
    </row>
    <row r="1392" spans="1:42" ht="45">
      <c r="A1392" t="s">
        <v>4859</v>
      </c>
      <c r="B1392" s="8"/>
      <c r="C1392" s="8" t="s">
        <v>4860</v>
      </c>
      <c r="D1392" s="8" t="s">
        <v>1771</v>
      </c>
      <c r="E1392" s="8" t="s">
        <v>167</v>
      </c>
      <c r="F1392" s="8" t="s">
        <v>4861</v>
      </c>
      <c r="G1392" s="8" t="s">
        <v>4862</v>
      </c>
      <c r="H1392" s="9">
        <v>3500000</v>
      </c>
      <c r="I1392" s="9">
        <f>[1]!Tabel1[[#This Row],[Honorar]]*[1]!Tabel1[[#This Row],[Sandsynlighed]]</f>
        <v>20000</v>
      </c>
      <c r="J1392" s="10" t="s">
        <v>341</v>
      </c>
      <c r="K1392" s="1" t="s">
        <v>2105</v>
      </c>
      <c r="L1392" s="17" t="s">
        <v>4863</v>
      </c>
      <c r="M1392" s="11">
        <v>1</v>
      </c>
      <c r="N1392" s="1" t="s">
        <v>4864</v>
      </c>
      <c r="O1392" s="10">
        <v>46279.60052083333</v>
      </c>
      <c r="P1392" s="10" t="s">
        <v>4507</v>
      </c>
      <c r="Q1392" s="1" t="s">
        <v>4507</v>
      </c>
      <c r="R1392" s="8" t="s">
        <v>47</v>
      </c>
      <c r="S139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9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9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9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9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9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9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9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9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9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9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9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9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92" s="12">
        <f ca="1">[1]!Tabel1[[#This Row],[Vægtet Honorar]]*([1]!Tabel1[[#This Row],[Sidst redigeret]]&gt;TODAY()-40)*([1]!Tabel1[[#This Row],[Er i resplan?]]&lt;&gt;"Ja")*([1]!Tabel1[[#This Row],[Status]]="Pågår")</f>
        <v>20000</v>
      </c>
      <c r="AG1392" s="12">
        <f ca="1">[1]!Tabel1[[#This Row],[Vægtet Honorar]]*([1]!Tabel1[[#This Row],[Sidst redigeret]]&gt;TODAY()-40)*([1]!Tabel1[[#This Row],[Status]]="Pågår")</f>
        <v>20000</v>
      </c>
      <c r="AH1392" s="13">
        <v>46034.470034722224</v>
      </c>
      <c r="AI1392" s="12"/>
      <c r="AJ1392" s="12" t="s">
        <v>4865</v>
      </c>
      <c r="AK1392" s="12" t="s">
        <v>2755</v>
      </c>
      <c r="AL1392" s="12"/>
      <c r="AM1392" s="12"/>
      <c r="AN1392" s="12"/>
      <c r="AO1392" s="12"/>
      <c r="AP1392" s="12"/>
    </row>
    <row r="1393" spans="1:42">
      <c r="A1393" t="s">
        <v>4866</v>
      </c>
      <c r="B1393" s="8"/>
      <c r="C1393" s="8" t="s">
        <v>4867</v>
      </c>
      <c r="D1393" s="8" t="s">
        <v>1468</v>
      </c>
      <c r="E1393" s="8" t="s">
        <v>167</v>
      </c>
      <c r="F1393" s="8" t="s">
        <v>4868</v>
      </c>
      <c r="G1393" s="8" t="s">
        <v>4868</v>
      </c>
      <c r="H1393" s="9">
        <v>300000</v>
      </c>
      <c r="I1393" s="9">
        <f>[1]!Tabel1[[#This Row],[Honorar]]*[1]!Tabel1[[#This Row],[Sandsynlighed]]</f>
        <v>30000</v>
      </c>
      <c r="J1393" s="10" t="s">
        <v>1191</v>
      </c>
      <c r="K1393" s="1" t="s">
        <v>342</v>
      </c>
      <c r="L1393" s="17"/>
      <c r="M1393" s="11">
        <v>0.8</v>
      </c>
      <c r="N1393" s="1"/>
      <c r="O1393" s="10">
        <v>46279.60052083333</v>
      </c>
      <c r="P1393" s="10" t="s">
        <v>4507</v>
      </c>
      <c r="Q1393" s="1" t="s">
        <v>46</v>
      </c>
      <c r="R1393" s="8" t="s">
        <v>47</v>
      </c>
      <c r="S139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9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9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9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9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9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9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9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9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9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9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9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9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93" s="12">
        <f ca="1">[1]!Tabel1[[#This Row],[Vægtet Honorar]]*([1]!Tabel1[[#This Row],[Sidst redigeret]]&gt;TODAY()-40)*([1]!Tabel1[[#This Row],[Er i resplan?]]&lt;&gt;"Ja")*([1]!Tabel1[[#This Row],[Status]]="Pågår")</f>
        <v>0</v>
      </c>
      <c r="AG1393" s="12">
        <f ca="1">[1]!Tabel1[[#This Row],[Vægtet Honorar]]*([1]!Tabel1[[#This Row],[Sidst redigeret]]&gt;TODAY()-40)*([1]!Tabel1[[#This Row],[Status]]="Pågår")</f>
        <v>0</v>
      </c>
      <c r="AH1393" s="13">
        <v>45915.512881944444</v>
      </c>
      <c r="AI1393" s="12"/>
      <c r="AJ1393" s="12"/>
      <c r="AK1393" s="12"/>
      <c r="AL1393" s="12"/>
      <c r="AM1393" s="12"/>
      <c r="AN1393" s="12"/>
      <c r="AO1393" s="12"/>
      <c r="AP1393" s="12"/>
    </row>
    <row r="1394" spans="1:42">
      <c r="A1394" t="s">
        <v>4869</v>
      </c>
      <c r="B1394" s="8"/>
      <c r="C1394" s="8" t="s">
        <v>4870</v>
      </c>
      <c r="D1394" s="8" t="s">
        <v>203</v>
      </c>
      <c r="E1394" s="8" t="s">
        <v>167</v>
      </c>
      <c r="F1394" s="8" t="s">
        <v>4871</v>
      </c>
      <c r="G1394" s="8" t="s">
        <v>4872</v>
      </c>
      <c r="H1394" s="9">
        <v>1000000</v>
      </c>
      <c r="I1394" s="9">
        <f>[1]!Tabel1[[#This Row],[Honorar]]*[1]!Tabel1[[#This Row],[Sandsynlighed]]</f>
        <v>312500</v>
      </c>
      <c r="J1394" s="10" t="s">
        <v>1191</v>
      </c>
      <c r="K1394" s="1" t="s">
        <v>342</v>
      </c>
      <c r="L1394" s="17"/>
      <c r="M1394" s="11">
        <v>0.95</v>
      </c>
      <c r="N1394" s="1"/>
      <c r="O1394" s="10">
        <v>46279.60052083333</v>
      </c>
      <c r="P1394" s="10" t="s">
        <v>4507</v>
      </c>
      <c r="Q1394" s="1" t="s">
        <v>72</v>
      </c>
      <c r="R1394" s="8" t="s">
        <v>343</v>
      </c>
      <c r="S139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9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9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9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9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9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9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9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9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9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9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9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9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94" s="12">
        <f ca="1">[1]!Tabel1[[#This Row],[Vægtet Honorar]]*([1]!Tabel1[[#This Row],[Sidst redigeret]]&gt;TODAY()-40)*([1]!Tabel1[[#This Row],[Er i resplan?]]&lt;&gt;"Ja")*([1]!Tabel1[[#This Row],[Status]]="Pågår")</f>
        <v>0</v>
      </c>
      <c r="AG1394" s="12">
        <f ca="1">[1]!Tabel1[[#This Row],[Vægtet Honorar]]*([1]!Tabel1[[#This Row],[Sidst redigeret]]&gt;TODAY()-40)*([1]!Tabel1[[#This Row],[Status]]="Pågår")</f>
        <v>0</v>
      </c>
      <c r="AH1394" s="13"/>
      <c r="AI1394" s="12"/>
      <c r="AJ1394" s="12"/>
      <c r="AK1394" s="12"/>
      <c r="AL1394" s="12"/>
      <c r="AM1394" s="12"/>
      <c r="AN1394" s="12"/>
      <c r="AO1394" s="12"/>
      <c r="AP1394" s="12"/>
    </row>
    <row r="1395" spans="1:42">
      <c r="A1395" t="s">
        <v>4873</v>
      </c>
      <c r="B1395" s="8"/>
      <c r="C1395" s="8" t="s">
        <v>4874</v>
      </c>
      <c r="D1395" s="8" t="s">
        <v>288</v>
      </c>
      <c r="E1395" s="8" t="s">
        <v>167</v>
      </c>
      <c r="F1395" s="8" t="s">
        <v>4055</v>
      </c>
      <c r="G1395" s="8" t="s">
        <v>402</v>
      </c>
      <c r="H1395" s="9">
        <v>4000000</v>
      </c>
      <c r="I1395" s="9">
        <f>[1]!Tabel1[[#This Row],[Honorar]]*[1]!Tabel1[[#This Row],[Sandsynlighed]]</f>
        <v>10000</v>
      </c>
      <c r="J1395" s="10" t="s">
        <v>341</v>
      </c>
      <c r="K1395" s="1" t="s">
        <v>342</v>
      </c>
      <c r="L1395" s="17" t="s">
        <v>4875</v>
      </c>
      <c r="M1395" s="11">
        <v>1</v>
      </c>
      <c r="N1395" s="1">
        <v>2770</v>
      </c>
      <c r="O1395" s="10">
        <v>46279.60052083333</v>
      </c>
      <c r="P1395" s="10" t="s">
        <v>46</v>
      </c>
      <c r="Q1395" s="1" t="s">
        <v>72</v>
      </c>
      <c r="R1395" s="8" t="s">
        <v>343</v>
      </c>
      <c r="S139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9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9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9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9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9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9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9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9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9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9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9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9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95" s="12">
        <f ca="1">[1]!Tabel1[[#This Row],[Vægtet Honorar]]*([1]!Tabel1[[#This Row],[Sidst redigeret]]&gt;TODAY()-40)*([1]!Tabel1[[#This Row],[Er i resplan?]]&lt;&gt;"Ja")*([1]!Tabel1[[#This Row],[Status]]="Pågår")</f>
        <v>10000</v>
      </c>
      <c r="AG1395" s="12">
        <f ca="1">[1]!Tabel1[[#This Row],[Vægtet Honorar]]*([1]!Tabel1[[#This Row],[Sidst redigeret]]&gt;TODAY()-40)*([1]!Tabel1[[#This Row],[Status]]="Pågår")</f>
        <v>10000</v>
      </c>
      <c r="AH1395" s="13"/>
      <c r="AI1395" s="12"/>
      <c r="AJ1395" s="12"/>
      <c r="AK1395" s="12"/>
      <c r="AL1395" s="12"/>
      <c r="AM1395" s="12"/>
      <c r="AN1395" s="12"/>
      <c r="AO1395" s="12"/>
      <c r="AP1395" s="12"/>
    </row>
    <row r="1396" spans="1:42" ht="60">
      <c r="A1396" t="s">
        <v>4876</v>
      </c>
      <c r="B1396" s="8"/>
      <c r="C1396" s="8" t="s">
        <v>4877</v>
      </c>
      <c r="D1396" s="8" t="s">
        <v>896</v>
      </c>
      <c r="E1396" s="8" t="s">
        <v>94</v>
      </c>
      <c r="F1396" s="8" t="s">
        <v>4878</v>
      </c>
      <c r="G1396" s="8" t="s">
        <v>2211</v>
      </c>
      <c r="H1396" s="9">
        <v>4000000</v>
      </c>
      <c r="I1396" s="9">
        <f>[1]!Tabel1[[#This Row],[Honorar]]*[1]!Tabel1[[#This Row],[Sandsynlighed]]</f>
        <v>750000</v>
      </c>
      <c r="J1396" s="10" t="s">
        <v>341</v>
      </c>
      <c r="K1396" s="1" t="s">
        <v>342</v>
      </c>
      <c r="L1396" s="17" t="s">
        <v>4879</v>
      </c>
      <c r="M1396" s="11">
        <v>0.01</v>
      </c>
      <c r="N1396" s="1">
        <v>2770</v>
      </c>
      <c r="O1396" s="10">
        <v>46279.60052083333</v>
      </c>
      <c r="P1396" s="10" t="s">
        <v>46</v>
      </c>
      <c r="Q1396" s="1" t="s">
        <v>72</v>
      </c>
      <c r="R1396" s="8" t="s">
        <v>343</v>
      </c>
      <c r="S139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9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9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9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9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9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9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9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9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9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9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9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9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96" s="12">
        <f ca="1">[1]!Tabel1[[#This Row],[Vægtet Honorar]]*([1]!Tabel1[[#This Row],[Sidst redigeret]]&gt;TODAY()-40)*([1]!Tabel1[[#This Row],[Er i resplan?]]&lt;&gt;"Ja")*([1]!Tabel1[[#This Row],[Status]]="Pågår")</f>
        <v>0</v>
      </c>
      <c r="AG1396" s="12">
        <f ca="1">[1]!Tabel1[[#This Row],[Vægtet Honorar]]*([1]!Tabel1[[#This Row],[Sidst redigeret]]&gt;TODAY()-40)*([1]!Tabel1[[#This Row],[Status]]="Pågår")</f>
        <v>0</v>
      </c>
      <c r="AH1396" s="13"/>
      <c r="AI1396" s="12"/>
      <c r="AJ1396" s="12" t="s">
        <v>2211</v>
      </c>
      <c r="AK1396" s="12"/>
      <c r="AL1396" s="12"/>
      <c r="AM1396" s="12"/>
      <c r="AN1396" s="12"/>
      <c r="AO1396" s="12"/>
      <c r="AP1396" s="12"/>
    </row>
    <row r="1397" spans="1:42" ht="45">
      <c r="A1397" t="s">
        <v>4880</v>
      </c>
      <c r="B1397" s="8"/>
      <c r="C1397" s="8" t="s">
        <v>4881</v>
      </c>
      <c r="D1397" s="8" t="s">
        <v>134</v>
      </c>
      <c r="E1397" s="8" t="s">
        <v>94</v>
      </c>
      <c r="F1397" s="8" t="s">
        <v>4047</v>
      </c>
      <c r="G1397" s="8" t="s">
        <v>4047</v>
      </c>
      <c r="H1397" s="9">
        <v>25000</v>
      </c>
      <c r="I1397" s="9">
        <f>[1]!Tabel1[[#This Row],[Honorar]]*[1]!Tabel1[[#This Row],[Sandsynlighed]]</f>
        <v>3500000</v>
      </c>
      <c r="J1397" s="10" t="s">
        <v>1287</v>
      </c>
      <c r="K1397" s="1" t="s">
        <v>1191</v>
      </c>
      <c r="L1397" s="17" t="s">
        <v>4882</v>
      </c>
      <c r="M1397" s="11">
        <v>1</v>
      </c>
      <c r="N1397" s="1" t="s">
        <v>777</v>
      </c>
      <c r="O1397" s="10">
        <v>46279.60052083333</v>
      </c>
      <c r="P1397" s="10" t="s">
        <v>46</v>
      </c>
      <c r="Q1397" s="1" t="s">
        <v>72</v>
      </c>
      <c r="R1397" s="8" t="s">
        <v>47</v>
      </c>
      <c r="S139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9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9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9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9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9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9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9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9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9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9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9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9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97" s="12">
        <f ca="1">[1]!Tabel1[[#This Row],[Vægtet Honorar]]*([1]!Tabel1[[#This Row],[Sidst redigeret]]&gt;TODAY()-40)*([1]!Tabel1[[#This Row],[Er i resplan?]]&lt;&gt;"Ja")*([1]!Tabel1[[#This Row],[Status]]="Pågår")</f>
        <v>0</v>
      </c>
      <c r="AG1397" s="12">
        <f ca="1">[1]!Tabel1[[#This Row],[Vægtet Honorar]]*([1]!Tabel1[[#This Row],[Sidst redigeret]]&gt;TODAY()-40)*([1]!Tabel1[[#This Row],[Status]]="Pågår")</f>
        <v>0</v>
      </c>
      <c r="AH1397" s="13">
        <v>45966.60423611111</v>
      </c>
      <c r="AI1397" s="12"/>
      <c r="AJ1397" s="12"/>
      <c r="AK1397" s="12"/>
      <c r="AL1397" s="12"/>
      <c r="AM1397" s="12"/>
      <c r="AN1397" s="12"/>
      <c r="AO1397" s="12"/>
      <c r="AP1397" s="12"/>
    </row>
    <row r="1398" spans="1:42">
      <c r="A1398" t="s">
        <v>4883</v>
      </c>
      <c r="B1398" s="8"/>
      <c r="C1398" s="8" t="s">
        <v>4884</v>
      </c>
      <c r="D1398" s="8" t="s">
        <v>720</v>
      </c>
      <c r="E1398" s="8" t="s">
        <v>71</v>
      </c>
      <c r="F1398" s="8" t="s">
        <v>547</v>
      </c>
      <c r="G1398" s="8" t="s">
        <v>2586</v>
      </c>
      <c r="H1398" s="9">
        <v>1000000</v>
      </c>
      <c r="I1398" s="9">
        <f>[1]!Tabel1[[#This Row],[Honorar]]*[1]!Tabel1[[#This Row],[Sandsynlighed]]</f>
        <v>240000</v>
      </c>
      <c r="J1398" s="10" t="s">
        <v>341</v>
      </c>
      <c r="K1398" s="1" t="s">
        <v>1062</v>
      </c>
      <c r="L1398" s="17"/>
      <c r="M1398" s="11">
        <v>0.02</v>
      </c>
      <c r="N1398" s="1" t="s">
        <v>777</v>
      </c>
      <c r="O1398" s="10">
        <v>46279.60052083333</v>
      </c>
      <c r="P1398" s="10" t="s">
        <v>46</v>
      </c>
      <c r="Q1398" s="1" t="s">
        <v>72</v>
      </c>
      <c r="R1398" s="8" t="s">
        <v>343</v>
      </c>
      <c r="S139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9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9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9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9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9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9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9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9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9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9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9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9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98" s="12">
        <f ca="1">[1]!Tabel1[[#This Row],[Vægtet Honorar]]*([1]!Tabel1[[#This Row],[Sidst redigeret]]&gt;TODAY()-40)*([1]!Tabel1[[#This Row],[Er i resplan?]]&lt;&gt;"Ja")*([1]!Tabel1[[#This Row],[Status]]="Pågår")</f>
        <v>0</v>
      </c>
      <c r="AG1398" s="12">
        <f ca="1">[1]!Tabel1[[#This Row],[Vægtet Honorar]]*([1]!Tabel1[[#This Row],[Sidst redigeret]]&gt;TODAY()-40)*([1]!Tabel1[[#This Row],[Status]]="Pågår")</f>
        <v>0</v>
      </c>
      <c r="AH1398" s="13"/>
      <c r="AI1398" s="12"/>
      <c r="AJ1398" s="12" t="s">
        <v>4885</v>
      </c>
      <c r="AK1398" s="12"/>
      <c r="AL1398" s="12"/>
      <c r="AM1398" s="12"/>
      <c r="AN1398" s="12"/>
      <c r="AO1398" s="12"/>
      <c r="AP1398" s="12"/>
    </row>
    <row r="1399" spans="1:42">
      <c r="A1399" t="s">
        <v>4886</v>
      </c>
      <c r="B1399" s="8"/>
      <c r="C1399" s="8" t="s">
        <v>4887</v>
      </c>
      <c r="D1399" s="8" t="s">
        <v>720</v>
      </c>
      <c r="E1399" s="8" t="s">
        <v>71</v>
      </c>
      <c r="F1399" s="8" t="s">
        <v>4888</v>
      </c>
      <c r="G1399" s="8"/>
      <c r="H1399" s="9">
        <v>500000</v>
      </c>
      <c r="I1399" s="9">
        <f>[1]!Tabel1[[#This Row],[Honorar]]*[1]!Tabel1[[#This Row],[Sandsynlighed]]</f>
        <v>950000</v>
      </c>
      <c r="J1399" s="10" t="s">
        <v>341</v>
      </c>
      <c r="K1399" s="1" t="s">
        <v>1062</v>
      </c>
      <c r="L1399" s="17"/>
      <c r="M1399" s="11">
        <v>0.2</v>
      </c>
      <c r="N1399" s="1" t="s">
        <v>777</v>
      </c>
      <c r="O1399" s="10">
        <v>46279.60052083333</v>
      </c>
      <c r="P1399" s="10" t="s">
        <v>46</v>
      </c>
      <c r="Q1399" s="1" t="s">
        <v>46</v>
      </c>
      <c r="R1399" s="8" t="s">
        <v>343</v>
      </c>
      <c r="S139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39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39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39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39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39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39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39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39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39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39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39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39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399" s="12">
        <f ca="1">[1]!Tabel1[[#This Row],[Vægtet Honorar]]*([1]!Tabel1[[#This Row],[Sidst redigeret]]&gt;TODAY()-40)*([1]!Tabel1[[#This Row],[Er i resplan?]]&lt;&gt;"Ja")*([1]!Tabel1[[#This Row],[Status]]="Pågår")</f>
        <v>950000</v>
      </c>
      <c r="AG1399" s="12">
        <f ca="1">[1]!Tabel1[[#This Row],[Vægtet Honorar]]*([1]!Tabel1[[#This Row],[Sidst redigeret]]&gt;TODAY()-40)*([1]!Tabel1[[#This Row],[Status]]="Pågår")</f>
        <v>950000</v>
      </c>
      <c r="AH1399" s="13"/>
      <c r="AI1399" s="12"/>
      <c r="AJ1399" s="12"/>
      <c r="AK1399" s="12"/>
      <c r="AL1399" s="12"/>
      <c r="AM1399" s="12"/>
      <c r="AN1399" s="12"/>
      <c r="AO1399" s="12"/>
      <c r="AP1399" s="12"/>
    </row>
    <row r="1400" spans="1:42">
      <c r="A1400" t="s">
        <v>4889</v>
      </c>
      <c r="B1400" s="8"/>
      <c r="C1400" s="8" t="s">
        <v>4890</v>
      </c>
      <c r="D1400" s="8" t="s">
        <v>2886</v>
      </c>
      <c r="E1400" s="8" t="s">
        <v>120</v>
      </c>
      <c r="F1400" s="8" t="s">
        <v>4890</v>
      </c>
      <c r="G1400" s="8" t="s">
        <v>4891</v>
      </c>
      <c r="H1400" s="9">
        <v>2000000</v>
      </c>
      <c r="I1400" s="9">
        <f>[1]!Tabel1[[#This Row],[Honorar]]*[1]!Tabel1[[#This Row],[Sandsynlighed]]</f>
        <v>4000000</v>
      </c>
      <c r="J1400" s="10" t="s">
        <v>1191</v>
      </c>
      <c r="K1400" s="1" t="s">
        <v>342</v>
      </c>
      <c r="L1400" s="17"/>
      <c r="M1400" s="11">
        <v>0.5</v>
      </c>
      <c r="N1400" s="1" t="s">
        <v>777</v>
      </c>
      <c r="O1400" s="10">
        <v>46279.60052083333</v>
      </c>
      <c r="P1400" s="10" t="s">
        <v>46</v>
      </c>
      <c r="Q1400" s="1" t="s">
        <v>46</v>
      </c>
      <c r="R1400" s="8" t="s">
        <v>75</v>
      </c>
      <c r="S140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0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0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0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0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0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0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0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0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0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0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0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0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00" s="12">
        <f ca="1">[1]!Tabel1[[#This Row],[Vægtet Honorar]]*([1]!Tabel1[[#This Row],[Sidst redigeret]]&gt;TODAY()-40)*([1]!Tabel1[[#This Row],[Er i resplan?]]&lt;&gt;"Ja")*([1]!Tabel1[[#This Row],[Status]]="Pågår")</f>
        <v>4000000</v>
      </c>
      <c r="AG1400" s="12">
        <f ca="1">[1]!Tabel1[[#This Row],[Vægtet Honorar]]*([1]!Tabel1[[#This Row],[Sidst redigeret]]&gt;TODAY()-40)*([1]!Tabel1[[#This Row],[Status]]="Pågår")</f>
        <v>4000000</v>
      </c>
      <c r="AH1400" s="13"/>
      <c r="AI1400" s="12"/>
      <c r="AJ1400" s="12"/>
      <c r="AK1400" s="12"/>
      <c r="AL1400" s="12"/>
      <c r="AM1400" s="12"/>
      <c r="AN1400" s="12"/>
      <c r="AO1400" s="12"/>
      <c r="AP1400" s="12"/>
    </row>
    <row r="1401" spans="1:42">
      <c r="A1401" t="s">
        <v>4892</v>
      </c>
      <c r="B1401" s="8"/>
      <c r="C1401" s="8" t="s">
        <v>4893</v>
      </c>
      <c r="D1401" s="8" t="s">
        <v>2886</v>
      </c>
      <c r="E1401" s="8" t="s">
        <v>120</v>
      </c>
      <c r="F1401" s="8" t="s">
        <v>1675</v>
      </c>
      <c r="G1401" s="8" t="s">
        <v>3252</v>
      </c>
      <c r="H1401" s="9">
        <v>2000000</v>
      </c>
      <c r="I1401" s="9">
        <f>[1]!Tabel1[[#This Row],[Honorar]]*[1]!Tabel1[[#This Row],[Sandsynlighed]]</f>
        <v>40000</v>
      </c>
      <c r="J1401" s="10" t="s">
        <v>1310</v>
      </c>
      <c r="K1401" s="1" t="s">
        <v>2405</v>
      </c>
      <c r="L1401" s="17"/>
      <c r="M1401" s="11">
        <v>0.05</v>
      </c>
      <c r="N1401" s="1" t="s">
        <v>777</v>
      </c>
      <c r="O1401" s="10">
        <v>46279.60052083333</v>
      </c>
      <c r="P1401" s="10" t="s">
        <v>46</v>
      </c>
      <c r="Q1401" s="1" t="s">
        <v>72</v>
      </c>
      <c r="R1401" s="8" t="s">
        <v>343</v>
      </c>
      <c r="S140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0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0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0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0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0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0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0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0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0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0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0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0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01" s="12">
        <f ca="1">[1]!Tabel1[[#This Row],[Vægtet Honorar]]*([1]!Tabel1[[#This Row],[Sidst redigeret]]&gt;TODAY()-40)*([1]!Tabel1[[#This Row],[Er i resplan?]]&lt;&gt;"Ja")*([1]!Tabel1[[#This Row],[Status]]="Pågår")</f>
        <v>40000</v>
      </c>
      <c r="AG1401" s="12">
        <f ca="1">[1]!Tabel1[[#This Row],[Vægtet Honorar]]*([1]!Tabel1[[#This Row],[Sidst redigeret]]&gt;TODAY()-40)*([1]!Tabel1[[#This Row],[Status]]="Pågår")</f>
        <v>40000</v>
      </c>
      <c r="AH1401" s="13"/>
      <c r="AI1401" s="12"/>
      <c r="AJ1401" s="12" t="s">
        <v>3252</v>
      </c>
      <c r="AK1401" s="12" t="s">
        <v>4894</v>
      </c>
      <c r="AL1401" s="12"/>
      <c r="AM1401" s="12"/>
      <c r="AN1401" s="12"/>
      <c r="AO1401" s="12"/>
      <c r="AP1401" s="12"/>
    </row>
    <row r="1402" spans="1:42">
      <c r="A1402" t="s">
        <v>4895</v>
      </c>
      <c r="B1402" s="8"/>
      <c r="C1402" s="8" t="s">
        <v>4896</v>
      </c>
      <c r="D1402" s="8" t="s">
        <v>720</v>
      </c>
      <c r="E1402" s="8" t="s">
        <v>71</v>
      </c>
      <c r="F1402" s="8"/>
      <c r="G1402" s="8" t="s">
        <v>4897</v>
      </c>
      <c r="H1402" s="9">
        <v>200000</v>
      </c>
      <c r="I1402" s="9">
        <f>[1]!Tabel1[[#This Row],[Honorar]]*[1]!Tabel1[[#This Row],[Sandsynlighed]]</f>
        <v>25000</v>
      </c>
      <c r="J1402" s="10" t="s">
        <v>341</v>
      </c>
      <c r="K1402" s="1" t="s">
        <v>585</v>
      </c>
      <c r="L1402" s="17"/>
      <c r="M1402" s="11">
        <v>0.05</v>
      </c>
      <c r="N1402" s="1">
        <v>1000</v>
      </c>
      <c r="O1402" s="10">
        <v>46279.60052083333</v>
      </c>
      <c r="P1402" s="10" t="s">
        <v>46</v>
      </c>
      <c r="Q1402" s="1" t="s">
        <v>72</v>
      </c>
      <c r="R1402" s="8" t="s">
        <v>343</v>
      </c>
      <c r="S140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0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0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0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0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0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0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0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0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0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0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0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0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02" s="12">
        <f ca="1">[1]!Tabel1[[#This Row],[Vægtet Honorar]]*([1]!Tabel1[[#This Row],[Sidst redigeret]]&gt;TODAY()-40)*([1]!Tabel1[[#This Row],[Er i resplan?]]&lt;&gt;"Ja")*([1]!Tabel1[[#This Row],[Status]]="Pågår")</f>
        <v>0</v>
      </c>
      <c r="AG1402" s="12">
        <f ca="1">[1]!Tabel1[[#This Row],[Vægtet Honorar]]*([1]!Tabel1[[#This Row],[Sidst redigeret]]&gt;TODAY()-40)*([1]!Tabel1[[#This Row],[Status]]="Pågår")</f>
        <v>0</v>
      </c>
      <c r="AH1402" s="13"/>
      <c r="AI1402" s="12"/>
      <c r="AJ1402" s="12"/>
      <c r="AK1402" s="12"/>
      <c r="AL1402" s="12"/>
      <c r="AM1402" s="12"/>
      <c r="AN1402" s="12"/>
      <c r="AO1402" s="12"/>
      <c r="AP1402" s="12"/>
    </row>
    <row r="1403" spans="1:42">
      <c r="A1403" t="s">
        <v>4898</v>
      </c>
      <c r="B1403" s="8"/>
      <c r="C1403" s="8" t="s">
        <v>4899</v>
      </c>
      <c r="D1403" s="8" t="s">
        <v>2886</v>
      </c>
      <c r="E1403" s="8" t="s">
        <v>120</v>
      </c>
      <c r="F1403" s="8" t="s">
        <v>4900</v>
      </c>
      <c r="G1403" s="8" t="s">
        <v>4900</v>
      </c>
      <c r="H1403" s="9">
        <v>50000</v>
      </c>
      <c r="I1403" s="9">
        <f>[1]!Tabel1[[#This Row],[Honorar]]*[1]!Tabel1[[#This Row],[Sandsynlighed]]</f>
        <v>20000</v>
      </c>
      <c r="J1403" s="10" t="s">
        <v>1191</v>
      </c>
      <c r="K1403" s="1" t="s">
        <v>341</v>
      </c>
      <c r="L1403" s="17"/>
      <c r="M1403" s="11">
        <v>0.5</v>
      </c>
      <c r="N1403" s="1"/>
      <c r="O1403" s="10">
        <v>46279.60052083333</v>
      </c>
      <c r="P1403" s="10" t="s">
        <v>46</v>
      </c>
      <c r="Q1403" s="1" t="s">
        <v>72</v>
      </c>
      <c r="R1403" s="8" t="s">
        <v>47</v>
      </c>
      <c r="S140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0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0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0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0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0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0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0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0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0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0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0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0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03" s="12">
        <f ca="1">[1]!Tabel1[[#This Row],[Vægtet Honorar]]*([1]!Tabel1[[#This Row],[Sidst redigeret]]&gt;TODAY()-40)*([1]!Tabel1[[#This Row],[Er i resplan?]]&lt;&gt;"Ja")*([1]!Tabel1[[#This Row],[Status]]="Pågår")</f>
        <v>20000</v>
      </c>
      <c r="AG1403" s="12">
        <f ca="1">[1]!Tabel1[[#This Row],[Vægtet Honorar]]*([1]!Tabel1[[#This Row],[Sidst redigeret]]&gt;TODAY()-40)*([1]!Tabel1[[#This Row],[Status]]="Pågår")</f>
        <v>20000</v>
      </c>
      <c r="AH1403" s="13">
        <v>46269.498692129629</v>
      </c>
      <c r="AI1403" s="12"/>
      <c r="AJ1403" s="12"/>
      <c r="AK1403" s="12"/>
      <c r="AL1403" s="12"/>
      <c r="AM1403" s="12"/>
      <c r="AN1403" s="12"/>
      <c r="AO1403" s="12"/>
      <c r="AP1403" s="12"/>
    </row>
    <row r="1404" spans="1:42">
      <c r="A1404" t="s">
        <v>4901</v>
      </c>
      <c r="B1404" s="8"/>
      <c r="C1404" s="8" t="s">
        <v>4902</v>
      </c>
      <c r="D1404" s="8" t="s">
        <v>3790</v>
      </c>
      <c r="E1404" s="8" t="s">
        <v>71</v>
      </c>
      <c r="F1404" s="8"/>
      <c r="G1404" s="8" t="s">
        <v>4903</v>
      </c>
      <c r="H1404" s="9">
        <v>233000</v>
      </c>
      <c r="I1404" s="9">
        <f>[1]!Tabel1[[#This Row],[Honorar]]*[1]!Tabel1[[#This Row],[Sandsynlighed]]</f>
        <v>100000</v>
      </c>
      <c r="J1404" s="10" t="s">
        <v>1191</v>
      </c>
      <c r="K1404" s="1" t="s">
        <v>341</v>
      </c>
      <c r="L1404" s="17"/>
      <c r="M1404" s="11">
        <v>1</v>
      </c>
      <c r="N1404" s="1"/>
      <c r="O1404" s="10">
        <v>46279.60052083333</v>
      </c>
      <c r="P1404" s="10" t="s">
        <v>46</v>
      </c>
      <c r="Q1404" s="1" t="s">
        <v>46</v>
      </c>
      <c r="R1404" s="8" t="s">
        <v>47</v>
      </c>
      <c r="S140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0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0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0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0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0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0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0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0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0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0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0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0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04" s="12">
        <f ca="1">[1]!Tabel1[[#This Row],[Vægtet Honorar]]*([1]!Tabel1[[#This Row],[Sidst redigeret]]&gt;TODAY()-40)*([1]!Tabel1[[#This Row],[Er i resplan?]]&lt;&gt;"Ja")*([1]!Tabel1[[#This Row],[Status]]="Pågår")</f>
        <v>0</v>
      </c>
      <c r="AG1404" s="12">
        <f ca="1">[1]!Tabel1[[#This Row],[Vægtet Honorar]]*([1]!Tabel1[[#This Row],[Sidst redigeret]]&gt;TODAY()-40)*([1]!Tabel1[[#This Row],[Status]]="Pågår")</f>
        <v>100000</v>
      </c>
      <c r="AH1404" s="13">
        <v>45981.367581018516</v>
      </c>
      <c r="AI1404" s="12"/>
      <c r="AJ1404" s="12"/>
      <c r="AK1404" s="12"/>
      <c r="AL1404" s="12"/>
      <c r="AM1404" s="12"/>
      <c r="AN1404" s="12"/>
      <c r="AO1404" s="12"/>
      <c r="AP1404" s="12"/>
    </row>
    <row r="1405" spans="1:42">
      <c r="A1405" t="s">
        <v>4904</v>
      </c>
      <c r="B1405" s="8"/>
      <c r="C1405" s="8" t="s">
        <v>4305</v>
      </c>
      <c r="D1405" s="8" t="s">
        <v>158</v>
      </c>
      <c r="E1405" s="8" t="s">
        <v>167</v>
      </c>
      <c r="F1405" s="8" t="s">
        <v>4306</v>
      </c>
      <c r="G1405" s="8" t="s">
        <v>4306</v>
      </c>
      <c r="H1405" s="9">
        <v>500000</v>
      </c>
      <c r="I1405" s="9">
        <f>[1]!Tabel1[[#This Row],[Honorar]]*[1]!Tabel1[[#This Row],[Sandsynlighed]]</f>
        <v>1000000</v>
      </c>
      <c r="J1405" s="10" t="s">
        <v>1191</v>
      </c>
      <c r="K1405" s="1" t="s">
        <v>585</v>
      </c>
      <c r="L1405" s="17"/>
      <c r="M1405" s="11">
        <v>0.33</v>
      </c>
      <c r="N1405" s="1"/>
      <c r="O1405" s="10">
        <v>46279.60052083333</v>
      </c>
      <c r="P1405" s="10" t="s">
        <v>46</v>
      </c>
      <c r="Q1405" s="1" t="s">
        <v>72</v>
      </c>
      <c r="R1405" s="8" t="s">
        <v>343</v>
      </c>
      <c r="S140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0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0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0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0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0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0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0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0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0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0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0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0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05" s="12">
        <f ca="1">[1]!Tabel1[[#This Row],[Vægtet Honorar]]*([1]!Tabel1[[#This Row],[Sidst redigeret]]&gt;TODAY()-40)*([1]!Tabel1[[#This Row],[Er i resplan?]]&lt;&gt;"Ja")*([1]!Tabel1[[#This Row],[Status]]="Pågår")</f>
        <v>0</v>
      </c>
      <c r="AG1405" s="12">
        <f ca="1">[1]!Tabel1[[#This Row],[Vægtet Honorar]]*([1]!Tabel1[[#This Row],[Sidst redigeret]]&gt;TODAY()-40)*([1]!Tabel1[[#This Row],[Status]]="Pågår")</f>
        <v>0</v>
      </c>
      <c r="AH1405" s="13"/>
      <c r="AI1405" s="12"/>
      <c r="AJ1405" s="12"/>
      <c r="AK1405" s="12"/>
      <c r="AL1405" s="12"/>
      <c r="AM1405" s="12"/>
      <c r="AN1405" s="12"/>
      <c r="AO1405" s="12"/>
      <c r="AP1405" s="12"/>
    </row>
    <row r="1406" spans="1:42">
      <c r="A1406" t="s">
        <v>4905</v>
      </c>
      <c r="B1406" s="8"/>
      <c r="C1406" s="8" t="s">
        <v>4906</v>
      </c>
      <c r="D1406" s="8" t="s">
        <v>2886</v>
      </c>
      <c r="E1406" s="8" t="s">
        <v>120</v>
      </c>
      <c r="F1406" s="8" t="s">
        <v>3263</v>
      </c>
      <c r="G1406" s="8" t="s">
        <v>1162</v>
      </c>
      <c r="H1406" s="9">
        <v>2500000</v>
      </c>
      <c r="I1406" s="9">
        <f>[1]!Tabel1[[#This Row],[Honorar]]*[1]!Tabel1[[#This Row],[Sandsynlighed]]</f>
        <v>100000</v>
      </c>
      <c r="J1406" s="10" t="s">
        <v>1310</v>
      </c>
      <c r="K1406" s="1" t="s">
        <v>2405</v>
      </c>
      <c r="L1406" s="17"/>
      <c r="M1406" s="11">
        <v>0.05</v>
      </c>
      <c r="N1406" s="1"/>
      <c r="O1406" s="10">
        <v>46279.60052083333</v>
      </c>
      <c r="P1406" s="10" t="s">
        <v>46</v>
      </c>
      <c r="Q1406" s="1" t="s">
        <v>72</v>
      </c>
      <c r="R1406" s="8" t="s">
        <v>75</v>
      </c>
      <c r="S140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0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0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0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0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0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0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0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0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0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0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0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0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06" s="12">
        <f ca="1">[1]!Tabel1[[#This Row],[Vægtet Honorar]]*([1]!Tabel1[[#This Row],[Sidst redigeret]]&gt;TODAY()-40)*([1]!Tabel1[[#This Row],[Er i resplan?]]&lt;&gt;"Ja")*([1]!Tabel1[[#This Row],[Status]]="Pågår")</f>
        <v>100000</v>
      </c>
      <c r="AG1406" s="12">
        <f ca="1">[1]!Tabel1[[#This Row],[Vægtet Honorar]]*([1]!Tabel1[[#This Row],[Sidst redigeret]]&gt;TODAY()-40)*([1]!Tabel1[[#This Row],[Status]]="Pågår")</f>
        <v>100000</v>
      </c>
      <c r="AH1406" s="13"/>
      <c r="AI1406" s="12"/>
      <c r="AJ1406" s="12" t="s">
        <v>2393</v>
      </c>
      <c r="AK1406" s="12" t="s">
        <v>1162</v>
      </c>
      <c r="AL1406" s="12"/>
      <c r="AM1406" s="12"/>
      <c r="AN1406" s="12"/>
      <c r="AO1406" s="12"/>
      <c r="AP1406" s="12"/>
    </row>
    <row r="1407" spans="1:42" ht="45">
      <c r="A1407" t="s">
        <v>4907</v>
      </c>
      <c r="B1407" s="8"/>
      <c r="C1407" s="8" t="s">
        <v>4908</v>
      </c>
      <c r="D1407" s="8" t="s">
        <v>4909</v>
      </c>
      <c r="E1407" s="8" t="s">
        <v>4910</v>
      </c>
      <c r="F1407" s="8" t="s">
        <v>4911</v>
      </c>
      <c r="G1407" s="8" t="s">
        <v>2944</v>
      </c>
      <c r="H1407" s="9">
        <v>2500000</v>
      </c>
      <c r="I1407" s="9">
        <f>[1]!Tabel1[[#This Row],[Honorar]]*[1]!Tabel1[[#This Row],[Sandsynlighed]]</f>
        <v>10000</v>
      </c>
      <c r="J1407" s="10" t="s">
        <v>342</v>
      </c>
      <c r="K1407" s="1" t="s">
        <v>1861</v>
      </c>
      <c r="L1407" s="17" t="s">
        <v>4912</v>
      </c>
      <c r="M1407" s="11">
        <v>0</v>
      </c>
      <c r="N1407" s="1"/>
      <c r="O1407" s="10">
        <v>46280.345358796294</v>
      </c>
      <c r="P1407" s="10" t="s">
        <v>46</v>
      </c>
      <c r="Q1407" s="1" t="s">
        <v>72</v>
      </c>
      <c r="R1407" s="8" t="s">
        <v>75</v>
      </c>
      <c r="S140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0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0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0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0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0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0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0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0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0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0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0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0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07" s="12">
        <f ca="1">[1]!Tabel1[[#This Row],[Vægtet Honorar]]*([1]!Tabel1[[#This Row],[Sidst redigeret]]&gt;TODAY()-40)*([1]!Tabel1[[#This Row],[Er i resplan?]]&lt;&gt;"Ja")*([1]!Tabel1[[#This Row],[Status]]="Pågår")</f>
        <v>10000</v>
      </c>
      <c r="AG1407" s="12">
        <f ca="1">[1]!Tabel1[[#This Row],[Vægtet Honorar]]*([1]!Tabel1[[#This Row],[Sidst redigeret]]&gt;TODAY()-40)*([1]!Tabel1[[#This Row],[Status]]="Pågår")</f>
        <v>10000</v>
      </c>
      <c r="AH1407" s="13">
        <v>46277</v>
      </c>
      <c r="AI1407" s="12"/>
      <c r="AJ1407" s="12" t="s">
        <v>2944</v>
      </c>
      <c r="AK1407" s="12"/>
      <c r="AL1407" s="12"/>
      <c r="AM1407" s="12"/>
      <c r="AN1407" s="12"/>
      <c r="AO1407" s="12"/>
      <c r="AP1407" s="12"/>
    </row>
    <row r="1408" spans="1:42">
      <c r="A1408" t="s">
        <v>4913</v>
      </c>
      <c r="B1408" s="8"/>
      <c r="C1408" s="8" t="s">
        <v>4914</v>
      </c>
      <c r="D1408" s="8" t="s">
        <v>1771</v>
      </c>
      <c r="E1408" s="8" t="s">
        <v>167</v>
      </c>
      <c r="F1408" s="8" t="s">
        <v>4915</v>
      </c>
      <c r="G1408" s="8" t="s">
        <v>4862</v>
      </c>
      <c r="H1408" s="9">
        <v>5500000</v>
      </c>
      <c r="I1408" s="9">
        <f>[1]!Tabel1[[#This Row],[Honorar]]*[1]!Tabel1[[#This Row],[Sandsynlighed]]</f>
        <v>25000</v>
      </c>
      <c r="J1408" s="10" t="s">
        <v>1310</v>
      </c>
      <c r="K1408" s="1" t="s">
        <v>1861</v>
      </c>
      <c r="L1408" s="17"/>
      <c r="M1408" s="11">
        <v>0</v>
      </c>
      <c r="N1408" s="1" t="s">
        <v>4916</v>
      </c>
      <c r="O1408" s="10">
        <v>46279.60052083333</v>
      </c>
      <c r="P1408" s="10" t="s">
        <v>46</v>
      </c>
      <c r="Q1408" s="1" t="s">
        <v>72</v>
      </c>
      <c r="R1408" s="8" t="s">
        <v>75</v>
      </c>
      <c r="S140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0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0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0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0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0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0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0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0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0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0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0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0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08" s="12">
        <f ca="1">[1]!Tabel1[[#This Row],[Vægtet Honorar]]*([1]!Tabel1[[#This Row],[Sidst redigeret]]&gt;TODAY()-40)*([1]!Tabel1[[#This Row],[Er i resplan?]]&lt;&gt;"Ja")*([1]!Tabel1[[#This Row],[Status]]="Pågår")</f>
        <v>0</v>
      </c>
      <c r="AG1408" s="12">
        <f ca="1">[1]!Tabel1[[#This Row],[Vægtet Honorar]]*([1]!Tabel1[[#This Row],[Sidst redigeret]]&gt;TODAY()-40)*([1]!Tabel1[[#This Row],[Status]]="Pågår")</f>
        <v>0</v>
      </c>
      <c r="AH1408" s="13">
        <v>45978</v>
      </c>
      <c r="AI1408" s="12"/>
      <c r="AJ1408" s="12" t="s">
        <v>4917</v>
      </c>
      <c r="AK1408" s="12"/>
      <c r="AL1408" s="12"/>
      <c r="AM1408" s="12"/>
      <c r="AN1408" s="12" t="s">
        <v>4918</v>
      </c>
      <c r="AO1408" s="12">
        <v>45951</v>
      </c>
      <c r="AP1408" s="12" t="s">
        <v>4507</v>
      </c>
    </row>
    <row r="1409" spans="1:42">
      <c r="A1409" t="s">
        <v>4919</v>
      </c>
      <c r="B1409" s="8"/>
      <c r="C1409" s="8" t="s">
        <v>4920</v>
      </c>
      <c r="D1409" s="8" t="s">
        <v>70</v>
      </c>
      <c r="E1409" s="8" t="s">
        <v>102</v>
      </c>
      <c r="F1409" s="8" t="s">
        <v>2118</v>
      </c>
      <c r="G1409" s="8" t="s">
        <v>2118</v>
      </c>
      <c r="H1409" s="9">
        <v>400000</v>
      </c>
      <c r="I1409" s="9">
        <f>[1]!Tabel1[[#This Row],[Honorar]]*[1]!Tabel1[[#This Row],[Sandsynlighed]]</f>
        <v>233000</v>
      </c>
      <c r="J1409" s="10" t="s">
        <v>1191</v>
      </c>
      <c r="K1409" s="1" t="s">
        <v>1310</v>
      </c>
      <c r="L1409" s="17"/>
      <c r="M1409" s="11">
        <v>1</v>
      </c>
      <c r="N1409" s="1"/>
      <c r="O1409" s="10">
        <v>46279.60052083333</v>
      </c>
      <c r="P1409" s="10" t="s">
        <v>46</v>
      </c>
      <c r="Q1409" s="1" t="s">
        <v>72</v>
      </c>
      <c r="R1409" s="8" t="s">
        <v>47</v>
      </c>
      <c r="S140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0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0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0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0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0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0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0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0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0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0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0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0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09" s="12">
        <f ca="1">[1]!Tabel1[[#This Row],[Vægtet Honorar]]*([1]!Tabel1[[#This Row],[Sidst redigeret]]&gt;TODAY()-40)*([1]!Tabel1[[#This Row],[Er i resplan?]]&lt;&gt;"Ja")*([1]!Tabel1[[#This Row],[Status]]="Pågår")</f>
        <v>0</v>
      </c>
      <c r="AG1409" s="12">
        <f ca="1">[1]!Tabel1[[#This Row],[Vægtet Honorar]]*([1]!Tabel1[[#This Row],[Sidst redigeret]]&gt;TODAY()-40)*([1]!Tabel1[[#This Row],[Status]]="Pågår")</f>
        <v>0</v>
      </c>
      <c r="AH1409" s="13">
        <v>46024.550659722219</v>
      </c>
      <c r="AI1409" s="12"/>
      <c r="AJ1409" s="12"/>
      <c r="AK1409" s="12"/>
      <c r="AL1409" s="12"/>
      <c r="AM1409" s="12"/>
      <c r="AN1409" s="12"/>
      <c r="AO1409" s="12"/>
      <c r="AP1409" s="12"/>
    </row>
    <row r="1410" spans="1:42" ht="75">
      <c r="A1410" t="s">
        <v>4921</v>
      </c>
      <c r="B1410" s="8"/>
      <c r="C1410" s="8" t="s">
        <v>4922</v>
      </c>
      <c r="D1410" s="8" t="s">
        <v>896</v>
      </c>
      <c r="E1410" s="8" t="s">
        <v>94</v>
      </c>
      <c r="F1410" s="8" t="s">
        <v>4923</v>
      </c>
      <c r="G1410" s="8" t="s">
        <v>4923</v>
      </c>
      <c r="H1410" s="9">
        <v>5000000</v>
      </c>
      <c r="I1410" s="9">
        <f>[1]!Tabel1[[#This Row],[Honorar]]*[1]!Tabel1[[#This Row],[Sandsynlighed]]</f>
        <v>165000</v>
      </c>
      <c r="J1410" s="10" t="s">
        <v>342</v>
      </c>
      <c r="K1410" s="1" t="s">
        <v>342</v>
      </c>
      <c r="L1410" s="17" t="s">
        <v>4924</v>
      </c>
      <c r="M1410" s="11">
        <v>0.05</v>
      </c>
      <c r="N1410" s="1">
        <v>90000</v>
      </c>
      <c r="O1410" s="10">
        <v>46279.60052083333</v>
      </c>
      <c r="P1410" s="10" t="s">
        <v>46</v>
      </c>
      <c r="Q1410" s="1" t="s">
        <v>72</v>
      </c>
      <c r="R1410" s="8" t="s">
        <v>75</v>
      </c>
      <c r="S141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1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1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1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1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1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1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1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1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1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1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1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1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10" s="12">
        <f ca="1">[1]!Tabel1[[#This Row],[Vægtet Honorar]]*([1]!Tabel1[[#This Row],[Sidst redigeret]]&gt;TODAY()-40)*([1]!Tabel1[[#This Row],[Er i resplan?]]&lt;&gt;"Ja")*([1]!Tabel1[[#This Row],[Status]]="Pågår")</f>
        <v>165000</v>
      </c>
      <c r="AG1410" s="12">
        <f ca="1">[1]!Tabel1[[#This Row],[Vægtet Honorar]]*([1]!Tabel1[[#This Row],[Sidst redigeret]]&gt;TODAY()-40)*([1]!Tabel1[[#This Row],[Status]]="Pågår")</f>
        <v>165000</v>
      </c>
      <c r="AH1410" s="13"/>
      <c r="AI1410" s="12"/>
      <c r="AJ1410" s="12"/>
      <c r="AK1410" s="12"/>
      <c r="AL1410" s="12"/>
      <c r="AM1410" s="12"/>
      <c r="AN1410" s="12"/>
      <c r="AO1410" s="12"/>
      <c r="AP1410" s="12"/>
    </row>
    <row r="1411" spans="1:42">
      <c r="A1411" t="s">
        <v>4925</v>
      </c>
      <c r="B1411" s="8"/>
      <c r="C1411" s="8" t="s">
        <v>4926</v>
      </c>
      <c r="D1411" s="8" t="s">
        <v>2886</v>
      </c>
      <c r="E1411" s="8" t="s">
        <v>120</v>
      </c>
      <c r="F1411" s="8" t="s">
        <v>726</v>
      </c>
      <c r="G1411" s="8" t="s">
        <v>2959</v>
      </c>
      <c r="H1411" s="9">
        <v>2500000</v>
      </c>
      <c r="I1411" s="9">
        <f>[1]!Tabel1[[#This Row],[Honorar]]*[1]!Tabel1[[#This Row],[Sandsynlighed]]</f>
        <v>125000</v>
      </c>
      <c r="J1411" s="10" t="s">
        <v>3601</v>
      </c>
      <c r="K1411" s="1" t="s">
        <v>2093</v>
      </c>
      <c r="L1411" s="17"/>
      <c r="M1411" s="11">
        <v>0.05</v>
      </c>
      <c r="N1411" s="1">
        <v>8500</v>
      </c>
      <c r="O1411" s="10">
        <v>46279.60052083333</v>
      </c>
      <c r="P1411" s="10" t="s">
        <v>46</v>
      </c>
      <c r="Q1411" s="1" t="s">
        <v>72</v>
      </c>
      <c r="R1411" s="8" t="s">
        <v>343</v>
      </c>
      <c r="S141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1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1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1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1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1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1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1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1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1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1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1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1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11" s="12">
        <f ca="1">[1]!Tabel1[[#This Row],[Vægtet Honorar]]*([1]!Tabel1[[#This Row],[Sidst redigeret]]&gt;TODAY()-40)*([1]!Tabel1[[#This Row],[Er i resplan?]]&lt;&gt;"Ja")*([1]!Tabel1[[#This Row],[Status]]="Pågår")</f>
        <v>0</v>
      </c>
      <c r="AG1411" s="12">
        <f ca="1">[1]!Tabel1[[#This Row],[Vægtet Honorar]]*([1]!Tabel1[[#This Row],[Sidst redigeret]]&gt;TODAY()-40)*([1]!Tabel1[[#This Row],[Status]]="Pågår")</f>
        <v>0</v>
      </c>
      <c r="AH1411" s="13"/>
      <c r="AI1411" s="12"/>
      <c r="AJ1411" s="12" t="s">
        <v>4917</v>
      </c>
      <c r="AK1411" s="12"/>
      <c r="AL1411" s="12"/>
      <c r="AM1411" s="12"/>
      <c r="AN1411" s="12"/>
      <c r="AO1411" s="12"/>
      <c r="AP1411" s="12"/>
    </row>
    <row r="1412" spans="1:42">
      <c r="A1412" t="s">
        <v>4927</v>
      </c>
      <c r="B1412" s="8"/>
      <c r="C1412" s="8" t="s">
        <v>4926</v>
      </c>
      <c r="D1412" s="8" t="s">
        <v>2886</v>
      </c>
      <c r="E1412" s="8" t="s">
        <v>120</v>
      </c>
      <c r="F1412" s="8" t="s">
        <v>726</v>
      </c>
      <c r="G1412" s="8" t="s">
        <v>2959</v>
      </c>
      <c r="H1412" s="9">
        <v>2500000</v>
      </c>
      <c r="I1412" s="9">
        <f>[1]!Tabel1[[#This Row],[Honorar]]*[1]!Tabel1[[#This Row],[Sandsynlighed]]</f>
        <v>0</v>
      </c>
      <c r="J1412" s="10" t="s">
        <v>3601</v>
      </c>
      <c r="K1412" s="1" t="s">
        <v>2093</v>
      </c>
      <c r="L1412" s="17"/>
      <c r="M1412" s="11">
        <v>0.05</v>
      </c>
      <c r="N1412" s="1">
        <v>8500</v>
      </c>
      <c r="O1412" s="10">
        <v>46279.60052083333</v>
      </c>
      <c r="P1412" s="10" t="s">
        <v>46</v>
      </c>
      <c r="Q1412" s="1" t="s">
        <v>72</v>
      </c>
      <c r="R1412" s="8" t="s">
        <v>47</v>
      </c>
      <c r="S141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1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1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1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1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1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1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1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1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1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1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1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1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12" s="12">
        <f ca="1">[1]!Tabel1[[#This Row],[Vægtet Honorar]]*([1]!Tabel1[[#This Row],[Sidst redigeret]]&gt;TODAY()-40)*([1]!Tabel1[[#This Row],[Er i resplan?]]&lt;&gt;"Ja")*([1]!Tabel1[[#This Row],[Status]]="Pågår")</f>
        <v>0</v>
      </c>
      <c r="AG1412" s="12">
        <f ca="1">[1]!Tabel1[[#This Row],[Vægtet Honorar]]*([1]!Tabel1[[#This Row],[Sidst redigeret]]&gt;TODAY()-40)*([1]!Tabel1[[#This Row],[Status]]="Pågår")</f>
        <v>0</v>
      </c>
      <c r="AH1412" s="13">
        <v>46269.498784722222</v>
      </c>
      <c r="AI1412" s="12"/>
      <c r="AJ1412" s="12" t="s">
        <v>4917</v>
      </c>
      <c r="AK1412" s="12"/>
      <c r="AL1412" s="12"/>
      <c r="AM1412" s="12"/>
      <c r="AN1412" s="12"/>
      <c r="AO1412" s="12"/>
      <c r="AP1412" s="12"/>
    </row>
    <row r="1413" spans="1:42" ht="60">
      <c r="A1413" t="s">
        <v>4928</v>
      </c>
      <c r="B1413" s="8"/>
      <c r="C1413" s="8" t="s">
        <v>4929</v>
      </c>
      <c r="D1413" s="8" t="s">
        <v>70</v>
      </c>
      <c r="E1413" s="8" t="s">
        <v>102</v>
      </c>
      <c r="F1413" s="8" t="s">
        <v>1538</v>
      </c>
      <c r="G1413" s="8" t="s">
        <v>1626</v>
      </c>
      <c r="H1413" s="9">
        <v>800000</v>
      </c>
      <c r="I1413" s="9">
        <f>[1]!Tabel1[[#This Row],[Honorar]]*[1]!Tabel1[[#This Row],[Sandsynlighed]]</f>
        <v>0</v>
      </c>
      <c r="J1413" s="10" t="s">
        <v>1191</v>
      </c>
      <c r="K1413" s="1" t="s">
        <v>342</v>
      </c>
      <c r="L1413" s="17" t="s">
        <v>4930</v>
      </c>
      <c r="M1413" s="11">
        <v>0</v>
      </c>
      <c r="N1413" s="1"/>
      <c r="O1413" s="10">
        <v>46279.60052083333</v>
      </c>
      <c r="P1413" s="10" t="s">
        <v>46</v>
      </c>
      <c r="Q1413" s="1" t="s">
        <v>72</v>
      </c>
      <c r="R1413" s="8" t="s">
        <v>75</v>
      </c>
      <c r="S141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1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1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1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1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1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1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1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1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1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1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1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1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13" s="12">
        <f ca="1">[1]!Tabel1[[#This Row],[Vægtet Honorar]]*([1]!Tabel1[[#This Row],[Sidst redigeret]]&gt;TODAY()-40)*([1]!Tabel1[[#This Row],[Er i resplan?]]&lt;&gt;"Ja")*([1]!Tabel1[[#This Row],[Status]]="Pågår")</f>
        <v>0</v>
      </c>
      <c r="AG1413" s="12">
        <f ca="1">[1]!Tabel1[[#This Row],[Vægtet Honorar]]*([1]!Tabel1[[#This Row],[Sidst redigeret]]&gt;TODAY()-40)*([1]!Tabel1[[#This Row],[Status]]="Pågår")</f>
        <v>0</v>
      </c>
      <c r="AH1413" s="13"/>
      <c r="AI1413" s="12"/>
      <c r="AJ1413" s="12"/>
      <c r="AK1413" s="12"/>
      <c r="AL1413" s="12"/>
      <c r="AM1413" s="12"/>
      <c r="AN1413" s="12"/>
      <c r="AO1413" s="12"/>
      <c r="AP1413" s="12"/>
    </row>
    <row r="1414" spans="1:42" ht="120">
      <c r="A1414" t="s">
        <v>4931</v>
      </c>
      <c r="B1414" s="8"/>
      <c r="C1414" s="8" t="s">
        <v>4932</v>
      </c>
      <c r="D1414" s="8" t="s">
        <v>134</v>
      </c>
      <c r="E1414" s="8" t="s">
        <v>94</v>
      </c>
      <c r="F1414" s="8" t="s">
        <v>1128</v>
      </c>
      <c r="G1414" s="8" t="s">
        <v>4933</v>
      </c>
      <c r="H1414" s="9">
        <v>150000</v>
      </c>
      <c r="I1414" s="9">
        <f>[1]!Tabel1[[#This Row],[Honorar]]*[1]!Tabel1[[#This Row],[Sandsynlighed]]</f>
        <v>400000</v>
      </c>
      <c r="J1414" s="10" t="s">
        <v>1191</v>
      </c>
      <c r="K1414" s="1" t="s">
        <v>1310</v>
      </c>
      <c r="L1414" s="17" t="s">
        <v>4934</v>
      </c>
      <c r="M1414" s="11">
        <v>0.2</v>
      </c>
      <c r="N1414" s="1" t="s">
        <v>3819</v>
      </c>
      <c r="O1414" s="10">
        <v>46279.60052083333</v>
      </c>
      <c r="P1414" s="10" t="s">
        <v>46</v>
      </c>
      <c r="Q1414" s="1" t="s">
        <v>72</v>
      </c>
      <c r="R1414" s="8" t="s">
        <v>47</v>
      </c>
      <c r="S141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1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1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1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1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1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1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1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1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1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1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1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1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14" s="12">
        <f ca="1">[1]!Tabel1[[#This Row],[Vægtet Honorar]]*([1]!Tabel1[[#This Row],[Sidst redigeret]]&gt;TODAY()-40)*([1]!Tabel1[[#This Row],[Er i resplan?]]&lt;&gt;"Ja")*([1]!Tabel1[[#This Row],[Status]]="Pågår")</f>
        <v>0</v>
      </c>
      <c r="AG1414" s="12">
        <f ca="1">[1]!Tabel1[[#This Row],[Vægtet Honorar]]*([1]!Tabel1[[#This Row],[Sidst redigeret]]&gt;TODAY()-40)*([1]!Tabel1[[#This Row],[Status]]="Pågår")</f>
        <v>0</v>
      </c>
      <c r="AH1414" s="13">
        <v>46266.40315972222</v>
      </c>
      <c r="AI1414" s="12"/>
      <c r="AJ1414" s="12"/>
      <c r="AK1414" s="12"/>
      <c r="AL1414" s="12"/>
      <c r="AM1414" s="12"/>
      <c r="AN1414" s="12"/>
      <c r="AO1414" s="12"/>
      <c r="AP1414" s="12"/>
    </row>
    <row r="1415" spans="1:42">
      <c r="A1415" t="s">
        <v>4935</v>
      </c>
      <c r="B1415" s="8"/>
      <c r="C1415" s="8" t="s">
        <v>4936</v>
      </c>
      <c r="D1415" s="8" t="s">
        <v>3790</v>
      </c>
      <c r="E1415" s="8" t="s">
        <v>71</v>
      </c>
      <c r="F1415" s="8" t="s">
        <v>4937</v>
      </c>
      <c r="G1415" s="8" t="s">
        <v>4937</v>
      </c>
      <c r="H1415" s="9">
        <v>100000</v>
      </c>
      <c r="I1415" s="9">
        <f>[1]!Tabel1[[#This Row],[Honorar]]*[1]!Tabel1[[#This Row],[Sandsynlighed]]</f>
        <v>250000</v>
      </c>
      <c r="J1415" s="10" t="s">
        <v>1191</v>
      </c>
      <c r="K1415" s="1" t="s">
        <v>1310</v>
      </c>
      <c r="L1415" s="17" t="s">
        <v>4247</v>
      </c>
      <c r="M1415" s="11">
        <v>1</v>
      </c>
      <c r="N1415" s="1" t="s">
        <v>3819</v>
      </c>
      <c r="O1415" s="10">
        <v>46279.60052083333</v>
      </c>
      <c r="P1415" s="10" t="s">
        <v>46</v>
      </c>
      <c r="Q1415" s="1" t="s">
        <v>46</v>
      </c>
      <c r="R1415" s="8" t="s">
        <v>47</v>
      </c>
      <c r="S141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1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1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1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1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1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1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1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1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1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1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1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1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15" s="12">
        <f ca="1">[1]!Tabel1[[#This Row],[Vægtet Honorar]]*([1]!Tabel1[[#This Row],[Sidst redigeret]]&gt;TODAY()-40)*([1]!Tabel1[[#This Row],[Er i resplan?]]&lt;&gt;"Ja")*([1]!Tabel1[[#This Row],[Status]]="Pågår")</f>
        <v>0</v>
      </c>
      <c r="AG1415" s="12">
        <f ca="1">[1]!Tabel1[[#This Row],[Vægtet Honorar]]*([1]!Tabel1[[#This Row],[Sidst redigeret]]&gt;TODAY()-40)*([1]!Tabel1[[#This Row],[Status]]="Pågår")</f>
        <v>0</v>
      </c>
      <c r="AH1415" s="13">
        <v>45981.367685185185</v>
      </c>
      <c r="AI1415" s="12"/>
      <c r="AJ1415" s="12"/>
      <c r="AK1415" s="12"/>
      <c r="AL1415" s="12"/>
      <c r="AM1415" s="12"/>
      <c r="AN1415" s="12"/>
      <c r="AO1415" s="12"/>
      <c r="AP1415" s="12"/>
    </row>
    <row r="1416" spans="1:42">
      <c r="A1416" t="s">
        <v>4938</v>
      </c>
      <c r="B1416" s="8"/>
      <c r="C1416" s="8" t="s">
        <v>4936</v>
      </c>
      <c r="D1416" s="8" t="s">
        <v>3790</v>
      </c>
      <c r="E1416" s="8" t="s">
        <v>71</v>
      </c>
      <c r="F1416" s="8" t="s">
        <v>4937</v>
      </c>
      <c r="G1416" s="8" t="s">
        <v>4937</v>
      </c>
      <c r="H1416" s="9">
        <v>0</v>
      </c>
      <c r="I1416" s="9">
        <f>[1]!Tabel1[[#This Row],[Honorar]]*[1]!Tabel1[[#This Row],[Sandsynlighed]]</f>
        <v>125000</v>
      </c>
      <c r="J1416" s="10" t="s">
        <v>1191</v>
      </c>
      <c r="K1416" s="1" t="s">
        <v>1310</v>
      </c>
      <c r="L1416" s="17" t="s">
        <v>4247</v>
      </c>
      <c r="M1416" s="11">
        <v>0</v>
      </c>
      <c r="N1416" s="1" t="s">
        <v>3819</v>
      </c>
      <c r="O1416" s="10">
        <v>46279.60052083333</v>
      </c>
      <c r="P1416" s="10" t="s">
        <v>46</v>
      </c>
      <c r="Q1416" s="1" t="s">
        <v>72</v>
      </c>
      <c r="R1416" s="8" t="s">
        <v>343</v>
      </c>
      <c r="S141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1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1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1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1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1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1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1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1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1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1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1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1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16" s="12">
        <f ca="1">[1]!Tabel1[[#This Row],[Vægtet Honorar]]*([1]!Tabel1[[#This Row],[Sidst redigeret]]&gt;TODAY()-40)*([1]!Tabel1[[#This Row],[Er i resplan?]]&lt;&gt;"Ja")*([1]!Tabel1[[#This Row],[Status]]="Pågår")</f>
        <v>125000</v>
      </c>
      <c r="AG1416" s="12">
        <f ca="1">[1]!Tabel1[[#This Row],[Vægtet Honorar]]*([1]!Tabel1[[#This Row],[Sidst redigeret]]&gt;TODAY()-40)*([1]!Tabel1[[#This Row],[Status]]="Pågår")</f>
        <v>125000</v>
      </c>
      <c r="AH1416" s="13"/>
      <c r="AI1416" s="12"/>
      <c r="AJ1416" s="12"/>
      <c r="AK1416" s="12"/>
      <c r="AL1416" s="12"/>
      <c r="AM1416" s="12"/>
      <c r="AN1416" s="12"/>
      <c r="AO1416" s="12"/>
      <c r="AP1416" s="12"/>
    </row>
    <row r="1417" spans="1:42">
      <c r="A1417" t="s">
        <v>4939</v>
      </c>
      <c r="B1417" s="8"/>
      <c r="C1417" s="8" t="s">
        <v>4940</v>
      </c>
      <c r="D1417" s="8" t="s">
        <v>158</v>
      </c>
      <c r="E1417" s="8" t="s">
        <v>167</v>
      </c>
      <c r="F1417" s="8" t="s">
        <v>4941</v>
      </c>
      <c r="G1417" s="8" t="s">
        <v>4941</v>
      </c>
      <c r="H1417" s="9">
        <v>1000000</v>
      </c>
      <c r="I1417" s="9">
        <f>[1]!Tabel1[[#This Row],[Honorar]]*[1]!Tabel1[[#This Row],[Sandsynlighed]]</f>
        <v>125000</v>
      </c>
      <c r="J1417" s="10" t="s">
        <v>1310</v>
      </c>
      <c r="K1417" s="1" t="s">
        <v>342</v>
      </c>
      <c r="L1417" s="17"/>
      <c r="M1417" s="11">
        <v>0.01</v>
      </c>
      <c r="N1417" s="1"/>
      <c r="O1417" s="10">
        <v>46279.600532407407</v>
      </c>
      <c r="P1417" s="10" t="s">
        <v>46</v>
      </c>
      <c r="Q1417" s="1" t="s">
        <v>72</v>
      </c>
      <c r="R1417" s="8" t="s">
        <v>343</v>
      </c>
      <c r="S141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1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1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1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1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1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1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1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1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1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1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1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1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17" s="12">
        <f ca="1">[1]!Tabel1[[#This Row],[Vægtet Honorar]]*([1]!Tabel1[[#This Row],[Sidst redigeret]]&gt;TODAY()-40)*([1]!Tabel1[[#This Row],[Er i resplan?]]&lt;&gt;"Ja")*([1]!Tabel1[[#This Row],[Status]]="Pågår")</f>
        <v>0</v>
      </c>
      <c r="AG1417" s="12">
        <f ca="1">[1]!Tabel1[[#This Row],[Vægtet Honorar]]*([1]!Tabel1[[#This Row],[Sidst redigeret]]&gt;TODAY()-40)*([1]!Tabel1[[#This Row],[Status]]="Pågår")</f>
        <v>0</v>
      </c>
      <c r="AH1417" s="13"/>
      <c r="AI1417" s="12"/>
      <c r="AJ1417" s="12" t="s">
        <v>402</v>
      </c>
      <c r="AK1417" s="12"/>
      <c r="AL1417" s="12"/>
      <c r="AM1417" s="12"/>
      <c r="AN1417" s="12" t="s">
        <v>4303</v>
      </c>
      <c r="AO1417" s="12"/>
      <c r="AP1417" s="12"/>
    </row>
    <row r="1418" spans="1:42">
      <c r="A1418" t="s">
        <v>4942</v>
      </c>
      <c r="B1418" s="8"/>
      <c r="C1418" s="8" t="s">
        <v>4943</v>
      </c>
      <c r="D1418" s="8" t="s">
        <v>2886</v>
      </c>
      <c r="E1418" s="8" t="s">
        <v>120</v>
      </c>
      <c r="F1418" s="8" t="s">
        <v>4944</v>
      </c>
      <c r="G1418" s="8" t="s">
        <v>4945</v>
      </c>
      <c r="H1418" s="9">
        <v>1000000</v>
      </c>
      <c r="I1418" s="9">
        <f>[1]!Tabel1[[#This Row],[Honorar]]*[1]!Tabel1[[#This Row],[Sandsynlighed]]</f>
        <v>0</v>
      </c>
      <c r="J1418" s="10" t="s">
        <v>1191</v>
      </c>
      <c r="K1418" s="1" t="s">
        <v>1310</v>
      </c>
      <c r="L1418" s="17"/>
      <c r="M1418" s="11">
        <v>1</v>
      </c>
      <c r="N1418" s="1"/>
      <c r="O1418" s="10">
        <v>46279.600532407407</v>
      </c>
      <c r="P1418" s="10" t="s">
        <v>46</v>
      </c>
      <c r="Q1418" s="1" t="s">
        <v>4507</v>
      </c>
      <c r="R1418" s="8" t="s">
        <v>47</v>
      </c>
      <c r="S141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1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1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1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1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1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1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1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1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1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1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1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1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18" s="12">
        <f ca="1">[1]!Tabel1[[#This Row],[Vægtet Honorar]]*([1]!Tabel1[[#This Row],[Sidst redigeret]]&gt;TODAY()-40)*([1]!Tabel1[[#This Row],[Er i resplan?]]&lt;&gt;"Ja")*([1]!Tabel1[[#This Row],[Status]]="Pågår")</f>
        <v>0</v>
      </c>
      <c r="AG1418" s="12">
        <f ca="1">[1]!Tabel1[[#This Row],[Vægtet Honorar]]*([1]!Tabel1[[#This Row],[Sidst redigeret]]&gt;TODAY()-40)*([1]!Tabel1[[#This Row],[Status]]="Pågår")</f>
        <v>0</v>
      </c>
      <c r="AH1418" s="13">
        <v>45981.630902777775</v>
      </c>
      <c r="AI1418" s="12"/>
      <c r="AJ1418" s="12" t="s">
        <v>4945</v>
      </c>
      <c r="AK1418" s="12"/>
      <c r="AL1418" s="12"/>
      <c r="AM1418" s="12"/>
      <c r="AN1418" s="12"/>
      <c r="AO1418" s="12"/>
      <c r="AP1418" s="12"/>
    </row>
    <row r="1419" spans="1:42">
      <c r="A1419" t="s">
        <v>4946</v>
      </c>
      <c r="B1419" s="8"/>
      <c r="C1419" s="8" t="s">
        <v>4947</v>
      </c>
      <c r="D1419" s="8" t="s">
        <v>2886</v>
      </c>
      <c r="E1419" s="8" t="s">
        <v>120</v>
      </c>
      <c r="F1419" s="8"/>
      <c r="G1419" s="8" t="s">
        <v>4945</v>
      </c>
      <c r="H1419" s="9">
        <v>1000000</v>
      </c>
      <c r="I1419" s="9">
        <f>[1]!Tabel1[[#This Row],[Honorar]]*[1]!Tabel1[[#This Row],[Sandsynlighed]]</f>
        <v>30000</v>
      </c>
      <c r="J1419" s="10" t="s">
        <v>1191</v>
      </c>
      <c r="K1419" s="1" t="s">
        <v>1310</v>
      </c>
      <c r="L1419" s="17"/>
      <c r="M1419" s="11">
        <v>0.75</v>
      </c>
      <c r="N1419" s="1"/>
      <c r="O1419" s="10">
        <v>46279.600532407407</v>
      </c>
      <c r="P1419" s="10" t="s">
        <v>46</v>
      </c>
      <c r="Q1419" s="1" t="s">
        <v>4507</v>
      </c>
      <c r="R1419" s="8" t="s">
        <v>75</v>
      </c>
      <c r="S141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1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1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1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1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1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1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1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1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1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1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1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1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19" s="12">
        <f ca="1">[1]!Tabel1[[#This Row],[Vægtet Honorar]]*([1]!Tabel1[[#This Row],[Sidst redigeret]]&gt;TODAY()-40)*([1]!Tabel1[[#This Row],[Er i resplan?]]&lt;&gt;"Ja")*([1]!Tabel1[[#This Row],[Status]]="Pågår")</f>
        <v>0</v>
      </c>
      <c r="AG1419" s="12">
        <f ca="1">[1]!Tabel1[[#This Row],[Vægtet Honorar]]*([1]!Tabel1[[#This Row],[Sidst redigeret]]&gt;TODAY()-40)*([1]!Tabel1[[#This Row],[Status]]="Pågår")</f>
        <v>0</v>
      </c>
      <c r="AH1419" s="13"/>
      <c r="AI1419" s="12"/>
      <c r="AJ1419" s="12" t="s">
        <v>4945</v>
      </c>
      <c r="AK1419" s="12"/>
      <c r="AL1419" s="12"/>
      <c r="AM1419" s="12"/>
      <c r="AN1419" s="12"/>
      <c r="AO1419" s="12"/>
      <c r="AP1419" s="12"/>
    </row>
    <row r="1420" spans="1:42">
      <c r="A1420" t="s">
        <v>4948</v>
      </c>
      <c r="B1420" s="8"/>
      <c r="C1420" s="8" t="s">
        <v>4949</v>
      </c>
      <c r="D1420" s="8" t="s">
        <v>1468</v>
      </c>
      <c r="E1420" s="8" t="s">
        <v>167</v>
      </c>
      <c r="F1420" s="8" t="s">
        <v>4950</v>
      </c>
      <c r="G1420" s="8" t="s">
        <v>4951</v>
      </c>
      <c r="H1420" s="9">
        <v>89000</v>
      </c>
      <c r="I1420" s="9">
        <f>[1]!Tabel1[[#This Row],[Honorar]]*[1]!Tabel1[[#This Row],[Sandsynlighed]]</f>
        <v>100000</v>
      </c>
      <c r="J1420" s="10" t="s">
        <v>1191</v>
      </c>
      <c r="K1420" s="1" t="s">
        <v>1310</v>
      </c>
      <c r="L1420" s="17"/>
      <c r="M1420" s="11">
        <v>0.95</v>
      </c>
      <c r="N1420" s="1"/>
      <c r="O1420" s="10">
        <v>46279.600532407407</v>
      </c>
      <c r="P1420" s="10" t="s">
        <v>72</v>
      </c>
      <c r="Q1420" s="1" t="s">
        <v>46</v>
      </c>
      <c r="R1420" s="8" t="s">
        <v>47</v>
      </c>
      <c r="S142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2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2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2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2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2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2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2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2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2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2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2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2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20" s="12">
        <f ca="1">[1]!Tabel1[[#This Row],[Vægtet Honorar]]*([1]!Tabel1[[#This Row],[Sidst redigeret]]&gt;TODAY()-40)*([1]!Tabel1[[#This Row],[Er i resplan?]]&lt;&gt;"Ja")*([1]!Tabel1[[#This Row],[Status]]="Pågår")</f>
        <v>0</v>
      </c>
      <c r="AG1420" s="12">
        <f ca="1">[1]!Tabel1[[#This Row],[Vægtet Honorar]]*([1]!Tabel1[[#This Row],[Sidst redigeret]]&gt;TODAY()-40)*([1]!Tabel1[[#This Row],[Status]]="Pågår")</f>
        <v>0</v>
      </c>
      <c r="AH1420" s="13">
        <v>46135.591874999998</v>
      </c>
      <c r="AI1420" s="12"/>
      <c r="AJ1420" s="12"/>
      <c r="AK1420" s="12"/>
      <c r="AL1420" s="12"/>
      <c r="AM1420" s="12"/>
      <c r="AN1420" s="12"/>
      <c r="AO1420" s="12"/>
      <c r="AP1420" s="12"/>
    </row>
    <row r="1421" spans="1:42">
      <c r="A1421" t="s">
        <v>4952</v>
      </c>
      <c r="B1421" s="8"/>
      <c r="C1421" s="8" t="s">
        <v>4953</v>
      </c>
      <c r="D1421" s="8" t="s">
        <v>435</v>
      </c>
      <c r="E1421" s="8" t="s">
        <v>167</v>
      </c>
      <c r="F1421" s="8" t="s">
        <v>4954</v>
      </c>
      <c r="G1421" s="8" t="s">
        <v>4955</v>
      </c>
      <c r="H1421" s="9">
        <v>100000</v>
      </c>
      <c r="I1421" s="9">
        <f>[1]!Tabel1[[#This Row],[Honorar]]*[1]!Tabel1[[#This Row],[Sandsynlighed]]</f>
        <v>0</v>
      </c>
      <c r="J1421" s="10" t="s">
        <v>1191</v>
      </c>
      <c r="K1421" s="1" t="s">
        <v>1310</v>
      </c>
      <c r="L1421" s="17"/>
      <c r="M1421" s="11">
        <v>0.5</v>
      </c>
      <c r="N1421" s="1"/>
      <c r="O1421" s="10">
        <v>46279.600532407407</v>
      </c>
      <c r="P1421" s="10" t="s">
        <v>72</v>
      </c>
      <c r="Q1421" s="1" t="s">
        <v>72</v>
      </c>
      <c r="R1421" s="8" t="s">
        <v>343</v>
      </c>
      <c r="S142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2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2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2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2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2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2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2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2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2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2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2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2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21" s="12">
        <f ca="1">[1]!Tabel1[[#This Row],[Vægtet Honorar]]*([1]!Tabel1[[#This Row],[Sidst redigeret]]&gt;TODAY()-40)*([1]!Tabel1[[#This Row],[Er i resplan?]]&lt;&gt;"Ja")*([1]!Tabel1[[#This Row],[Status]]="Pågår")</f>
        <v>0</v>
      </c>
      <c r="AG1421" s="12">
        <f ca="1">[1]!Tabel1[[#This Row],[Vægtet Honorar]]*([1]!Tabel1[[#This Row],[Sidst redigeret]]&gt;TODAY()-40)*([1]!Tabel1[[#This Row],[Status]]="Pågår")</f>
        <v>0</v>
      </c>
      <c r="AH1421" s="13"/>
      <c r="AI1421" s="12"/>
      <c r="AJ1421" s="12"/>
      <c r="AK1421" s="12"/>
      <c r="AL1421" s="12"/>
      <c r="AM1421" s="12"/>
      <c r="AN1421" s="12"/>
      <c r="AO1421" s="12"/>
      <c r="AP1421" s="12"/>
    </row>
    <row r="1422" spans="1:42">
      <c r="A1422" t="s">
        <v>4956</v>
      </c>
      <c r="B1422" s="8"/>
      <c r="C1422" s="8" t="s">
        <v>4957</v>
      </c>
      <c r="D1422" s="8" t="s">
        <v>435</v>
      </c>
      <c r="E1422" s="8" t="s">
        <v>167</v>
      </c>
      <c r="F1422" s="8" t="s">
        <v>4955</v>
      </c>
      <c r="G1422" s="8" t="s">
        <v>4955</v>
      </c>
      <c r="H1422" s="9">
        <v>250000</v>
      </c>
      <c r="I1422" s="9">
        <f>[1]!Tabel1[[#This Row],[Honorar]]*[1]!Tabel1[[#This Row],[Sandsynlighed]]</f>
        <v>10000</v>
      </c>
      <c r="J1422" s="10" t="s">
        <v>1191</v>
      </c>
      <c r="K1422" s="1" t="s">
        <v>1310</v>
      </c>
      <c r="L1422" s="17"/>
      <c r="M1422" s="11">
        <v>0.5</v>
      </c>
      <c r="N1422" s="1"/>
      <c r="O1422" s="10">
        <v>46279.600532407407</v>
      </c>
      <c r="P1422" s="10" t="s">
        <v>72</v>
      </c>
      <c r="Q1422" s="1" t="s">
        <v>72</v>
      </c>
      <c r="R1422" s="8" t="s">
        <v>343</v>
      </c>
      <c r="S142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2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2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2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2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2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2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2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2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2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2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2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2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22" s="12">
        <f ca="1">[1]!Tabel1[[#This Row],[Vægtet Honorar]]*([1]!Tabel1[[#This Row],[Sidst redigeret]]&gt;TODAY()-40)*([1]!Tabel1[[#This Row],[Er i resplan?]]&lt;&gt;"Ja")*([1]!Tabel1[[#This Row],[Status]]="Pågår")</f>
        <v>10000</v>
      </c>
      <c r="AG1422" s="12">
        <f ca="1">[1]!Tabel1[[#This Row],[Vægtet Honorar]]*([1]!Tabel1[[#This Row],[Sidst redigeret]]&gt;TODAY()-40)*([1]!Tabel1[[#This Row],[Status]]="Pågår")</f>
        <v>10000</v>
      </c>
      <c r="AH1422" s="13"/>
      <c r="AI1422" s="12"/>
      <c r="AJ1422" s="12"/>
      <c r="AK1422" s="12"/>
      <c r="AL1422" s="12"/>
      <c r="AM1422" s="12"/>
      <c r="AN1422" s="12"/>
      <c r="AO1422" s="12"/>
      <c r="AP1422" s="12"/>
    </row>
    <row r="1423" spans="1:42">
      <c r="A1423" t="s">
        <v>4958</v>
      </c>
      <c r="B1423" s="8"/>
      <c r="C1423" s="8" t="s">
        <v>4959</v>
      </c>
      <c r="D1423" s="8" t="s">
        <v>1468</v>
      </c>
      <c r="E1423" s="8" t="s">
        <v>167</v>
      </c>
      <c r="F1423" s="8" t="s">
        <v>2183</v>
      </c>
      <c r="G1423" s="8" t="s">
        <v>2183</v>
      </c>
      <c r="H1423" s="9">
        <v>49000</v>
      </c>
      <c r="I1423" s="9">
        <f>[1]!Tabel1[[#This Row],[Honorar]]*[1]!Tabel1[[#This Row],[Sandsynlighed]]</f>
        <v>1000000</v>
      </c>
      <c r="J1423" s="10" t="s">
        <v>1191</v>
      </c>
      <c r="K1423" s="1" t="s">
        <v>1310</v>
      </c>
      <c r="L1423" s="17"/>
      <c r="M1423" s="11">
        <v>0.95</v>
      </c>
      <c r="N1423" s="1"/>
      <c r="O1423" s="10">
        <v>46279.600532407407</v>
      </c>
      <c r="P1423" s="10" t="s">
        <v>46</v>
      </c>
      <c r="Q1423" s="1" t="s">
        <v>46</v>
      </c>
      <c r="R1423" s="8" t="s">
        <v>47</v>
      </c>
      <c r="S142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2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2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2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2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2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2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2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2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2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2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2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2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23" s="12">
        <f ca="1">[1]!Tabel1[[#This Row],[Vægtet Honorar]]*([1]!Tabel1[[#This Row],[Sidst redigeret]]&gt;TODAY()-40)*([1]!Tabel1[[#This Row],[Er i resplan?]]&lt;&gt;"Ja")*([1]!Tabel1[[#This Row],[Status]]="Pågår")</f>
        <v>0</v>
      </c>
      <c r="AG1423" s="12">
        <f ca="1">[1]!Tabel1[[#This Row],[Vægtet Honorar]]*([1]!Tabel1[[#This Row],[Sidst redigeret]]&gt;TODAY()-40)*([1]!Tabel1[[#This Row],[Status]]="Pågår")</f>
        <v>0</v>
      </c>
      <c r="AH1423" s="13">
        <v>45968.599027777775</v>
      </c>
      <c r="AI1423" s="12"/>
      <c r="AJ1423" s="12"/>
      <c r="AK1423" s="12"/>
      <c r="AL1423" s="12"/>
      <c r="AM1423" s="12"/>
      <c r="AN1423" s="12"/>
      <c r="AO1423" s="12"/>
      <c r="AP1423" s="12"/>
    </row>
    <row r="1424" spans="1:42">
      <c r="A1424" t="s">
        <v>4960</v>
      </c>
      <c r="B1424" s="8"/>
      <c r="C1424" s="8" t="s">
        <v>4961</v>
      </c>
      <c r="D1424" s="8" t="s">
        <v>158</v>
      </c>
      <c r="E1424" s="8" t="s">
        <v>102</v>
      </c>
      <c r="F1424" s="8" t="s">
        <v>4962</v>
      </c>
      <c r="G1424" s="8" t="s">
        <v>4135</v>
      </c>
      <c r="H1424" s="9">
        <v>1500000</v>
      </c>
      <c r="I1424" s="9">
        <f>[1]!Tabel1[[#This Row],[Honorar]]*[1]!Tabel1[[#This Row],[Sandsynlighed]]</f>
        <v>750000</v>
      </c>
      <c r="J1424" s="10" t="s">
        <v>1191</v>
      </c>
      <c r="K1424" s="1" t="s">
        <v>342</v>
      </c>
      <c r="L1424" s="17"/>
      <c r="M1424" s="11">
        <v>0.1</v>
      </c>
      <c r="N1424" s="1" t="s">
        <v>4963</v>
      </c>
      <c r="O1424" s="10">
        <v>46279.600532407407</v>
      </c>
      <c r="P1424" s="10" t="s">
        <v>46</v>
      </c>
      <c r="Q1424" s="1" t="s">
        <v>72</v>
      </c>
      <c r="R1424" s="8" t="s">
        <v>343</v>
      </c>
      <c r="S142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2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2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2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2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2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2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2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2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2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2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2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2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24" s="12">
        <f ca="1">[1]!Tabel1[[#This Row],[Vægtet Honorar]]*([1]!Tabel1[[#This Row],[Sidst redigeret]]&gt;TODAY()-40)*([1]!Tabel1[[#This Row],[Er i resplan?]]&lt;&gt;"Ja")*([1]!Tabel1[[#This Row],[Status]]="Pågår")</f>
        <v>0</v>
      </c>
      <c r="AG1424" s="12">
        <f ca="1">[1]!Tabel1[[#This Row],[Vægtet Honorar]]*([1]!Tabel1[[#This Row],[Sidst redigeret]]&gt;TODAY()-40)*([1]!Tabel1[[#This Row],[Status]]="Pågår")</f>
        <v>0</v>
      </c>
      <c r="AH1424" s="13"/>
      <c r="AI1424" s="12"/>
      <c r="AJ1424" s="12" t="s">
        <v>1363</v>
      </c>
      <c r="AK1424" s="12"/>
      <c r="AL1424" s="12"/>
      <c r="AM1424" s="12"/>
      <c r="AN1424" s="12" t="s">
        <v>4964</v>
      </c>
      <c r="AO1424" s="12"/>
      <c r="AP1424" s="12"/>
    </row>
    <row r="1425" spans="1:42">
      <c r="A1425" t="s">
        <v>4965</v>
      </c>
      <c r="B1425" s="8"/>
      <c r="C1425" s="8" t="s">
        <v>4966</v>
      </c>
      <c r="D1425" s="8" t="s">
        <v>1771</v>
      </c>
      <c r="E1425" s="8" t="s">
        <v>167</v>
      </c>
      <c r="F1425" s="8" t="s">
        <v>4967</v>
      </c>
      <c r="G1425" s="8" t="s">
        <v>715</v>
      </c>
      <c r="H1425" s="9">
        <v>500000</v>
      </c>
      <c r="I1425" s="9">
        <f>[1]!Tabel1[[#This Row],[Honorar]]*[1]!Tabel1[[#This Row],[Sandsynlighed]]</f>
        <v>84550</v>
      </c>
      <c r="J1425" s="10" t="s">
        <v>1191</v>
      </c>
      <c r="K1425" s="1" t="s">
        <v>2405</v>
      </c>
      <c r="L1425" s="17"/>
      <c r="M1425" s="11">
        <v>0.9</v>
      </c>
      <c r="N1425" s="1" t="s">
        <v>4968</v>
      </c>
      <c r="O1425" s="10">
        <v>46279.600532407407</v>
      </c>
      <c r="P1425" s="10" t="s">
        <v>46</v>
      </c>
      <c r="Q1425" s="1" t="s">
        <v>72</v>
      </c>
      <c r="R1425" s="8" t="s">
        <v>343</v>
      </c>
      <c r="S142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2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2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2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2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2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2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2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2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2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2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2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2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25" s="12">
        <f ca="1">[1]!Tabel1[[#This Row],[Vægtet Honorar]]*([1]!Tabel1[[#This Row],[Sidst redigeret]]&gt;TODAY()-40)*([1]!Tabel1[[#This Row],[Er i resplan?]]&lt;&gt;"Ja")*([1]!Tabel1[[#This Row],[Status]]="Pågår")</f>
        <v>0</v>
      </c>
      <c r="AG1425" s="12">
        <f ca="1">[1]!Tabel1[[#This Row],[Vægtet Honorar]]*([1]!Tabel1[[#This Row],[Sidst redigeret]]&gt;TODAY()-40)*([1]!Tabel1[[#This Row],[Status]]="Pågår")</f>
        <v>0</v>
      </c>
      <c r="AH1425" s="13"/>
      <c r="AI1425" s="12"/>
      <c r="AJ1425" s="12"/>
      <c r="AK1425" s="12"/>
      <c r="AL1425" s="12"/>
      <c r="AM1425" s="12"/>
      <c r="AN1425" s="12"/>
      <c r="AO1425" s="12"/>
      <c r="AP1425" s="12"/>
    </row>
    <row r="1426" spans="1:42" ht="75">
      <c r="A1426" t="s">
        <v>4969</v>
      </c>
      <c r="B1426" s="8"/>
      <c r="C1426" s="8" t="s">
        <v>4970</v>
      </c>
      <c r="D1426" s="8" t="s">
        <v>896</v>
      </c>
      <c r="E1426" s="8" t="s">
        <v>94</v>
      </c>
      <c r="F1426" s="8" t="s">
        <v>4971</v>
      </c>
      <c r="G1426" s="8" t="s">
        <v>4862</v>
      </c>
      <c r="H1426" s="9">
        <v>6000000</v>
      </c>
      <c r="I1426" s="9">
        <f>[1]!Tabel1[[#This Row],[Honorar]]*[1]!Tabel1[[#This Row],[Sandsynlighed]]</f>
        <v>50000</v>
      </c>
      <c r="J1426" s="10" t="s">
        <v>585</v>
      </c>
      <c r="K1426" s="1" t="s">
        <v>1709</v>
      </c>
      <c r="L1426" s="17" t="s">
        <v>4972</v>
      </c>
      <c r="M1426" s="11">
        <v>0.25</v>
      </c>
      <c r="N1426" s="1" t="s">
        <v>4973</v>
      </c>
      <c r="O1426" s="10">
        <v>46279.600532407407</v>
      </c>
      <c r="P1426" s="10" t="s">
        <v>46</v>
      </c>
      <c r="Q1426" s="1" t="s">
        <v>72</v>
      </c>
      <c r="R1426" s="8" t="s">
        <v>49</v>
      </c>
      <c r="S142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2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2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2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2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2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2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2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2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2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2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2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2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26" s="12">
        <f ca="1">[1]!Tabel1[[#This Row],[Vægtet Honorar]]*([1]!Tabel1[[#This Row],[Sidst redigeret]]&gt;TODAY()-40)*([1]!Tabel1[[#This Row],[Er i resplan?]]&lt;&gt;"Ja")*([1]!Tabel1[[#This Row],[Status]]="Pågår")</f>
        <v>50000</v>
      </c>
      <c r="AG1426" s="12">
        <f ca="1">[1]!Tabel1[[#This Row],[Vægtet Honorar]]*([1]!Tabel1[[#This Row],[Sidst redigeret]]&gt;TODAY()-40)*([1]!Tabel1[[#This Row],[Status]]="Pågår")</f>
        <v>50000</v>
      </c>
      <c r="AH1426" s="13"/>
      <c r="AI1426" s="12"/>
      <c r="AJ1426" s="12"/>
      <c r="AK1426" s="12"/>
      <c r="AL1426" s="12"/>
      <c r="AM1426" s="12"/>
      <c r="AN1426" s="12"/>
      <c r="AO1426" s="12"/>
      <c r="AP1426" s="12"/>
    </row>
    <row r="1427" spans="1:42" ht="45">
      <c r="A1427" t="s">
        <v>4974</v>
      </c>
      <c r="B1427" s="8"/>
      <c r="C1427" s="8" t="s">
        <v>4975</v>
      </c>
      <c r="D1427" s="8" t="s">
        <v>980</v>
      </c>
      <c r="E1427" s="8" t="s">
        <v>71</v>
      </c>
      <c r="F1427" s="8" t="s">
        <v>4976</v>
      </c>
      <c r="G1427" s="8" t="s">
        <v>2118</v>
      </c>
      <c r="H1427" s="9">
        <v>35000</v>
      </c>
      <c r="I1427" s="9">
        <f>[1]!Tabel1[[#This Row],[Honorar]]*[1]!Tabel1[[#This Row],[Sandsynlighed]]</f>
        <v>125000</v>
      </c>
      <c r="J1427" s="10" t="s">
        <v>612</v>
      </c>
      <c r="K1427" s="1" t="s">
        <v>1061</v>
      </c>
      <c r="L1427" s="17" t="s">
        <v>4977</v>
      </c>
      <c r="M1427" s="11">
        <v>1</v>
      </c>
      <c r="N1427" s="1">
        <v>400</v>
      </c>
      <c r="O1427" s="10">
        <v>46279.600532407407</v>
      </c>
      <c r="P1427" s="10" t="s">
        <v>46</v>
      </c>
      <c r="Q1427" s="1" t="s">
        <v>46</v>
      </c>
      <c r="R1427" s="8" t="s">
        <v>343</v>
      </c>
      <c r="S142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2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2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2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2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2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2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2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2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2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2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2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2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27" s="12">
        <f ca="1">[1]!Tabel1[[#This Row],[Vægtet Honorar]]*([1]!Tabel1[[#This Row],[Sidst redigeret]]&gt;TODAY()-40)*([1]!Tabel1[[#This Row],[Er i resplan?]]&lt;&gt;"Ja")*([1]!Tabel1[[#This Row],[Status]]="Pågår")</f>
        <v>125000</v>
      </c>
      <c r="AG1427" s="12">
        <f ca="1">[1]!Tabel1[[#This Row],[Vægtet Honorar]]*([1]!Tabel1[[#This Row],[Sidst redigeret]]&gt;TODAY()-40)*([1]!Tabel1[[#This Row],[Status]]="Pågår")</f>
        <v>125000</v>
      </c>
      <c r="AH1427" s="13"/>
      <c r="AI1427" s="12"/>
      <c r="AJ1427" s="12"/>
      <c r="AK1427" s="12"/>
      <c r="AL1427" s="12"/>
      <c r="AM1427" s="12"/>
      <c r="AN1427" s="12"/>
      <c r="AO1427" s="12"/>
      <c r="AP1427" s="12"/>
    </row>
    <row r="1428" spans="1:42" ht="45">
      <c r="A1428" t="s">
        <v>4978</v>
      </c>
      <c r="B1428" s="8"/>
      <c r="C1428" s="8" t="s">
        <v>4979</v>
      </c>
      <c r="D1428" s="8" t="s">
        <v>70</v>
      </c>
      <c r="E1428" s="8" t="s">
        <v>102</v>
      </c>
      <c r="F1428" s="8" t="s">
        <v>4980</v>
      </c>
      <c r="G1428" s="8" t="s">
        <v>4980</v>
      </c>
      <c r="H1428" s="9">
        <v>3000000</v>
      </c>
      <c r="I1428" s="9">
        <f>[1]!Tabel1[[#This Row],[Honorar]]*[1]!Tabel1[[#This Row],[Sandsynlighed]]</f>
        <v>46550</v>
      </c>
      <c r="J1428" s="10" t="s">
        <v>1191</v>
      </c>
      <c r="K1428" s="1" t="s">
        <v>1061</v>
      </c>
      <c r="L1428" s="17" t="s">
        <v>4979</v>
      </c>
      <c r="M1428" s="11">
        <v>0.5</v>
      </c>
      <c r="N1428" s="1" t="s">
        <v>4981</v>
      </c>
      <c r="O1428" s="10">
        <v>46279.600532407407</v>
      </c>
      <c r="P1428" s="10" t="s">
        <v>46</v>
      </c>
      <c r="Q1428" s="1" t="s">
        <v>4507</v>
      </c>
      <c r="R1428" s="8" t="s">
        <v>343</v>
      </c>
      <c r="S142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2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2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2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2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2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2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2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2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2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2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2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2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28" s="12">
        <f ca="1">[1]!Tabel1[[#This Row],[Vægtet Honorar]]*([1]!Tabel1[[#This Row],[Sidst redigeret]]&gt;TODAY()-40)*([1]!Tabel1[[#This Row],[Er i resplan?]]&lt;&gt;"Ja")*([1]!Tabel1[[#This Row],[Status]]="Pågår")</f>
        <v>0</v>
      </c>
      <c r="AG1428" s="12">
        <f ca="1">[1]!Tabel1[[#This Row],[Vægtet Honorar]]*([1]!Tabel1[[#This Row],[Sidst redigeret]]&gt;TODAY()-40)*([1]!Tabel1[[#This Row],[Status]]="Pågår")</f>
        <v>0</v>
      </c>
      <c r="AH1428" s="13"/>
      <c r="AI1428" s="12"/>
      <c r="AJ1428" s="12"/>
      <c r="AK1428" s="12"/>
      <c r="AL1428" s="12"/>
      <c r="AM1428" s="12"/>
      <c r="AN1428" s="12"/>
      <c r="AO1428" s="12"/>
      <c r="AP1428" s="12"/>
    </row>
    <row r="1429" spans="1:42" ht="45">
      <c r="A1429" t="s">
        <v>4982</v>
      </c>
      <c r="B1429" s="8"/>
      <c r="C1429" s="8" t="s">
        <v>4983</v>
      </c>
      <c r="D1429" s="8" t="s">
        <v>896</v>
      </c>
      <c r="E1429" s="8" t="s">
        <v>94</v>
      </c>
      <c r="F1429" s="8" t="s">
        <v>919</v>
      </c>
      <c r="G1429" s="8" t="s">
        <v>2107</v>
      </c>
      <c r="H1429" s="9">
        <v>1000000</v>
      </c>
      <c r="I1429" s="9">
        <f>[1]!Tabel1[[#This Row],[Honorar]]*[1]!Tabel1[[#This Row],[Sandsynlighed]]</f>
        <v>150000</v>
      </c>
      <c r="J1429" s="10" t="s">
        <v>1191</v>
      </c>
      <c r="K1429" s="1" t="s">
        <v>341</v>
      </c>
      <c r="L1429" s="17" t="s">
        <v>4984</v>
      </c>
      <c r="M1429" s="11">
        <v>0.5</v>
      </c>
      <c r="N1429" s="1">
        <v>5500</v>
      </c>
      <c r="O1429" s="10">
        <v>46279.600532407407</v>
      </c>
      <c r="P1429" s="10" t="s">
        <v>46</v>
      </c>
      <c r="Q1429" s="1" t="s">
        <v>72</v>
      </c>
      <c r="R1429" s="8" t="s">
        <v>75</v>
      </c>
      <c r="S142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2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2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2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2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2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2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2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2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2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2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2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2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29" s="12">
        <f ca="1">[1]!Tabel1[[#This Row],[Vægtet Honorar]]*([1]!Tabel1[[#This Row],[Sidst redigeret]]&gt;TODAY()-40)*([1]!Tabel1[[#This Row],[Er i resplan?]]&lt;&gt;"Ja")*([1]!Tabel1[[#This Row],[Status]]="Pågår")</f>
        <v>150000</v>
      </c>
      <c r="AG1429" s="12">
        <f ca="1">[1]!Tabel1[[#This Row],[Vægtet Honorar]]*([1]!Tabel1[[#This Row],[Sidst redigeret]]&gt;TODAY()-40)*([1]!Tabel1[[#This Row],[Status]]="Pågår")</f>
        <v>150000</v>
      </c>
      <c r="AH1429" s="13"/>
      <c r="AI1429" s="12"/>
      <c r="AJ1429" s="12" t="s">
        <v>2107</v>
      </c>
      <c r="AK1429" s="12"/>
      <c r="AL1429" s="12"/>
      <c r="AM1429" s="12"/>
      <c r="AN1429" s="12"/>
      <c r="AO1429" s="12"/>
      <c r="AP1429" s="12"/>
    </row>
    <row r="1430" spans="1:42" ht="135">
      <c r="A1430" t="s">
        <v>4985</v>
      </c>
      <c r="B1430" s="8"/>
      <c r="C1430" s="8" t="s">
        <v>4986</v>
      </c>
      <c r="D1430" s="8" t="s">
        <v>1468</v>
      </c>
      <c r="E1430" s="8" t="s">
        <v>167</v>
      </c>
      <c r="F1430" s="8" t="s">
        <v>4987</v>
      </c>
      <c r="G1430" s="8" t="s">
        <v>4987</v>
      </c>
      <c r="H1430" s="9">
        <v>100000</v>
      </c>
      <c r="I1430" s="9">
        <f>[1]!Tabel1[[#This Row],[Honorar]]*[1]!Tabel1[[#This Row],[Sandsynlighed]]</f>
        <v>450000</v>
      </c>
      <c r="J1430" s="10" t="s">
        <v>341</v>
      </c>
      <c r="K1430" s="1" t="s">
        <v>2093</v>
      </c>
      <c r="L1430" s="17" t="s">
        <v>4988</v>
      </c>
      <c r="M1430" s="11">
        <v>0.5</v>
      </c>
      <c r="N1430" s="1"/>
      <c r="O1430" s="10">
        <v>46279.600532407407</v>
      </c>
      <c r="P1430" s="10" t="s">
        <v>46</v>
      </c>
      <c r="Q1430" s="1" t="s">
        <v>72</v>
      </c>
      <c r="R1430" s="8" t="s">
        <v>47</v>
      </c>
      <c r="S143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3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3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3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3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3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3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3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3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3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3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3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3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30" s="12">
        <f ca="1">[1]!Tabel1[[#This Row],[Vægtet Honorar]]*([1]!Tabel1[[#This Row],[Sidst redigeret]]&gt;TODAY()-40)*([1]!Tabel1[[#This Row],[Er i resplan?]]&lt;&gt;"Ja")*([1]!Tabel1[[#This Row],[Status]]="Pågår")</f>
        <v>450000</v>
      </c>
      <c r="AG1430" s="12">
        <f ca="1">[1]!Tabel1[[#This Row],[Vægtet Honorar]]*([1]!Tabel1[[#This Row],[Sidst redigeret]]&gt;TODAY()-40)*([1]!Tabel1[[#This Row],[Status]]="Pågår")</f>
        <v>450000</v>
      </c>
      <c r="AH1430" s="13">
        <v>46001.525104166663</v>
      </c>
      <c r="AI1430" s="12"/>
      <c r="AJ1430" s="12"/>
      <c r="AK1430" s="12"/>
      <c r="AL1430" s="12"/>
      <c r="AM1430" s="12"/>
      <c r="AN1430" s="12"/>
      <c r="AO1430" s="12"/>
      <c r="AP1430" s="12"/>
    </row>
    <row r="1431" spans="1:42" ht="60">
      <c r="A1431" t="s">
        <v>4989</v>
      </c>
      <c r="B1431" s="8"/>
      <c r="C1431" s="8" t="s">
        <v>4990</v>
      </c>
      <c r="D1431" s="8" t="s">
        <v>1771</v>
      </c>
      <c r="E1431" s="8" t="s">
        <v>167</v>
      </c>
      <c r="F1431" s="8" t="s">
        <v>4991</v>
      </c>
      <c r="G1431" s="8" t="s">
        <v>4711</v>
      </c>
      <c r="H1431" s="9">
        <v>1500000</v>
      </c>
      <c r="I1431" s="9">
        <f>[1]!Tabel1[[#This Row],[Honorar]]*[1]!Tabel1[[#This Row],[Sandsynlighed]]</f>
        <v>1500000</v>
      </c>
      <c r="J1431" s="10" t="s">
        <v>341</v>
      </c>
      <c r="K1431" s="1" t="s">
        <v>1709</v>
      </c>
      <c r="L1431" s="17" t="s">
        <v>4992</v>
      </c>
      <c r="M1431" s="11">
        <v>1</v>
      </c>
      <c r="N1431" s="1"/>
      <c r="O1431" s="10">
        <v>46279.600532407407</v>
      </c>
      <c r="P1431" s="10" t="s">
        <v>46</v>
      </c>
      <c r="Q1431" s="1" t="s">
        <v>4507</v>
      </c>
      <c r="R1431" s="8" t="s">
        <v>47</v>
      </c>
      <c r="S143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3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3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3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3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3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3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3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3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3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3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3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3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31" s="12">
        <f ca="1">[1]!Tabel1[[#This Row],[Vægtet Honorar]]*([1]!Tabel1[[#This Row],[Sidst redigeret]]&gt;TODAY()-40)*([1]!Tabel1[[#This Row],[Er i resplan?]]&lt;&gt;"Ja")*([1]!Tabel1[[#This Row],[Status]]="Pågår")</f>
        <v>0</v>
      </c>
      <c r="AG1431" s="12">
        <f ca="1">[1]!Tabel1[[#This Row],[Vægtet Honorar]]*([1]!Tabel1[[#This Row],[Sidst redigeret]]&gt;TODAY()-40)*([1]!Tabel1[[#This Row],[Status]]="Pågår")</f>
        <v>0</v>
      </c>
      <c r="AH1431" s="13">
        <v>46034.551446759258</v>
      </c>
      <c r="AI1431" s="12"/>
      <c r="AJ1431" s="12"/>
      <c r="AK1431" s="12"/>
      <c r="AL1431" s="12"/>
      <c r="AM1431" s="12"/>
      <c r="AN1431" s="12"/>
      <c r="AO1431" s="12"/>
      <c r="AP1431" s="12"/>
    </row>
    <row r="1432" spans="1:42">
      <c r="A1432" t="s">
        <v>4993</v>
      </c>
      <c r="B1432" s="8"/>
      <c r="C1432" s="8" t="s">
        <v>4994</v>
      </c>
      <c r="D1432" s="8" t="s">
        <v>2886</v>
      </c>
      <c r="E1432" s="8" t="s">
        <v>120</v>
      </c>
      <c r="F1432" s="8" t="s">
        <v>691</v>
      </c>
      <c r="G1432" s="8" t="s">
        <v>2944</v>
      </c>
      <c r="H1432" s="9">
        <v>2000000</v>
      </c>
      <c r="I1432" s="9">
        <f>[1]!Tabel1[[#This Row],[Honorar]]*[1]!Tabel1[[#This Row],[Sandsynlighed]]</f>
        <v>35000</v>
      </c>
      <c r="J1432" s="10" t="s">
        <v>1310</v>
      </c>
      <c r="K1432" s="1" t="s">
        <v>1861</v>
      </c>
      <c r="L1432" s="17"/>
      <c r="M1432" s="11">
        <v>0.05</v>
      </c>
      <c r="N1432" s="1">
        <v>4050</v>
      </c>
      <c r="O1432" s="10">
        <v>46279.600532407407</v>
      </c>
      <c r="P1432" s="10" t="s">
        <v>46</v>
      </c>
      <c r="Q1432" s="1" t="s">
        <v>72</v>
      </c>
      <c r="R1432" s="8" t="s">
        <v>75</v>
      </c>
      <c r="S143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3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3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3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3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3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3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3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3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3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3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3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3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32" s="12">
        <f ca="1">[1]!Tabel1[[#This Row],[Vægtet Honorar]]*([1]!Tabel1[[#This Row],[Sidst redigeret]]&gt;TODAY()-40)*([1]!Tabel1[[#This Row],[Er i resplan?]]&lt;&gt;"Ja")*([1]!Tabel1[[#This Row],[Status]]="Pågår")</f>
        <v>0</v>
      </c>
      <c r="AG1432" s="12">
        <f ca="1">[1]!Tabel1[[#This Row],[Vægtet Honorar]]*([1]!Tabel1[[#This Row],[Sidst redigeret]]&gt;TODAY()-40)*([1]!Tabel1[[#This Row],[Status]]="Pågår")</f>
        <v>35000</v>
      </c>
      <c r="AH1432" s="13"/>
      <c r="AI1432" s="12"/>
      <c r="AJ1432" s="12" t="s">
        <v>2944</v>
      </c>
      <c r="AK1432" s="12"/>
      <c r="AL1432" s="12"/>
      <c r="AM1432" s="12"/>
      <c r="AN1432" s="12"/>
      <c r="AO1432" s="12"/>
      <c r="AP1432" s="12"/>
    </row>
    <row r="1433" spans="1:42" ht="210">
      <c r="A1433" t="s">
        <v>4995</v>
      </c>
      <c r="B1433" s="8"/>
      <c r="C1433" s="8" t="s">
        <v>4996</v>
      </c>
      <c r="D1433" s="8" t="s">
        <v>2886</v>
      </c>
      <c r="E1433" s="8" t="s">
        <v>120</v>
      </c>
      <c r="F1433" s="8" t="s">
        <v>4426</v>
      </c>
      <c r="G1433" s="8" t="s">
        <v>2944</v>
      </c>
      <c r="H1433" s="9">
        <v>2000000</v>
      </c>
      <c r="I1433" s="9">
        <f>[1]!Tabel1[[#This Row],[Honorar]]*[1]!Tabel1[[#This Row],[Sandsynlighed]]</f>
        <v>1500000</v>
      </c>
      <c r="J1433" s="10" t="s">
        <v>1310</v>
      </c>
      <c r="K1433" s="1" t="s">
        <v>2405</v>
      </c>
      <c r="L1433" s="17" t="s">
        <v>4997</v>
      </c>
      <c r="M1433" s="11">
        <v>0.05</v>
      </c>
      <c r="N1433" s="1"/>
      <c r="O1433" s="10">
        <v>46279.600532407407</v>
      </c>
      <c r="P1433" s="10" t="s">
        <v>46</v>
      </c>
      <c r="Q1433" s="1" t="s">
        <v>72</v>
      </c>
      <c r="R1433" s="8" t="s">
        <v>47</v>
      </c>
      <c r="S143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3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3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3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3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3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3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3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3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3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3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3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3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33" s="12">
        <f ca="1">[1]!Tabel1[[#This Row],[Vægtet Honorar]]*([1]!Tabel1[[#This Row],[Sidst redigeret]]&gt;TODAY()-40)*([1]!Tabel1[[#This Row],[Er i resplan?]]&lt;&gt;"Ja")*([1]!Tabel1[[#This Row],[Status]]="Pågår")</f>
        <v>0</v>
      </c>
      <c r="AG1433" s="12">
        <f ca="1">[1]!Tabel1[[#This Row],[Vægtet Honorar]]*([1]!Tabel1[[#This Row],[Sidst redigeret]]&gt;TODAY()-40)*([1]!Tabel1[[#This Row],[Status]]="Pågår")</f>
        <v>1500000</v>
      </c>
      <c r="AH1433" s="13">
        <v>46269.49895833333</v>
      </c>
      <c r="AI1433" s="12"/>
      <c r="AJ1433" s="12" t="s">
        <v>2944</v>
      </c>
      <c r="AK1433" s="12"/>
      <c r="AL1433" s="12"/>
      <c r="AM1433" s="12"/>
      <c r="AN1433" s="12"/>
      <c r="AO1433" s="12"/>
      <c r="AP1433" s="12"/>
    </row>
    <row r="1434" spans="1:42">
      <c r="A1434" t="s">
        <v>4998</v>
      </c>
      <c r="B1434" s="8"/>
      <c r="C1434" s="8" t="s">
        <v>4999</v>
      </c>
      <c r="D1434" s="8" t="s">
        <v>720</v>
      </c>
      <c r="E1434" s="8" t="s">
        <v>71</v>
      </c>
      <c r="F1434" s="8" t="s">
        <v>1012</v>
      </c>
      <c r="G1434" s="8" t="s">
        <v>1012</v>
      </c>
      <c r="H1434" s="9">
        <v>2000000</v>
      </c>
      <c r="I1434" s="9">
        <f>[1]!Tabel1[[#This Row],[Honorar]]*[1]!Tabel1[[#This Row],[Sandsynlighed]]</f>
        <v>500000</v>
      </c>
      <c r="J1434" s="10" t="s">
        <v>1310</v>
      </c>
      <c r="K1434" s="1" t="s">
        <v>2405</v>
      </c>
      <c r="L1434" s="17">
        <v>26000000</v>
      </c>
      <c r="M1434" s="11">
        <v>0.05</v>
      </c>
      <c r="N1434" s="1"/>
      <c r="O1434" s="10">
        <v>46279.600532407407</v>
      </c>
      <c r="P1434" s="10" t="s">
        <v>46</v>
      </c>
      <c r="Q1434" s="1" t="s">
        <v>72</v>
      </c>
      <c r="R1434" s="8" t="s">
        <v>343</v>
      </c>
      <c r="S143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3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3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3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3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3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3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3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3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3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3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3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3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34" s="12">
        <f ca="1">[1]!Tabel1[[#This Row],[Vægtet Honorar]]*([1]!Tabel1[[#This Row],[Sidst redigeret]]&gt;TODAY()-40)*([1]!Tabel1[[#This Row],[Er i resplan?]]&lt;&gt;"Ja")*([1]!Tabel1[[#This Row],[Status]]="Pågår")</f>
        <v>0</v>
      </c>
      <c r="AG1434" s="12">
        <f ca="1">[1]!Tabel1[[#This Row],[Vægtet Honorar]]*([1]!Tabel1[[#This Row],[Sidst redigeret]]&gt;TODAY()-40)*([1]!Tabel1[[#This Row],[Status]]="Pågår")</f>
        <v>0</v>
      </c>
      <c r="AH1434" s="13"/>
      <c r="AI1434" s="12"/>
      <c r="AJ1434" s="12" t="s">
        <v>5000</v>
      </c>
      <c r="AK1434" s="12"/>
      <c r="AL1434" s="12"/>
      <c r="AM1434" s="12"/>
      <c r="AN1434" s="12"/>
      <c r="AO1434" s="12"/>
      <c r="AP1434" s="12"/>
    </row>
    <row r="1435" spans="1:42">
      <c r="A1435" t="s">
        <v>5001</v>
      </c>
      <c r="B1435" s="8"/>
      <c r="C1435" s="8" t="s">
        <v>5002</v>
      </c>
      <c r="D1435" s="8" t="s">
        <v>720</v>
      </c>
      <c r="E1435" s="8" t="s">
        <v>71</v>
      </c>
      <c r="F1435" s="8" t="s">
        <v>1012</v>
      </c>
      <c r="G1435" s="8" t="s">
        <v>1012</v>
      </c>
      <c r="H1435" s="9">
        <v>2000000</v>
      </c>
      <c r="I1435" s="9">
        <f>[1]!Tabel1[[#This Row],[Honorar]]*[1]!Tabel1[[#This Row],[Sandsynlighed]]</f>
        <v>50000</v>
      </c>
      <c r="J1435" s="10" t="s">
        <v>1310</v>
      </c>
      <c r="K1435" s="1" t="s">
        <v>2405</v>
      </c>
      <c r="L1435" s="17">
        <v>19000000</v>
      </c>
      <c r="M1435" s="11">
        <v>0.05</v>
      </c>
      <c r="N1435" s="1"/>
      <c r="O1435" s="10">
        <v>46279.600532407407</v>
      </c>
      <c r="P1435" s="10" t="s">
        <v>46</v>
      </c>
      <c r="Q1435" s="1" t="s">
        <v>72</v>
      </c>
      <c r="R1435" s="8" t="s">
        <v>343</v>
      </c>
      <c r="S143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3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3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3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3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3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3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3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3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3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3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3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3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35" s="12">
        <f ca="1">[1]!Tabel1[[#This Row],[Vægtet Honorar]]*([1]!Tabel1[[#This Row],[Sidst redigeret]]&gt;TODAY()-40)*([1]!Tabel1[[#This Row],[Er i resplan?]]&lt;&gt;"Ja")*([1]!Tabel1[[#This Row],[Status]]="Pågår")</f>
        <v>0</v>
      </c>
      <c r="AG1435" s="12">
        <f ca="1">[1]!Tabel1[[#This Row],[Vægtet Honorar]]*([1]!Tabel1[[#This Row],[Sidst redigeret]]&gt;TODAY()-40)*([1]!Tabel1[[#This Row],[Status]]="Pågår")</f>
        <v>0</v>
      </c>
      <c r="AH1435" s="13"/>
      <c r="AI1435" s="12"/>
      <c r="AJ1435" s="12" t="s">
        <v>5003</v>
      </c>
      <c r="AK1435" s="12"/>
      <c r="AL1435" s="12"/>
      <c r="AM1435" s="12"/>
      <c r="AN1435" s="12"/>
      <c r="AO1435" s="12"/>
      <c r="AP1435" s="12"/>
    </row>
    <row r="1436" spans="1:42">
      <c r="A1436" t="s">
        <v>5004</v>
      </c>
      <c r="B1436" s="8"/>
      <c r="C1436" s="8" t="s">
        <v>5005</v>
      </c>
      <c r="D1436" s="8" t="s">
        <v>2886</v>
      </c>
      <c r="E1436" s="8" t="s">
        <v>120</v>
      </c>
      <c r="F1436" s="8" t="s">
        <v>547</v>
      </c>
      <c r="G1436" s="8" t="s">
        <v>4594</v>
      </c>
      <c r="H1436" s="9">
        <v>2000000</v>
      </c>
      <c r="I1436" s="9">
        <f>[1]!Tabel1[[#This Row],[Honorar]]*[1]!Tabel1[[#This Row],[Sandsynlighed]]</f>
        <v>1500000</v>
      </c>
      <c r="J1436" s="10" t="s">
        <v>1310</v>
      </c>
      <c r="K1436" s="1" t="s">
        <v>342</v>
      </c>
      <c r="L1436" s="17"/>
      <c r="M1436" s="11">
        <v>0.05</v>
      </c>
      <c r="N1436" s="1"/>
      <c r="O1436" s="10">
        <v>46279.600532407407</v>
      </c>
      <c r="P1436" s="10" t="s">
        <v>46</v>
      </c>
      <c r="Q1436" s="1" t="s">
        <v>72</v>
      </c>
      <c r="R1436" s="8" t="s">
        <v>75</v>
      </c>
      <c r="S143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3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3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3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3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3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3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3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3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3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3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3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3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36" s="12">
        <f ca="1">[1]!Tabel1[[#This Row],[Vægtet Honorar]]*([1]!Tabel1[[#This Row],[Sidst redigeret]]&gt;TODAY()-40)*([1]!Tabel1[[#This Row],[Er i resplan?]]&lt;&gt;"Ja")*([1]!Tabel1[[#This Row],[Status]]="Pågår")</f>
        <v>0</v>
      </c>
      <c r="AG1436" s="12">
        <f ca="1">[1]!Tabel1[[#This Row],[Vægtet Honorar]]*([1]!Tabel1[[#This Row],[Sidst redigeret]]&gt;TODAY()-40)*([1]!Tabel1[[#This Row],[Status]]="Pågår")</f>
        <v>0</v>
      </c>
      <c r="AH1436" s="13"/>
      <c r="AI1436" s="12"/>
      <c r="AJ1436" s="12" t="s">
        <v>3695</v>
      </c>
      <c r="AK1436" s="12"/>
      <c r="AL1436" s="12"/>
      <c r="AM1436" s="12"/>
      <c r="AN1436" s="12"/>
      <c r="AO1436" s="12"/>
      <c r="AP1436" s="12"/>
    </row>
    <row r="1437" spans="1:42" ht="45">
      <c r="A1437" t="s">
        <v>5006</v>
      </c>
      <c r="B1437" s="8"/>
      <c r="C1437" s="8" t="s">
        <v>5007</v>
      </c>
      <c r="D1437" s="8" t="s">
        <v>1771</v>
      </c>
      <c r="E1437" s="8" t="s">
        <v>167</v>
      </c>
      <c r="F1437" s="8" t="s">
        <v>1427</v>
      </c>
      <c r="G1437" s="8" t="s">
        <v>1427</v>
      </c>
      <c r="H1437" s="9">
        <v>20000000</v>
      </c>
      <c r="I1437" s="9">
        <f>[1]!Tabel1[[#This Row],[Honorar]]*[1]!Tabel1[[#This Row],[Sandsynlighed]]</f>
        <v>100000</v>
      </c>
      <c r="J1437" s="10" t="s">
        <v>1191</v>
      </c>
      <c r="K1437" s="1" t="s">
        <v>898</v>
      </c>
      <c r="L1437" s="17" t="s">
        <v>5008</v>
      </c>
      <c r="M1437" s="11">
        <v>0</v>
      </c>
      <c r="N1437" s="1" t="s">
        <v>2786</v>
      </c>
      <c r="O1437" s="10">
        <v>46279.600532407407</v>
      </c>
      <c r="P1437" s="10" t="s">
        <v>46</v>
      </c>
      <c r="Q1437" s="1" t="s">
        <v>46</v>
      </c>
      <c r="R1437" s="8" t="s">
        <v>75</v>
      </c>
      <c r="S143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3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3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3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3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3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3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3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3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3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3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3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3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37" s="12">
        <f ca="1">[1]!Tabel1[[#This Row],[Vægtet Honorar]]*([1]!Tabel1[[#This Row],[Sidst redigeret]]&gt;TODAY()-40)*([1]!Tabel1[[#This Row],[Er i resplan?]]&lt;&gt;"Ja")*([1]!Tabel1[[#This Row],[Status]]="Pågår")</f>
        <v>0</v>
      </c>
      <c r="AG1437" s="12">
        <f ca="1">[1]!Tabel1[[#This Row],[Vægtet Honorar]]*([1]!Tabel1[[#This Row],[Sidst redigeret]]&gt;TODAY()-40)*([1]!Tabel1[[#This Row],[Status]]="Pågår")</f>
        <v>0</v>
      </c>
      <c r="AH1437" s="13">
        <v>45989</v>
      </c>
      <c r="AI1437" s="12"/>
      <c r="AJ1437" s="12"/>
      <c r="AK1437" s="12"/>
      <c r="AL1437" s="12"/>
      <c r="AM1437" s="12"/>
      <c r="AN1437" s="12"/>
      <c r="AO1437" s="12"/>
      <c r="AP1437" s="12"/>
    </row>
    <row r="1438" spans="1:42" ht="30">
      <c r="A1438" t="s">
        <v>5009</v>
      </c>
      <c r="B1438" s="8"/>
      <c r="C1438" s="8" t="s">
        <v>5010</v>
      </c>
      <c r="D1438" s="8" t="s">
        <v>896</v>
      </c>
      <c r="E1438" s="8" t="s">
        <v>94</v>
      </c>
      <c r="F1438" s="8" t="s">
        <v>5011</v>
      </c>
      <c r="G1438" s="8" t="s">
        <v>2679</v>
      </c>
      <c r="H1438" s="9">
        <v>8000000</v>
      </c>
      <c r="I1438" s="9">
        <f>[1]!Tabel1[[#This Row],[Honorar]]*[1]!Tabel1[[#This Row],[Sandsynlighed]]</f>
        <v>100000</v>
      </c>
      <c r="J1438" s="10" t="s">
        <v>341</v>
      </c>
      <c r="K1438" s="1" t="s">
        <v>3601</v>
      </c>
      <c r="L1438" s="17" t="s">
        <v>5012</v>
      </c>
      <c r="M1438" s="11">
        <v>0.01</v>
      </c>
      <c r="N1438" s="1"/>
      <c r="O1438" s="10">
        <v>46279.600532407407</v>
      </c>
      <c r="P1438" s="10" t="s">
        <v>46</v>
      </c>
      <c r="Q1438" s="1" t="s">
        <v>72</v>
      </c>
      <c r="R1438" s="8" t="s">
        <v>49</v>
      </c>
      <c r="S143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3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3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3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3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3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3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3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3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3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3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3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3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38" s="12">
        <f ca="1">[1]!Tabel1[[#This Row],[Vægtet Honorar]]*([1]!Tabel1[[#This Row],[Sidst redigeret]]&gt;TODAY()-40)*([1]!Tabel1[[#This Row],[Er i resplan?]]&lt;&gt;"Ja")*([1]!Tabel1[[#This Row],[Status]]="Pågår")</f>
        <v>0</v>
      </c>
      <c r="AG1438" s="12">
        <f ca="1">[1]!Tabel1[[#This Row],[Vægtet Honorar]]*([1]!Tabel1[[#This Row],[Sidst redigeret]]&gt;TODAY()-40)*([1]!Tabel1[[#This Row],[Status]]="Pågår")</f>
        <v>0</v>
      </c>
      <c r="AH1438" s="13"/>
      <c r="AI1438" s="12"/>
      <c r="AJ1438" s="12"/>
      <c r="AK1438" s="12"/>
      <c r="AL1438" s="12"/>
      <c r="AM1438" s="12"/>
      <c r="AN1438" s="12"/>
      <c r="AO1438" s="12"/>
      <c r="AP1438" s="12"/>
    </row>
    <row r="1439" spans="1:42" ht="30">
      <c r="A1439" t="s">
        <v>5013</v>
      </c>
      <c r="B1439" s="8"/>
      <c r="C1439" s="8" t="s">
        <v>5014</v>
      </c>
      <c r="D1439" s="8" t="s">
        <v>65</v>
      </c>
      <c r="E1439" s="8" t="s">
        <v>167</v>
      </c>
      <c r="F1439" s="8" t="s">
        <v>5015</v>
      </c>
      <c r="G1439" s="8" t="s">
        <v>5015</v>
      </c>
      <c r="H1439" s="9">
        <v>200000</v>
      </c>
      <c r="I1439" s="9">
        <f>[1]!Tabel1[[#This Row],[Honorar]]*[1]!Tabel1[[#This Row],[Sandsynlighed]]</f>
        <v>100000</v>
      </c>
      <c r="J1439" s="10" t="s">
        <v>1191</v>
      </c>
      <c r="K1439" s="1" t="s">
        <v>1191</v>
      </c>
      <c r="L1439" s="17" t="s">
        <v>5016</v>
      </c>
      <c r="M1439" s="11">
        <v>1</v>
      </c>
      <c r="N1439" s="1"/>
      <c r="O1439" s="10">
        <v>46279.600532407407</v>
      </c>
      <c r="P1439" s="10" t="s">
        <v>46</v>
      </c>
      <c r="Q1439" s="1" t="s">
        <v>72</v>
      </c>
      <c r="R1439" s="8" t="s">
        <v>343</v>
      </c>
      <c r="S143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3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3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3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3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3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3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3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3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3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3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3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3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39" s="12">
        <f ca="1">[1]!Tabel1[[#This Row],[Vægtet Honorar]]*([1]!Tabel1[[#This Row],[Sidst redigeret]]&gt;TODAY()-40)*([1]!Tabel1[[#This Row],[Er i resplan?]]&lt;&gt;"Ja")*([1]!Tabel1[[#This Row],[Status]]="Pågår")</f>
        <v>100000</v>
      </c>
      <c r="AG1439" s="12">
        <f ca="1">[1]!Tabel1[[#This Row],[Vægtet Honorar]]*([1]!Tabel1[[#This Row],[Sidst redigeret]]&gt;TODAY()-40)*([1]!Tabel1[[#This Row],[Status]]="Pågår")</f>
        <v>100000</v>
      </c>
      <c r="AH1439" s="13"/>
      <c r="AI1439" s="12"/>
      <c r="AJ1439" s="12"/>
      <c r="AK1439" s="12"/>
      <c r="AL1439" s="12"/>
      <c r="AM1439" s="12"/>
      <c r="AN1439" s="12"/>
      <c r="AO1439" s="12"/>
      <c r="AP1439" s="12"/>
    </row>
    <row r="1440" spans="1:42">
      <c r="A1440" t="s">
        <v>5017</v>
      </c>
      <c r="B1440" s="8"/>
      <c r="C1440" s="8" t="s">
        <v>5018</v>
      </c>
      <c r="D1440" s="8" t="s">
        <v>896</v>
      </c>
      <c r="E1440" s="8" t="s">
        <v>94</v>
      </c>
      <c r="F1440" s="8" t="s">
        <v>5019</v>
      </c>
      <c r="G1440" s="8" t="s">
        <v>1352</v>
      </c>
      <c r="H1440" s="9">
        <v>2275000</v>
      </c>
      <c r="I1440" s="9">
        <f>[1]!Tabel1[[#This Row],[Honorar]]*[1]!Tabel1[[#This Row],[Sandsynlighed]]</f>
        <v>100000</v>
      </c>
      <c r="J1440" s="10" t="s">
        <v>1191</v>
      </c>
      <c r="K1440" s="1" t="s">
        <v>341</v>
      </c>
      <c r="L1440" s="17"/>
      <c r="M1440" s="11">
        <v>0.5</v>
      </c>
      <c r="N1440" s="1">
        <v>300</v>
      </c>
      <c r="O1440" s="10">
        <v>46279.600532407407</v>
      </c>
      <c r="P1440" s="10" t="s">
        <v>46</v>
      </c>
      <c r="Q1440" s="1" t="s">
        <v>72</v>
      </c>
      <c r="R1440" s="8" t="s">
        <v>49</v>
      </c>
      <c r="S144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4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4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4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4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4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4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4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4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4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4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4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4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40" s="12">
        <f ca="1">[1]!Tabel1[[#This Row],[Vægtet Honorar]]*([1]!Tabel1[[#This Row],[Sidst redigeret]]&gt;TODAY()-40)*([1]!Tabel1[[#This Row],[Er i resplan?]]&lt;&gt;"Ja")*([1]!Tabel1[[#This Row],[Status]]="Pågår")</f>
        <v>100000</v>
      </c>
      <c r="AG1440" s="12">
        <f ca="1">[1]!Tabel1[[#This Row],[Vægtet Honorar]]*([1]!Tabel1[[#This Row],[Sidst redigeret]]&gt;TODAY()-40)*([1]!Tabel1[[#This Row],[Status]]="Pågår")</f>
        <v>100000</v>
      </c>
      <c r="AH1440" s="13"/>
      <c r="AI1440" s="12"/>
      <c r="AJ1440" s="12" t="s">
        <v>1352</v>
      </c>
      <c r="AK1440" s="12"/>
      <c r="AL1440" s="12"/>
      <c r="AM1440" s="12"/>
      <c r="AN1440" s="12"/>
      <c r="AO1440" s="12"/>
      <c r="AP1440" s="12"/>
    </row>
    <row r="1441" spans="1:42">
      <c r="A1441" t="s">
        <v>5020</v>
      </c>
      <c r="B1441" s="8"/>
      <c r="C1441" s="8" t="s">
        <v>5021</v>
      </c>
      <c r="D1441" s="8" t="s">
        <v>896</v>
      </c>
      <c r="E1441" s="8" t="s">
        <v>94</v>
      </c>
      <c r="F1441" s="8" t="s">
        <v>2114</v>
      </c>
      <c r="G1441" s="8" t="s">
        <v>2114</v>
      </c>
      <c r="H1441" s="9">
        <v>9600000</v>
      </c>
      <c r="I1441" s="9">
        <f>[1]!Tabel1[[#This Row],[Honorar]]*[1]!Tabel1[[#This Row],[Sandsynlighed]]</f>
        <v>100000</v>
      </c>
      <c r="J1441" s="10" t="s">
        <v>341</v>
      </c>
      <c r="K1441" s="1" t="s">
        <v>1062</v>
      </c>
      <c r="L1441" s="17"/>
      <c r="M1441" s="11">
        <v>0.01</v>
      </c>
      <c r="N1441" s="1"/>
      <c r="O1441" s="10">
        <v>46279.600532407407</v>
      </c>
      <c r="P1441" s="10" t="s">
        <v>46</v>
      </c>
      <c r="Q1441" s="1" t="s">
        <v>72</v>
      </c>
      <c r="R1441" s="8" t="s">
        <v>49</v>
      </c>
      <c r="S144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4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4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4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4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4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4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4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4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4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4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4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4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41" s="12">
        <f ca="1">[1]!Tabel1[[#This Row],[Vægtet Honorar]]*([1]!Tabel1[[#This Row],[Sidst redigeret]]&gt;TODAY()-40)*([1]!Tabel1[[#This Row],[Er i resplan?]]&lt;&gt;"Ja")*([1]!Tabel1[[#This Row],[Status]]="Pågår")</f>
        <v>0</v>
      </c>
      <c r="AG1441" s="12">
        <f ca="1">[1]!Tabel1[[#This Row],[Vægtet Honorar]]*([1]!Tabel1[[#This Row],[Sidst redigeret]]&gt;TODAY()-40)*([1]!Tabel1[[#This Row],[Status]]="Pågår")</f>
        <v>0</v>
      </c>
      <c r="AH1441" s="13"/>
      <c r="AI1441" s="12"/>
      <c r="AJ1441" s="12"/>
      <c r="AK1441" s="12"/>
      <c r="AL1441" s="12"/>
      <c r="AM1441" s="12"/>
      <c r="AN1441" s="12"/>
      <c r="AO1441" s="12"/>
      <c r="AP1441" s="12"/>
    </row>
    <row r="1442" spans="1:42" ht="45">
      <c r="A1442" t="s">
        <v>5022</v>
      </c>
      <c r="B1442" s="8"/>
      <c r="C1442" s="8" t="s">
        <v>5023</v>
      </c>
      <c r="D1442" s="8" t="s">
        <v>1771</v>
      </c>
      <c r="E1442" s="8" t="s">
        <v>167</v>
      </c>
      <c r="F1442" s="8" t="s">
        <v>5024</v>
      </c>
      <c r="G1442" s="8" t="s">
        <v>5025</v>
      </c>
      <c r="H1442" s="9">
        <v>5000000</v>
      </c>
      <c r="I1442" s="9">
        <f>[1]!Tabel1[[#This Row],[Honorar]]*[1]!Tabel1[[#This Row],[Sandsynlighed]]</f>
        <v>0</v>
      </c>
      <c r="J1442" s="10" t="s">
        <v>2624</v>
      </c>
      <c r="K1442" s="1" t="s">
        <v>2093</v>
      </c>
      <c r="L1442" s="17" t="s">
        <v>5026</v>
      </c>
      <c r="M1442" s="11">
        <v>0.01</v>
      </c>
      <c r="N1442" s="1" t="s">
        <v>2130</v>
      </c>
      <c r="O1442" s="10">
        <v>46279.600532407407</v>
      </c>
      <c r="P1442" s="10"/>
      <c r="Q1442" s="1" t="s">
        <v>72</v>
      </c>
      <c r="R1442" s="8" t="s">
        <v>343</v>
      </c>
      <c r="S144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4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4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4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4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4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4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4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4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4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4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4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4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42" s="12">
        <f ca="1">[1]!Tabel1[[#This Row],[Vægtet Honorar]]*([1]!Tabel1[[#This Row],[Sidst redigeret]]&gt;TODAY()-40)*([1]!Tabel1[[#This Row],[Er i resplan?]]&lt;&gt;"Ja")*([1]!Tabel1[[#This Row],[Status]]="Pågår")</f>
        <v>0</v>
      </c>
      <c r="AG1442" s="12">
        <f ca="1">[1]!Tabel1[[#This Row],[Vægtet Honorar]]*([1]!Tabel1[[#This Row],[Sidst redigeret]]&gt;TODAY()-40)*([1]!Tabel1[[#This Row],[Status]]="Pågår")</f>
        <v>0</v>
      </c>
      <c r="AH1442" s="13"/>
      <c r="AI1442" s="12"/>
      <c r="AJ1442" s="12" t="s">
        <v>4469</v>
      </c>
      <c r="AK1442" s="12"/>
      <c r="AL1442" s="12"/>
      <c r="AM1442" s="12"/>
      <c r="AN1442" s="12"/>
      <c r="AO1442" s="12"/>
      <c r="AP1442" s="12"/>
    </row>
    <row r="1443" spans="1:42">
      <c r="A1443" t="s">
        <v>5027</v>
      </c>
      <c r="B1443" s="8"/>
      <c r="C1443" s="8" t="s">
        <v>5028</v>
      </c>
      <c r="D1443" s="8" t="s">
        <v>1468</v>
      </c>
      <c r="E1443" s="8" t="s">
        <v>167</v>
      </c>
      <c r="F1443" s="8" t="s">
        <v>5029</v>
      </c>
      <c r="G1443" s="8" t="s">
        <v>5030</v>
      </c>
      <c r="H1443" s="9">
        <v>75000</v>
      </c>
      <c r="I1443" s="9">
        <f>[1]!Tabel1[[#This Row],[Honorar]]*[1]!Tabel1[[#This Row],[Sandsynlighed]]</f>
        <v>80000</v>
      </c>
      <c r="J1443" s="10" t="s">
        <v>341</v>
      </c>
      <c r="K1443" s="1" t="s">
        <v>1310</v>
      </c>
      <c r="L1443" s="17"/>
      <c r="M1443" s="11">
        <v>0.5</v>
      </c>
      <c r="N1443" s="1"/>
      <c r="O1443" s="10">
        <v>46279.600532407407</v>
      </c>
      <c r="P1443" s="10"/>
      <c r="Q1443" s="1" t="s">
        <v>46</v>
      </c>
      <c r="R1443" s="8" t="s">
        <v>343</v>
      </c>
      <c r="S144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4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4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4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4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4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4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4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4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4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4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4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4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43" s="12">
        <f ca="1">[1]!Tabel1[[#This Row],[Vægtet Honorar]]*([1]!Tabel1[[#This Row],[Sidst redigeret]]&gt;TODAY()-40)*([1]!Tabel1[[#This Row],[Er i resplan?]]&lt;&gt;"Ja")*([1]!Tabel1[[#This Row],[Status]]="Pågår")</f>
        <v>0</v>
      </c>
      <c r="AG1443" s="12">
        <f ca="1">[1]!Tabel1[[#This Row],[Vægtet Honorar]]*([1]!Tabel1[[#This Row],[Sidst redigeret]]&gt;TODAY()-40)*([1]!Tabel1[[#This Row],[Status]]="Pågår")</f>
        <v>0</v>
      </c>
      <c r="AH1443" s="13"/>
      <c r="AI1443" s="12"/>
      <c r="AJ1443" s="12"/>
      <c r="AK1443" s="12"/>
      <c r="AL1443" s="12"/>
      <c r="AM1443" s="12"/>
      <c r="AN1443" s="12"/>
      <c r="AO1443" s="12"/>
      <c r="AP1443" s="12"/>
    </row>
    <row r="1444" spans="1:42" ht="30">
      <c r="A1444" t="s">
        <v>5031</v>
      </c>
      <c r="B1444" s="8"/>
      <c r="C1444" s="8" t="s">
        <v>5032</v>
      </c>
      <c r="D1444" s="8" t="s">
        <v>581</v>
      </c>
      <c r="E1444" s="8" t="s">
        <v>94</v>
      </c>
      <c r="F1444" s="8" t="s">
        <v>1735</v>
      </c>
      <c r="G1444" s="8" t="s">
        <v>5033</v>
      </c>
      <c r="H1444" s="9">
        <v>210000</v>
      </c>
      <c r="I1444" s="9">
        <f>[1]!Tabel1[[#This Row],[Honorar]]*[1]!Tabel1[[#This Row],[Sandsynlighed]]</f>
        <v>200000</v>
      </c>
      <c r="J1444" s="10" t="s">
        <v>1191</v>
      </c>
      <c r="K1444" s="1" t="s">
        <v>341</v>
      </c>
      <c r="L1444" s="17" t="s">
        <v>5034</v>
      </c>
      <c r="M1444" s="11">
        <v>0.3</v>
      </c>
      <c r="N1444" s="1" t="s">
        <v>5035</v>
      </c>
      <c r="O1444" s="10">
        <v>46279.600532407407</v>
      </c>
      <c r="P1444" s="10" t="s">
        <v>46</v>
      </c>
      <c r="Q1444" s="1" t="s">
        <v>46</v>
      </c>
      <c r="R1444" s="8" t="s">
        <v>47</v>
      </c>
      <c r="S144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4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4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4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4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4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4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4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4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4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4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4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4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44" s="12">
        <f ca="1">[1]!Tabel1[[#This Row],[Vægtet Honorar]]*([1]!Tabel1[[#This Row],[Sidst redigeret]]&gt;TODAY()-40)*([1]!Tabel1[[#This Row],[Er i resplan?]]&lt;&gt;"Ja")*([1]!Tabel1[[#This Row],[Status]]="Pågår")</f>
        <v>200000</v>
      </c>
      <c r="AG1444" s="12">
        <f ca="1">[1]!Tabel1[[#This Row],[Vægtet Honorar]]*([1]!Tabel1[[#This Row],[Sidst redigeret]]&gt;TODAY()-40)*([1]!Tabel1[[#This Row],[Status]]="Pågår")</f>
        <v>200000</v>
      </c>
      <c r="AH1444" s="13">
        <v>45978.363807870373</v>
      </c>
      <c r="AI1444" s="12"/>
      <c r="AJ1444" s="12"/>
      <c r="AK1444" s="12"/>
      <c r="AL1444" s="12"/>
      <c r="AM1444" s="12"/>
      <c r="AN1444" s="12"/>
      <c r="AO1444" s="12"/>
      <c r="AP1444" s="12"/>
    </row>
    <row r="1445" spans="1:42" ht="60">
      <c r="A1445" t="s">
        <v>5036</v>
      </c>
      <c r="B1445" s="8"/>
      <c r="C1445" s="8" t="s">
        <v>5037</v>
      </c>
      <c r="D1445" s="8" t="s">
        <v>980</v>
      </c>
      <c r="E1445" s="8" t="s">
        <v>71</v>
      </c>
      <c r="F1445" s="8" t="s">
        <v>2118</v>
      </c>
      <c r="G1445" s="8" t="s">
        <v>2118</v>
      </c>
      <c r="H1445" s="9">
        <v>30000</v>
      </c>
      <c r="I1445" s="9">
        <f>[1]!Tabel1[[#This Row],[Honorar]]*[1]!Tabel1[[#This Row],[Sandsynlighed]]</f>
        <v>1137500</v>
      </c>
      <c r="J1445" s="10" t="s">
        <v>1191</v>
      </c>
      <c r="K1445" s="1" t="s">
        <v>341</v>
      </c>
      <c r="L1445" s="17" t="s">
        <v>5038</v>
      </c>
      <c r="M1445" s="11">
        <v>1</v>
      </c>
      <c r="N1445" s="1">
        <v>1500</v>
      </c>
      <c r="O1445" s="10">
        <v>46279.600532407407</v>
      </c>
      <c r="P1445" s="10"/>
      <c r="Q1445" s="1" t="s">
        <v>4507</v>
      </c>
      <c r="R1445" s="8" t="s">
        <v>47</v>
      </c>
      <c r="S144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4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4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4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4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4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4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4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4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4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4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4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4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45" s="12">
        <f ca="1">[1]!Tabel1[[#This Row],[Vægtet Honorar]]*([1]!Tabel1[[#This Row],[Sidst redigeret]]&gt;TODAY()-40)*([1]!Tabel1[[#This Row],[Er i resplan?]]&lt;&gt;"Ja")*([1]!Tabel1[[#This Row],[Status]]="Pågår")</f>
        <v>0</v>
      </c>
      <c r="AG1445" s="12">
        <f ca="1">[1]!Tabel1[[#This Row],[Vægtet Honorar]]*([1]!Tabel1[[#This Row],[Sidst redigeret]]&gt;TODAY()-40)*([1]!Tabel1[[#This Row],[Status]]="Pågår")</f>
        <v>0</v>
      </c>
      <c r="AH1445" s="13">
        <v>45993.408946759257</v>
      </c>
      <c r="AI1445" s="12"/>
      <c r="AJ1445" s="12"/>
      <c r="AK1445" s="12"/>
      <c r="AL1445" s="12"/>
      <c r="AM1445" s="12"/>
      <c r="AN1445" s="12"/>
      <c r="AO1445" s="12"/>
      <c r="AP1445" s="12"/>
    </row>
    <row r="1446" spans="1:42">
      <c r="A1446" t="s">
        <v>5039</v>
      </c>
      <c r="B1446" s="8"/>
      <c r="C1446" s="8" t="s">
        <v>5040</v>
      </c>
      <c r="D1446" s="8" t="s">
        <v>158</v>
      </c>
      <c r="E1446" s="8" t="s">
        <v>167</v>
      </c>
      <c r="F1446" s="8" t="s">
        <v>5040</v>
      </c>
      <c r="G1446" s="8" t="s">
        <v>5040</v>
      </c>
      <c r="H1446" s="9">
        <v>1000000</v>
      </c>
      <c r="I1446" s="9">
        <f>[1]!Tabel1[[#This Row],[Honorar]]*[1]!Tabel1[[#This Row],[Sandsynlighed]]</f>
        <v>96000</v>
      </c>
      <c r="J1446" s="10" t="s">
        <v>341</v>
      </c>
      <c r="K1446" s="1" t="s">
        <v>342</v>
      </c>
      <c r="L1446" s="17"/>
      <c r="M1446" s="11">
        <v>0.01</v>
      </c>
      <c r="N1446" s="1"/>
      <c r="O1446" s="10">
        <v>46279.600532407407</v>
      </c>
      <c r="P1446" s="10"/>
      <c r="Q1446" s="1" t="s">
        <v>72</v>
      </c>
      <c r="R1446" s="8" t="s">
        <v>343</v>
      </c>
      <c r="S144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4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4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4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4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4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4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4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4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4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4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4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4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46" s="12">
        <f ca="1">[1]!Tabel1[[#This Row],[Vægtet Honorar]]*([1]!Tabel1[[#This Row],[Sidst redigeret]]&gt;TODAY()-40)*([1]!Tabel1[[#This Row],[Er i resplan?]]&lt;&gt;"Ja")*([1]!Tabel1[[#This Row],[Status]]="Pågår")</f>
        <v>0</v>
      </c>
      <c r="AG1446" s="12">
        <f ca="1">[1]!Tabel1[[#This Row],[Vægtet Honorar]]*([1]!Tabel1[[#This Row],[Sidst redigeret]]&gt;TODAY()-40)*([1]!Tabel1[[#This Row],[Status]]="Pågår")</f>
        <v>0</v>
      </c>
      <c r="AH1446" s="13"/>
      <c r="AI1446" s="12"/>
      <c r="AJ1446" s="12" t="s">
        <v>5041</v>
      </c>
      <c r="AK1446" s="12" t="s">
        <v>5042</v>
      </c>
      <c r="AL1446" s="12"/>
      <c r="AM1446" s="12"/>
      <c r="AN1446" s="12"/>
      <c r="AO1446" s="12"/>
      <c r="AP1446" s="12"/>
    </row>
    <row r="1447" spans="1:42">
      <c r="A1447" t="s">
        <v>5043</v>
      </c>
      <c r="B1447" s="8"/>
      <c r="C1447" s="8" t="s">
        <v>5044</v>
      </c>
      <c r="D1447" s="8" t="s">
        <v>1468</v>
      </c>
      <c r="E1447" s="8" t="s">
        <v>167</v>
      </c>
      <c r="F1447" s="8" t="s">
        <v>5045</v>
      </c>
      <c r="G1447" s="8" t="s">
        <v>5045</v>
      </c>
      <c r="H1447" s="9">
        <v>545000</v>
      </c>
      <c r="I1447" s="9">
        <f>[1]!Tabel1[[#This Row],[Honorar]]*[1]!Tabel1[[#This Row],[Sandsynlighed]]</f>
        <v>50000</v>
      </c>
      <c r="J1447" s="10" t="s">
        <v>341</v>
      </c>
      <c r="K1447" s="1" t="s">
        <v>342</v>
      </c>
      <c r="L1447" s="17"/>
      <c r="M1447" s="11">
        <v>0.95</v>
      </c>
      <c r="N1447" s="1"/>
      <c r="O1447" s="10">
        <v>46279.600532407407</v>
      </c>
      <c r="P1447" s="10" t="s">
        <v>46</v>
      </c>
      <c r="Q1447" s="1" t="s">
        <v>46</v>
      </c>
      <c r="R1447" s="8" t="s">
        <v>47</v>
      </c>
      <c r="S144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4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4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4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4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4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4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4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4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4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4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4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4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47" s="12">
        <f ca="1">[1]!Tabel1[[#This Row],[Vægtet Honorar]]*([1]!Tabel1[[#This Row],[Sidst redigeret]]&gt;TODAY()-40)*([1]!Tabel1[[#This Row],[Er i resplan?]]&lt;&gt;"Ja")*([1]!Tabel1[[#This Row],[Status]]="Pågår")</f>
        <v>50000</v>
      </c>
      <c r="AG1447" s="12">
        <f ca="1">[1]!Tabel1[[#This Row],[Vægtet Honorar]]*([1]!Tabel1[[#This Row],[Sidst redigeret]]&gt;TODAY()-40)*([1]!Tabel1[[#This Row],[Status]]="Pågår")</f>
        <v>50000</v>
      </c>
      <c r="AH1447" s="13">
        <v>45968.59815972222</v>
      </c>
      <c r="AI1447" s="12"/>
      <c r="AJ1447" s="12"/>
      <c r="AK1447" s="12"/>
      <c r="AL1447" s="12"/>
      <c r="AM1447" s="12"/>
      <c r="AN1447" s="12"/>
      <c r="AO1447" s="12"/>
      <c r="AP1447" s="12"/>
    </row>
    <row r="1448" spans="1:42">
      <c r="A1448" t="s">
        <v>5046</v>
      </c>
      <c r="B1448" s="8"/>
      <c r="C1448" s="8" t="s">
        <v>5047</v>
      </c>
      <c r="D1448" s="8" t="s">
        <v>720</v>
      </c>
      <c r="E1448" s="8" t="s">
        <v>71</v>
      </c>
      <c r="F1448" s="8" t="s">
        <v>788</v>
      </c>
      <c r="G1448" s="8" t="s">
        <v>788</v>
      </c>
      <c r="H1448" s="9">
        <v>500000</v>
      </c>
      <c r="I1448" s="9">
        <f>[1]!Tabel1[[#This Row],[Honorar]]*[1]!Tabel1[[#This Row],[Sandsynlighed]]</f>
        <v>37500</v>
      </c>
      <c r="J1448" s="10" t="s">
        <v>341</v>
      </c>
      <c r="K1448" s="1" t="s">
        <v>342</v>
      </c>
      <c r="L1448" s="17"/>
      <c r="M1448" s="11">
        <v>0.05</v>
      </c>
      <c r="N1448" s="1">
        <v>400</v>
      </c>
      <c r="O1448" s="10">
        <v>46279.600532407407</v>
      </c>
      <c r="P1448" s="10" t="s">
        <v>46</v>
      </c>
      <c r="Q1448" s="1" t="s">
        <v>72</v>
      </c>
      <c r="R1448" s="8" t="s">
        <v>343</v>
      </c>
      <c r="S144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4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4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4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4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4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4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4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4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4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4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4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4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48" s="12">
        <f ca="1">[1]!Tabel1[[#This Row],[Vægtet Honorar]]*([1]!Tabel1[[#This Row],[Sidst redigeret]]&gt;TODAY()-40)*([1]!Tabel1[[#This Row],[Er i resplan?]]&lt;&gt;"Ja")*([1]!Tabel1[[#This Row],[Status]]="Pågår")</f>
        <v>0</v>
      </c>
      <c r="AG1448" s="12">
        <f ca="1">[1]!Tabel1[[#This Row],[Vægtet Honorar]]*([1]!Tabel1[[#This Row],[Sidst redigeret]]&gt;TODAY()-40)*([1]!Tabel1[[#This Row],[Status]]="Pågår")</f>
        <v>37500</v>
      </c>
      <c r="AH1448" s="13"/>
      <c r="AI1448" s="12"/>
      <c r="AJ1448" s="12"/>
      <c r="AK1448" s="12"/>
      <c r="AL1448" s="12"/>
      <c r="AM1448" s="12"/>
      <c r="AN1448" s="12"/>
      <c r="AO1448" s="12"/>
      <c r="AP1448" s="12"/>
    </row>
    <row r="1449" spans="1:42">
      <c r="A1449" t="s">
        <v>5048</v>
      </c>
      <c r="B1449" s="8"/>
      <c r="C1449" s="8" t="s">
        <v>5049</v>
      </c>
      <c r="D1449" s="8" t="s">
        <v>896</v>
      </c>
      <c r="E1449" s="8" t="s">
        <v>94</v>
      </c>
      <c r="F1449" s="8" t="s">
        <v>5050</v>
      </c>
      <c r="G1449" s="8" t="s">
        <v>2107</v>
      </c>
      <c r="H1449" s="9">
        <v>5000000</v>
      </c>
      <c r="I1449" s="9">
        <f>[1]!Tabel1[[#This Row],[Honorar]]*[1]!Tabel1[[#This Row],[Sandsynlighed]]</f>
        <v>63000</v>
      </c>
      <c r="J1449" s="10" t="s">
        <v>341</v>
      </c>
      <c r="K1449" s="1" t="s">
        <v>342</v>
      </c>
      <c r="L1449" s="17"/>
      <c r="M1449" s="11">
        <v>0.01</v>
      </c>
      <c r="N1449" s="1"/>
      <c r="O1449" s="10">
        <v>46279.600532407407</v>
      </c>
      <c r="P1449" s="10" t="s">
        <v>46</v>
      </c>
      <c r="Q1449" s="1" t="s">
        <v>72</v>
      </c>
      <c r="R1449" s="8" t="s">
        <v>49</v>
      </c>
      <c r="S144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4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4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4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4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4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4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4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4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4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4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4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4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49" s="12">
        <f ca="1">[1]!Tabel1[[#This Row],[Vægtet Honorar]]*([1]!Tabel1[[#This Row],[Sidst redigeret]]&gt;TODAY()-40)*([1]!Tabel1[[#This Row],[Er i resplan?]]&lt;&gt;"Ja")*([1]!Tabel1[[#This Row],[Status]]="Pågår")</f>
        <v>0</v>
      </c>
      <c r="AG1449" s="12">
        <f ca="1">[1]!Tabel1[[#This Row],[Vægtet Honorar]]*([1]!Tabel1[[#This Row],[Sidst redigeret]]&gt;TODAY()-40)*([1]!Tabel1[[#This Row],[Status]]="Pågår")</f>
        <v>0</v>
      </c>
      <c r="AH1449" s="13"/>
      <c r="AI1449" s="12"/>
      <c r="AJ1449" s="12" t="s">
        <v>2107</v>
      </c>
      <c r="AK1449" s="12"/>
      <c r="AL1449" s="12"/>
      <c r="AM1449" s="12"/>
      <c r="AN1449" s="12"/>
      <c r="AO1449" s="12"/>
      <c r="AP1449" s="12"/>
    </row>
    <row r="1450" spans="1:42" ht="30">
      <c r="A1450" t="s">
        <v>5051</v>
      </c>
      <c r="B1450" s="8"/>
      <c r="C1450" s="8" t="s">
        <v>5052</v>
      </c>
      <c r="D1450" s="8" t="s">
        <v>134</v>
      </c>
      <c r="E1450" s="8" t="s">
        <v>94</v>
      </c>
      <c r="F1450" s="8" t="s">
        <v>5053</v>
      </c>
      <c r="G1450" s="8" t="s">
        <v>2269</v>
      </c>
      <c r="H1450" s="9">
        <v>55000</v>
      </c>
      <c r="I1450" s="9">
        <f>[1]!Tabel1[[#This Row],[Honorar]]*[1]!Tabel1[[#This Row],[Sandsynlighed]]</f>
        <v>30000</v>
      </c>
      <c r="J1450" s="10" t="s">
        <v>1191</v>
      </c>
      <c r="K1450" s="1" t="s">
        <v>341</v>
      </c>
      <c r="L1450" s="17" t="s">
        <v>5054</v>
      </c>
      <c r="M1450" s="11">
        <v>1</v>
      </c>
      <c r="N1450" s="1" t="s">
        <v>3819</v>
      </c>
      <c r="O1450" s="10">
        <v>46279.600532407407</v>
      </c>
      <c r="P1450" s="10" t="s">
        <v>46</v>
      </c>
      <c r="Q1450" s="1" t="s">
        <v>72</v>
      </c>
      <c r="R1450" s="8" t="s">
        <v>47</v>
      </c>
      <c r="S145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5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5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5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5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5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5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5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5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5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5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5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5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50" s="12">
        <f ca="1">[1]!Tabel1[[#This Row],[Vægtet Honorar]]*([1]!Tabel1[[#This Row],[Sidst redigeret]]&gt;TODAY()-40)*([1]!Tabel1[[#This Row],[Er i resplan?]]&lt;&gt;"Ja")*([1]!Tabel1[[#This Row],[Status]]="Pågår")</f>
        <v>0</v>
      </c>
      <c r="AG1450" s="12">
        <f ca="1">[1]!Tabel1[[#This Row],[Vægtet Honorar]]*([1]!Tabel1[[#This Row],[Sidst redigeret]]&gt;TODAY()-40)*([1]!Tabel1[[#This Row],[Status]]="Pågår")</f>
        <v>0</v>
      </c>
      <c r="AH1450" s="13">
        <v>46051.899699074071</v>
      </c>
      <c r="AI1450" s="12"/>
      <c r="AJ1450" s="12"/>
      <c r="AK1450" s="12"/>
      <c r="AL1450" s="12"/>
      <c r="AM1450" s="12"/>
      <c r="AN1450" s="12"/>
      <c r="AO1450" s="12"/>
      <c r="AP1450" s="12"/>
    </row>
    <row r="1451" spans="1:42" ht="75">
      <c r="A1451" t="s">
        <v>5055</v>
      </c>
      <c r="B1451" s="8"/>
      <c r="C1451" s="8" t="s">
        <v>5056</v>
      </c>
      <c r="D1451" s="8" t="s">
        <v>134</v>
      </c>
      <c r="E1451" s="8" t="s">
        <v>94</v>
      </c>
      <c r="F1451" s="8" t="s">
        <v>5057</v>
      </c>
      <c r="G1451" s="8" t="s">
        <v>5058</v>
      </c>
      <c r="H1451" s="9">
        <v>2000000</v>
      </c>
      <c r="I1451" s="9">
        <f>[1]!Tabel1[[#This Row],[Honorar]]*[1]!Tabel1[[#This Row],[Sandsynlighed]]</f>
        <v>10000</v>
      </c>
      <c r="J1451" s="10" t="s">
        <v>1191</v>
      </c>
      <c r="K1451" s="1" t="s">
        <v>342</v>
      </c>
      <c r="L1451" s="17" t="s">
        <v>5059</v>
      </c>
      <c r="M1451" s="11">
        <v>1</v>
      </c>
      <c r="N1451" s="1" t="s">
        <v>5060</v>
      </c>
      <c r="O1451" s="10">
        <v>46279.600532407407</v>
      </c>
      <c r="P1451" s="10" t="s">
        <v>46</v>
      </c>
      <c r="Q1451" s="1" t="s">
        <v>1557</v>
      </c>
      <c r="R1451" s="8" t="s">
        <v>47</v>
      </c>
      <c r="S145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5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5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5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5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5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5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5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5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5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5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5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5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51" s="12">
        <f ca="1">[1]!Tabel1[[#This Row],[Vægtet Honorar]]*([1]!Tabel1[[#This Row],[Sidst redigeret]]&gt;TODAY()-40)*([1]!Tabel1[[#This Row],[Er i resplan?]]&lt;&gt;"Ja")*([1]!Tabel1[[#This Row],[Status]]="Pågår")</f>
        <v>10000</v>
      </c>
      <c r="AG1451" s="12">
        <f ca="1">[1]!Tabel1[[#This Row],[Vægtet Honorar]]*([1]!Tabel1[[#This Row],[Sidst redigeret]]&gt;TODAY()-40)*([1]!Tabel1[[#This Row],[Status]]="Pågår")</f>
        <v>10000</v>
      </c>
      <c r="AH1451" s="13">
        <v>46062.423993055556</v>
      </c>
      <c r="AI1451" s="12"/>
      <c r="AJ1451" s="12"/>
      <c r="AK1451" s="12"/>
      <c r="AL1451" s="12"/>
      <c r="AM1451" s="12"/>
      <c r="AN1451" s="12"/>
      <c r="AO1451" s="12"/>
      <c r="AP1451" s="12"/>
    </row>
    <row r="1452" spans="1:42">
      <c r="A1452" t="s">
        <v>5061</v>
      </c>
      <c r="B1452" s="8">
        <v>251340</v>
      </c>
      <c r="C1452" s="8" t="s">
        <v>5062</v>
      </c>
      <c r="D1452" s="8" t="s">
        <v>5063</v>
      </c>
      <c r="E1452" s="8" t="s">
        <v>102</v>
      </c>
      <c r="F1452" s="8" t="s">
        <v>5064</v>
      </c>
      <c r="G1452" s="8" t="s">
        <v>5065</v>
      </c>
      <c r="H1452" s="9">
        <v>150000</v>
      </c>
      <c r="I1452" s="9">
        <f>[1]!Tabel1[[#This Row],[Honorar]]*[1]!Tabel1[[#This Row],[Sandsynlighed]]</f>
        <v>517750</v>
      </c>
      <c r="J1452" s="10" t="s">
        <v>1191</v>
      </c>
      <c r="K1452" s="1" t="s">
        <v>1310</v>
      </c>
      <c r="L1452" s="17"/>
      <c r="M1452" s="11">
        <v>1</v>
      </c>
      <c r="N1452" s="1"/>
      <c r="O1452" s="10">
        <v>46279.600532407407</v>
      </c>
      <c r="P1452" s="10" t="s">
        <v>46</v>
      </c>
      <c r="Q1452" s="1" t="s">
        <v>4507</v>
      </c>
      <c r="R1452" s="8" t="s">
        <v>47</v>
      </c>
      <c r="S145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5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5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5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5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5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5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5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5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5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5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5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5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52" s="12">
        <f ca="1">[1]!Tabel1[[#This Row],[Vægtet Honorar]]*([1]!Tabel1[[#This Row],[Sidst redigeret]]&gt;TODAY()-40)*([1]!Tabel1[[#This Row],[Er i resplan?]]&lt;&gt;"Ja")*([1]!Tabel1[[#This Row],[Status]]="Pågår")</f>
        <v>0</v>
      </c>
      <c r="AG1452" s="12">
        <f ca="1">[1]!Tabel1[[#This Row],[Vægtet Honorar]]*([1]!Tabel1[[#This Row],[Sidst redigeret]]&gt;TODAY()-40)*([1]!Tabel1[[#This Row],[Status]]="Pågår")</f>
        <v>0</v>
      </c>
      <c r="AH1452" s="13">
        <v>45968.585428240738</v>
      </c>
      <c r="AI1452" s="12"/>
      <c r="AJ1452" s="12"/>
      <c r="AK1452" s="12"/>
      <c r="AL1452" s="12"/>
      <c r="AM1452" s="12"/>
      <c r="AN1452" s="12"/>
      <c r="AO1452" s="12"/>
      <c r="AP1452" s="12"/>
    </row>
    <row r="1453" spans="1:42">
      <c r="A1453" t="s">
        <v>5066</v>
      </c>
      <c r="B1453" s="8"/>
      <c r="C1453" s="8" t="s">
        <v>5067</v>
      </c>
      <c r="D1453" s="8" t="s">
        <v>158</v>
      </c>
      <c r="E1453" s="8" t="s">
        <v>167</v>
      </c>
      <c r="F1453" s="8" t="s">
        <v>2450</v>
      </c>
      <c r="G1453" s="8" t="s">
        <v>2450</v>
      </c>
      <c r="H1453" s="9">
        <v>150000</v>
      </c>
      <c r="I1453" s="9">
        <f>[1]!Tabel1[[#This Row],[Honorar]]*[1]!Tabel1[[#This Row],[Sandsynlighed]]</f>
        <v>25000</v>
      </c>
      <c r="J1453" s="10" t="s">
        <v>341</v>
      </c>
      <c r="K1453" s="1" t="s">
        <v>1861</v>
      </c>
      <c r="L1453" s="17"/>
      <c r="M1453" s="11">
        <v>0.3</v>
      </c>
      <c r="N1453" s="1"/>
      <c r="O1453" s="10">
        <v>46279.600532407407</v>
      </c>
      <c r="P1453" s="10" t="s">
        <v>46</v>
      </c>
      <c r="Q1453" s="1" t="s">
        <v>72</v>
      </c>
      <c r="R1453" s="8" t="s">
        <v>49</v>
      </c>
      <c r="S145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5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5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5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5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5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5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5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5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5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5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5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5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53" s="12">
        <f ca="1">[1]!Tabel1[[#This Row],[Vægtet Honorar]]*([1]!Tabel1[[#This Row],[Sidst redigeret]]&gt;TODAY()-40)*([1]!Tabel1[[#This Row],[Er i resplan?]]&lt;&gt;"Ja")*([1]!Tabel1[[#This Row],[Status]]="Pågår")</f>
        <v>25000</v>
      </c>
      <c r="AG1453" s="12">
        <f ca="1">[1]!Tabel1[[#This Row],[Vægtet Honorar]]*([1]!Tabel1[[#This Row],[Sidst redigeret]]&gt;TODAY()-40)*([1]!Tabel1[[#This Row],[Status]]="Pågår")</f>
        <v>25000</v>
      </c>
      <c r="AH1453" s="13"/>
      <c r="AI1453" s="12"/>
      <c r="AJ1453" s="12"/>
      <c r="AK1453" s="12"/>
      <c r="AL1453" s="12"/>
      <c r="AM1453" s="12"/>
      <c r="AN1453" s="12"/>
      <c r="AO1453" s="12"/>
      <c r="AP1453" s="12"/>
    </row>
    <row r="1454" spans="1:42" ht="60">
      <c r="A1454" t="s">
        <v>5068</v>
      </c>
      <c r="B1454" s="8"/>
      <c r="C1454" s="8" t="s">
        <v>5069</v>
      </c>
      <c r="D1454" s="8" t="s">
        <v>134</v>
      </c>
      <c r="E1454" s="8" t="s">
        <v>94</v>
      </c>
      <c r="F1454" s="8" t="s">
        <v>5070</v>
      </c>
      <c r="G1454" s="8" t="s">
        <v>5070</v>
      </c>
      <c r="H1454" s="9">
        <v>7500</v>
      </c>
      <c r="I1454" s="9">
        <f>[1]!Tabel1[[#This Row],[Honorar]]*[1]!Tabel1[[#This Row],[Sandsynlighed]]</f>
        <v>50000</v>
      </c>
      <c r="J1454" s="10" t="s">
        <v>1191</v>
      </c>
      <c r="K1454" s="1" t="s">
        <v>1191</v>
      </c>
      <c r="L1454" s="17" t="s">
        <v>5071</v>
      </c>
      <c r="M1454" s="11">
        <v>0.9</v>
      </c>
      <c r="N1454" s="1"/>
      <c r="O1454" s="10">
        <v>46279.600532407407</v>
      </c>
      <c r="P1454" s="10" t="s">
        <v>46</v>
      </c>
      <c r="Q1454" s="1" t="s">
        <v>72</v>
      </c>
      <c r="R1454" s="8" t="s">
        <v>49</v>
      </c>
      <c r="S145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5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5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5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5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5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5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5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5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5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5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5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5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54" s="12">
        <f ca="1">[1]!Tabel1[[#This Row],[Vægtet Honorar]]*([1]!Tabel1[[#This Row],[Sidst redigeret]]&gt;TODAY()-40)*([1]!Tabel1[[#This Row],[Er i resplan?]]&lt;&gt;"Ja")*([1]!Tabel1[[#This Row],[Status]]="Pågår")</f>
        <v>0</v>
      </c>
      <c r="AG1454" s="12">
        <f ca="1">[1]!Tabel1[[#This Row],[Vægtet Honorar]]*([1]!Tabel1[[#This Row],[Sidst redigeret]]&gt;TODAY()-40)*([1]!Tabel1[[#This Row],[Status]]="Pågår")</f>
        <v>0</v>
      </c>
      <c r="AH1454" s="13"/>
      <c r="AI1454" s="12"/>
      <c r="AJ1454" s="12"/>
      <c r="AK1454" s="12"/>
      <c r="AL1454" s="12"/>
      <c r="AM1454" s="12"/>
      <c r="AN1454" s="12"/>
      <c r="AO1454" s="12"/>
      <c r="AP1454" s="12"/>
    </row>
    <row r="1455" spans="1:42" ht="180">
      <c r="A1455" t="s">
        <v>5072</v>
      </c>
      <c r="B1455" s="8"/>
      <c r="C1455" s="8" t="s">
        <v>5073</v>
      </c>
      <c r="D1455" s="8" t="s">
        <v>896</v>
      </c>
      <c r="E1455" s="8" t="s">
        <v>94</v>
      </c>
      <c r="F1455" s="8" t="s">
        <v>5074</v>
      </c>
      <c r="G1455" s="8" t="s">
        <v>2426</v>
      </c>
      <c r="H1455" s="9">
        <v>50000000</v>
      </c>
      <c r="I1455" s="9">
        <f>[1]!Tabel1[[#This Row],[Honorar]]*[1]!Tabel1[[#This Row],[Sandsynlighed]]</f>
        <v>55000</v>
      </c>
      <c r="J1455" s="10" t="s">
        <v>1062</v>
      </c>
      <c r="K1455" s="1" t="s">
        <v>4300</v>
      </c>
      <c r="L1455" s="17" t="s">
        <v>5076</v>
      </c>
      <c r="M1455" s="11">
        <v>0.1</v>
      </c>
      <c r="N1455" s="1"/>
      <c r="O1455" s="10">
        <v>46279.621493055558</v>
      </c>
      <c r="P1455" s="10" t="s">
        <v>46</v>
      </c>
      <c r="Q1455" s="1" t="s">
        <v>72</v>
      </c>
      <c r="R1455" s="8" t="s">
        <v>343</v>
      </c>
      <c r="S145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5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5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5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5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5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5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5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5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5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5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5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5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55" s="12">
        <f ca="1">[1]!Tabel1[[#This Row],[Vægtet Honorar]]*([1]!Tabel1[[#This Row],[Sidst redigeret]]&gt;TODAY()-40)*([1]!Tabel1[[#This Row],[Er i resplan?]]&lt;&gt;"Ja")*([1]!Tabel1[[#This Row],[Status]]="Pågår")</f>
        <v>0</v>
      </c>
      <c r="AG1455" s="12">
        <f ca="1">[1]!Tabel1[[#This Row],[Vægtet Honorar]]*([1]!Tabel1[[#This Row],[Sidst redigeret]]&gt;TODAY()-40)*([1]!Tabel1[[#This Row],[Status]]="Pågår")</f>
        <v>0</v>
      </c>
      <c r="AH1455" s="13"/>
      <c r="AI1455" s="12"/>
      <c r="AJ1455" s="12"/>
      <c r="AK1455" s="12"/>
      <c r="AL1455" s="12"/>
      <c r="AM1455" s="12"/>
      <c r="AN1455" s="12"/>
      <c r="AO1455" s="12"/>
      <c r="AP1455" s="12"/>
    </row>
    <row r="1456" spans="1:42">
      <c r="A1456" t="s">
        <v>5077</v>
      </c>
      <c r="B1456" s="8"/>
      <c r="C1456" s="8" t="s">
        <v>5078</v>
      </c>
      <c r="D1456" s="8" t="s">
        <v>4254</v>
      </c>
      <c r="E1456" s="8" t="s">
        <v>167</v>
      </c>
      <c r="F1456" s="8" t="s">
        <v>2450</v>
      </c>
      <c r="G1456" s="8" t="s">
        <v>2450</v>
      </c>
      <c r="H1456" s="9">
        <v>300000</v>
      </c>
      <c r="I1456" s="9">
        <f>[1]!Tabel1[[#This Row],[Honorar]]*[1]!Tabel1[[#This Row],[Sandsynlighed]]</f>
        <v>2000000</v>
      </c>
      <c r="J1456" s="10" t="s">
        <v>341</v>
      </c>
      <c r="K1456" s="1" t="s">
        <v>342</v>
      </c>
      <c r="L1456" s="17"/>
      <c r="M1456" s="11">
        <v>0.5</v>
      </c>
      <c r="N1456" s="1"/>
      <c r="O1456" s="10">
        <v>46279.621493055558</v>
      </c>
      <c r="P1456" s="10" t="s">
        <v>46</v>
      </c>
      <c r="Q1456" s="1" t="s">
        <v>46</v>
      </c>
      <c r="R1456" s="8" t="s">
        <v>343</v>
      </c>
      <c r="S145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5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5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5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5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5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5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5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5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5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5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5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5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56" s="12">
        <f ca="1">[1]!Tabel1[[#This Row],[Vægtet Honorar]]*([1]!Tabel1[[#This Row],[Sidst redigeret]]&gt;TODAY()-40)*([1]!Tabel1[[#This Row],[Er i resplan?]]&lt;&gt;"Ja")*([1]!Tabel1[[#This Row],[Status]]="Pågår")</f>
        <v>0</v>
      </c>
      <c r="AG1456" s="12">
        <f ca="1">[1]!Tabel1[[#This Row],[Vægtet Honorar]]*([1]!Tabel1[[#This Row],[Sidst redigeret]]&gt;TODAY()-40)*([1]!Tabel1[[#This Row],[Status]]="Pågår")</f>
        <v>0</v>
      </c>
      <c r="AH1456" s="13"/>
      <c r="AI1456" s="12"/>
      <c r="AJ1456" s="12"/>
      <c r="AK1456" s="12"/>
      <c r="AL1456" s="12"/>
      <c r="AM1456" s="12"/>
      <c r="AN1456" s="12"/>
      <c r="AO1456" s="12"/>
      <c r="AP1456" s="12"/>
    </row>
    <row r="1457" spans="1:42">
      <c r="A1457" t="s">
        <v>5079</v>
      </c>
      <c r="B1457" s="8"/>
      <c r="C1457" s="8" t="s">
        <v>5080</v>
      </c>
      <c r="D1457" s="8" t="s">
        <v>720</v>
      </c>
      <c r="E1457" s="8" t="s">
        <v>71</v>
      </c>
      <c r="F1457" s="8" t="s">
        <v>5081</v>
      </c>
      <c r="G1457" s="8" t="s">
        <v>5082</v>
      </c>
      <c r="H1457" s="9">
        <v>2000000</v>
      </c>
      <c r="I1457" s="9">
        <f>[1]!Tabel1[[#This Row],[Honorar]]*[1]!Tabel1[[#This Row],[Sandsynlighed]]</f>
        <v>150000</v>
      </c>
      <c r="J1457" s="10" t="s">
        <v>1310</v>
      </c>
      <c r="K1457" s="1" t="s">
        <v>1323</v>
      </c>
      <c r="L1457" s="17"/>
      <c r="M1457" s="11">
        <v>0.01</v>
      </c>
      <c r="N1457" s="1">
        <v>2000</v>
      </c>
      <c r="O1457" s="10">
        <v>46279.621493055558</v>
      </c>
      <c r="P1457" s="10" t="s">
        <v>46</v>
      </c>
      <c r="Q1457" s="1" t="s">
        <v>72</v>
      </c>
      <c r="R1457" s="8" t="s">
        <v>343</v>
      </c>
      <c r="S145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5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5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5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5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5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5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5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5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5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5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5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5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57" s="12">
        <f ca="1">[1]!Tabel1[[#This Row],[Vægtet Honorar]]*([1]!Tabel1[[#This Row],[Sidst redigeret]]&gt;TODAY()-40)*([1]!Tabel1[[#This Row],[Er i resplan?]]&lt;&gt;"Ja")*([1]!Tabel1[[#This Row],[Status]]="Pågår")</f>
        <v>0</v>
      </c>
      <c r="AG1457" s="12">
        <f ca="1">[1]!Tabel1[[#This Row],[Vægtet Honorar]]*([1]!Tabel1[[#This Row],[Sidst redigeret]]&gt;TODAY()-40)*([1]!Tabel1[[#This Row],[Status]]="Pågår")</f>
        <v>0</v>
      </c>
      <c r="AH1457" s="13"/>
      <c r="AI1457" s="12"/>
      <c r="AJ1457" s="12" t="s">
        <v>4102</v>
      </c>
      <c r="AK1457" s="12" t="s">
        <v>5083</v>
      </c>
      <c r="AL1457" s="12"/>
      <c r="AM1457" s="12"/>
      <c r="AN1457" s="12"/>
      <c r="AO1457" s="12"/>
      <c r="AP1457" s="12"/>
    </row>
    <row r="1458" spans="1:42">
      <c r="A1458" t="s">
        <v>5084</v>
      </c>
      <c r="B1458" s="8"/>
      <c r="C1458" s="8" t="s">
        <v>5085</v>
      </c>
      <c r="D1458" s="8" t="s">
        <v>2886</v>
      </c>
      <c r="E1458" s="8" t="s">
        <v>120</v>
      </c>
      <c r="F1458" s="8" t="s">
        <v>5086</v>
      </c>
      <c r="G1458" s="8" t="s">
        <v>4177</v>
      </c>
      <c r="H1458" s="9">
        <v>2000000</v>
      </c>
      <c r="I1458" s="9">
        <f>[1]!Tabel1[[#This Row],[Honorar]]*[1]!Tabel1[[#This Row],[Sandsynlighed]]</f>
        <v>45000</v>
      </c>
      <c r="J1458" s="10" t="s">
        <v>1310</v>
      </c>
      <c r="K1458" s="1" t="s">
        <v>2405</v>
      </c>
      <c r="L1458" s="17"/>
      <c r="M1458" s="11">
        <v>0.05</v>
      </c>
      <c r="N1458" s="1" t="s">
        <v>5087</v>
      </c>
      <c r="O1458" s="10">
        <v>46279.621493055558</v>
      </c>
      <c r="P1458" s="10" t="s">
        <v>46</v>
      </c>
      <c r="Q1458" s="1" t="s">
        <v>72</v>
      </c>
      <c r="R1458" s="8" t="s">
        <v>1265</v>
      </c>
      <c r="S145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5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5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5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5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5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5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5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5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5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5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5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5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58" s="12">
        <f ca="1">[1]!Tabel1[[#This Row],[Vægtet Honorar]]*([1]!Tabel1[[#This Row],[Sidst redigeret]]&gt;TODAY()-40)*([1]!Tabel1[[#This Row],[Er i resplan?]]&lt;&gt;"Ja")*([1]!Tabel1[[#This Row],[Status]]="Pågår")</f>
        <v>0</v>
      </c>
      <c r="AG1458" s="12">
        <f ca="1">[1]!Tabel1[[#This Row],[Vægtet Honorar]]*([1]!Tabel1[[#This Row],[Sidst redigeret]]&gt;TODAY()-40)*([1]!Tabel1[[#This Row],[Status]]="Pågår")</f>
        <v>0</v>
      </c>
      <c r="AH1458" s="13"/>
      <c r="AI1458" s="12"/>
      <c r="AJ1458" s="12" t="s">
        <v>2944</v>
      </c>
      <c r="AK1458" s="12" t="s">
        <v>4177</v>
      </c>
      <c r="AL1458" s="12"/>
      <c r="AM1458" s="12"/>
      <c r="AN1458" s="12"/>
      <c r="AO1458" s="12"/>
      <c r="AP1458" s="12"/>
    </row>
    <row r="1459" spans="1:42">
      <c r="A1459" t="s">
        <v>5088</v>
      </c>
      <c r="B1459" s="8"/>
      <c r="C1459" s="8" t="s">
        <v>5089</v>
      </c>
      <c r="D1459" s="8" t="s">
        <v>70</v>
      </c>
      <c r="E1459" s="8" t="s">
        <v>102</v>
      </c>
      <c r="F1459" s="8" t="s">
        <v>1152</v>
      </c>
      <c r="G1459" s="8" t="s">
        <v>1152</v>
      </c>
      <c r="H1459" s="9">
        <v>1000000</v>
      </c>
      <c r="I1459" s="9">
        <f>[1]!Tabel1[[#This Row],[Honorar]]*[1]!Tabel1[[#This Row],[Sandsynlighed]]</f>
        <v>6750</v>
      </c>
      <c r="J1459" s="10" t="s">
        <v>341</v>
      </c>
      <c r="K1459" s="1" t="s">
        <v>2405</v>
      </c>
      <c r="L1459" s="17"/>
      <c r="M1459" s="11">
        <v>0.33</v>
      </c>
      <c r="N1459" s="1" t="s">
        <v>5090</v>
      </c>
      <c r="O1459" s="10">
        <v>46279.621493055558</v>
      </c>
      <c r="P1459" s="10" t="s">
        <v>46</v>
      </c>
      <c r="Q1459" s="1" t="s">
        <v>72</v>
      </c>
      <c r="R1459" s="8" t="s">
        <v>49</v>
      </c>
      <c r="S145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5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5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5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5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5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5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5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5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5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5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5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5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59" s="12">
        <f ca="1">[1]!Tabel1[[#This Row],[Vægtet Honorar]]*([1]!Tabel1[[#This Row],[Sidst redigeret]]&gt;TODAY()-40)*([1]!Tabel1[[#This Row],[Er i resplan?]]&lt;&gt;"Ja")*([1]!Tabel1[[#This Row],[Status]]="Pågår")</f>
        <v>0</v>
      </c>
      <c r="AG1459" s="12">
        <f ca="1">[1]!Tabel1[[#This Row],[Vægtet Honorar]]*([1]!Tabel1[[#This Row],[Sidst redigeret]]&gt;TODAY()-40)*([1]!Tabel1[[#This Row],[Status]]="Pågår")</f>
        <v>0</v>
      </c>
      <c r="AH1459" s="13"/>
      <c r="AI1459" s="12"/>
      <c r="AJ1459" s="12"/>
      <c r="AK1459" s="12"/>
      <c r="AL1459" s="12"/>
      <c r="AM1459" s="12"/>
      <c r="AN1459" s="12"/>
      <c r="AO1459" s="12"/>
      <c r="AP1459" s="12"/>
    </row>
    <row r="1460" spans="1:42" ht="135">
      <c r="A1460" t="s">
        <v>5091</v>
      </c>
      <c r="B1460" s="8"/>
      <c r="C1460" s="8" t="s">
        <v>5092</v>
      </c>
      <c r="D1460" s="8" t="s">
        <v>581</v>
      </c>
      <c r="E1460" s="8" t="s">
        <v>94</v>
      </c>
      <c r="F1460" s="8" t="s">
        <v>5093</v>
      </c>
      <c r="G1460" s="8" t="s">
        <v>5094</v>
      </c>
      <c r="H1460" s="9">
        <v>50000000</v>
      </c>
      <c r="I1460" s="9">
        <f>[1]!Tabel1[[#This Row],[Honorar]]*[1]!Tabel1[[#This Row],[Sandsynlighed]]</f>
        <v>5000000</v>
      </c>
      <c r="J1460" s="10" t="s">
        <v>341</v>
      </c>
      <c r="K1460" s="1" t="s">
        <v>2105</v>
      </c>
      <c r="L1460" s="17" t="s">
        <v>5095</v>
      </c>
      <c r="M1460" s="11">
        <v>0.01</v>
      </c>
      <c r="N1460" s="1" t="s">
        <v>5096</v>
      </c>
      <c r="O1460" s="10">
        <v>46279.621493055558</v>
      </c>
      <c r="P1460" s="10" t="s">
        <v>46</v>
      </c>
      <c r="Q1460" s="1" t="s">
        <v>72</v>
      </c>
      <c r="R1460" s="8" t="s">
        <v>49</v>
      </c>
      <c r="S146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6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6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6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6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6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6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6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6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6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6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6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6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60" s="12">
        <f ca="1">[1]!Tabel1[[#This Row],[Vægtet Honorar]]*([1]!Tabel1[[#This Row],[Sidst redigeret]]&gt;TODAY()-40)*([1]!Tabel1[[#This Row],[Er i resplan?]]&lt;&gt;"Ja")*([1]!Tabel1[[#This Row],[Status]]="Pågår")</f>
        <v>5000000</v>
      </c>
      <c r="AG1460" s="12">
        <f ca="1">[1]!Tabel1[[#This Row],[Vægtet Honorar]]*([1]!Tabel1[[#This Row],[Sidst redigeret]]&gt;TODAY()-40)*([1]!Tabel1[[#This Row],[Status]]="Pågår")</f>
        <v>5000000</v>
      </c>
      <c r="AH1460" s="13"/>
      <c r="AI1460" s="12"/>
      <c r="AJ1460" s="12" t="s">
        <v>5094</v>
      </c>
      <c r="AK1460" s="12" t="s">
        <v>5097</v>
      </c>
      <c r="AL1460" s="12"/>
      <c r="AM1460" s="12"/>
      <c r="AN1460" s="12"/>
      <c r="AO1460" s="12"/>
      <c r="AP1460" s="12"/>
    </row>
    <row r="1461" spans="1:42">
      <c r="A1461" t="s">
        <v>5098</v>
      </c>
      <c r="B1461" s="8"/>
      <c r="C1461" s="8" t="s">
        <v>5099</v>
      </c>
      <c r="D1461" s="8" t="s">
        <v>2886</v>
      </c>
      <c r="E1461" s="8" t="s">
        <v>120</v>
      </c>
      <c r="F1461" s="8" t="s">
        <v>5099</v>
      </c>
      <c r="G1461" s="8" t="s">
        <v>2274</v>
      </c>
      <c r="H1461" s="9">
        <v>750000</v>
      </c>
      <c r="I1461" s="9">
        <f>[1]!Tabel1[[#This Row],[Honorar]]*[1]!Tabel1[[#This Row],[Sandsynlighed]]</f>
        <v>150000</v>
      </c>
      <c r="J1461" s="10" t="s">
        <v>1310</v>
      </c>
      <c r="K1461" s="1" t="s">
        <v>2405</v>
      </c>
      <c r="L1461" s="17"/>
      <c r="M1461" s="11">
        <v>0.05</v>
      </c>
      <c r="N1461" s="1"/>
      <c r="O1461" s="10">
        <v>46279.621493055558</v>
      </c>
      <c r="P1461" s="10" t="s">
        <v>46</v>
      </c>
      <c r="Q1461" s="1" t="s">
        <v>72</v>
      </c>
      <c r="R1461" s="8" t="s">
        <v>343</v>
      </c>
      <c r="S146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6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6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6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6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6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6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6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6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6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6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6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6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61" s="12">
        <f ca="1">[1]!Tabel1[[#This Row],[Vægtet Honorar]]*([1]!Tabel1[[#This Row],[Sidst redigeret]]&gt;TODAY()-40)*([1]!Tabel1[[#This Row],[Er i resplan?]]&lt;&gt;"Ja")*([1]!Tabel1[[#This Row],[Status]]="Pågår")</f>
        <v>0</v>
      </c>
      <c r="AG1461" s="12">
        <f ca="1">[1]!Tabel1[[#This Row],[Vægtet Honorar]]*([1]!Tabel1[[#This Row],[Sidst redigeret]]&gt;TODAY()-40)*([1]!Tabel1[[#This Row],[Status]]="Pågår")</f>
        <v>150000</v>
      </c>
      <c r="AH1461" s="13"/>
      <c r="AI1461" s="12"/>
      <c r="AJ1461" s="12" t="s">
        <v>2274</v>
      </c>
      <c r="AK1461" s="12"/>
      <c r="AL1461" s="12"/>
      <c r="AM1461" s="12"/>
      <c r="AN1461" s="12"/>
      <c r="AO1461" s="12"/>
      <c r="AP1461" s="12"/>
    </row>
    <row r="1462" spans="1:42" ht="30">
      <c r="A1462" t="s">
        <v>5100</v>
      </c>
      <c r="B1462" s="8"/>
      <c r="C1462" s="8" t="s">
        <v>4555</v>
      </c>
      <c r="D1462" s="8" t="s">
        <v>1886</v>
      </c>
      <c r="E1462" s="8" t="s">
        <v>94</v>
      </c>
      <c r="F1462" s="8" t="s">
        <v>2341</v>
      </c>
      <c r="G1462" s="8" t="s">
        <v>2341</v>
      </c>
      <c r="H1462" s="9">
        <v>30000</v>
      </c>
      <c r="I1462" s="9">
        <f>[1]!Tabel1[[#This Row],[Honorar]]*[1]!Tabel1[[#This Row],[Sandsynlighed]]</f>
        <v>20000</v>
      </c>
      <c r="J1462" s="10" t="s">
        <v>1191</v>
      </c>
      <c r="K1462" s="1" t="s">
        <v>341</v>
      </c>
      <c r="L1462" s="17" t="s">
        <v>307</v>
      </c>
      <c r="M1462" s="11">
        <v>1</v>
      </c>
      <c r="N1462" s="1">
        <v>350</v>
      </c>
      <c r="O1462" s="10">
        <v>46279.621493055558</v>
      </c>
      <c r="P1462" s="10" t="s">
        <v>46</v>
      </c>
      <c r="Q1462" s="1" t="s">
        <v>46</v>
      </c>
      <c r="R1462" s="8" t="s">
        <v>47</v>
      </c>
      <c r="S146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6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6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6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6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6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6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6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6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6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6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6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6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62" s="12">
        <f ca="1">[1]!Tabel1[[#This Row],[Vægtet Honorar]]*([1]!Tabel1[[#This Row],[Sidst redigeret]]&gt;TODAY()-40)*([1]!Tabel1[[#This Row],[Er i resplan?]]&lt;&gt;"Ja")*([1]!Tabel1[[#This Row],[Status]]="Pågår")</f>
        <v>20000</v>
      </c>
      <c r="AG1462" s="12">
        <f ca="1">[1]!Tabel1[[#This Row],[Vægtet Honorar]]*([1]!Tabel1[[#This Row],[Sidst redigeret]]&gt;TODAY()-40)*([1]!Tabel1[[#This Row],[Status]]="Pågår")</f>
        <v>20000</v>
      </c>
      <c r="AH1462" s="13">
        <v>45980.610185185185</v>
      </c>
      <c r="AI1462" s="12"/>
      <c r="AJ1462" s="12"/>
      <c r="AK1462" s="12"/>
      <c r="AL1462" s="12"/>
      <c r="AM1462" s="12"/>
      <c r="AN1462" s="12"/>
      <c r="AO1462" s="12"/>
      <c r="AP1462" s="12"/>
    </row>
    <row r="1463" spans="1:42">
      <c r="A1463" t="s">
        <v>5101</v>
      </c>
      <c r="B1463" s="8"/>
      <c r="C1463" s="8" t="s">
        <v>5102</v>
      </c>
      <c r="D1463" s="8" t="s">
        <v>720</v>
      </c>
      <c r="E1463" s="8" t="s">
        <v>71</v>
      </c>
      <c r="F1463" s="8"/>
      <c r="G1463" s="8" t="s">
        <v>5103</v>
      </c>
      <c r="H1463" s="9">
        <v>150000</v>
      </c>
      <c r="I1463" s="9">
        <f>[1]!Tabel1[[#This Row],[Honorar]]*[1]!Tabel1[[#This Row],[Sandsynlighed]]</f>
        <v>100000</v>
      </c>
      <c r="J1463" s="10" t="s">
        <v>1191</v>
      </c>
      <c r="K1463" s="1" t="s">
        <v>341</v>
      </c>
      <c r="L1463" s="17"/>
      <c r="M1463" s="11">
        <v>0.05</v>
      </c>
      <c r="N1463" s="1"/>
      <c r="O1463" s="10">
        <v>46279.621493055558</v>
      </c>
      <c r="P1463" s="10" t="s">
        <v>46</v>
      </c>
      <c r="Q1463" s="1" t="s">
        <v>72</v>
      </c>
      <c r="R1463" s="8" t="s">
        <v>343</v>
      </c>
      <c r="S146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6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6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6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6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6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6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6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6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6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6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6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6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63" s="12">
        <f ca="1">[1]!Tabel1[[#This Row],[Vægtet Honorar]]*([1]!Tabel1[[#This Row],[Sidst redigeret]]&gt;TODAY()-40)*([1]!Tabel1[[#This Row],[Er i resplan?]]&lt;&gt;"Ja")*([1]!Tabel1[[#This Row],[Status]]="Pågår")</f>
        <v>0</v>
      </c>
      <c r="AG1463" s="12">
        <f ca="1">[1]!Tabel1[[#This Row],[Vægtet Honorar]]*([1]!Tabel1[[#This Row],[Sidst redigeret]]&gt;TODAY()-40)*([1]!Tabel1[[#This Row],[Status]]="Pågår")</f>
        <v>0</v>
      </c>
      <c r="AH1463" s="13"/>
      <c r="AI1463" s="12"/>
      <c r="AJ1463" s="12"/>
      <c r="AK1463" s="12"/>
      <c r="AL1463" s="12"/>
      <c r="AM1463" s="12"/>
      <c r="AN1463" s="12"/>
      <c r="AO1463" s="12"/>
      <c r="AP1463" s="12"/>
    </row>
    <row r="1464" spans="1:42">
      <c r="A1464" t="s">
        <v>5104</v>
      </c>
      <c r="B1464" s="8"/>
      <c r="C1464" s="8" t="s">
        <v>5105</v>
      </c>
      <c r="D1464" s="8" t="s">
        <v>720</v>
      </c>
      <c r="E1464" s="8" t="s">
        <v>71</v>
      </c>
      <c r="F1464" s="8" t="s">
        <v>940</v>
      </c>
      <c r="G1464" s="8" t="s">
        <v>5106</v>
      </c>
      <c r="H1464" s="9">
        <v>600000</v>
      </c>
      <c r="I1464" s="9">
        <f>[1]!Tabel1[[#This Row],[Honorar]]*[1]!Tabel1[[#This Row],[Sandsynlighed]]</f>
        <v>330000</v>
      </c>
      <c r="J1464" s="10" t="s">
        <v>1310</v>
      </c>
      <c r="K1464" s="1" t="s">
        <v>1062</v>
      </c>
      <c r="L1464" s="17"/>
      <c r="M1464" s="11">
        <v>0.05</v>
      </c>
      <c r="N1464" s="1"/>
      <c r="O1464" s="10">
        <v>46279.621493055558</v>
      </c>
      <c r="P1464" s="10" t="s">
        <v>46</v>
      </c>
      <c r="Q1464" s="1" t="s">
        <v>72</v>
      </c>
      <c r="R1464" s="8" t="s">
        <v>343</v>
      </c>
      <c r="S146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6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6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6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6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6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6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6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6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6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6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6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6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64" s="12">
        <f ca="1">[1]!Tabel1[[#This Row],[Vægtet Honorar]]*([1]!Tabel1[[#This Row],[Sidst redigeret]]&gt;TODAY()-40)*([1]!Tabel1[[#This Row],[Er i resplan?]]&lt;&gt;"Ja")*([1]!Tabel1[[#This Row],[Status]]="Pågår")</f>
        <v>0</v>
      </c>
      <c r="AG1464" s="12">
        <f ca="1">[1]!Tabel1[[#This Row],[Vægtet Honorar]]*([1]!Tabel1[[#This Row],[Sidst redigeret]]&gt;TODAY()-40)*([1]!Tabel1[[#This Row],[Status]]="Pågår")</f>
        <v>0</v>
      </c>
      <c r="AH1464" s="13"/>
      <c r="AI1464" s="12"/>
      <c r="AJ1464" s="12"/>
      <c r="AK1464" s="12"/>
      <c r="AL1464" s="12"/>
      <c r="AM1464" s="12"/>
      <c r="AN1464" s="12"/>
      <c r="AO1464" s="12"/>
      <c r="AP1464" s="12"/>
    </row>
    <row r="1465" spans="1:42">
      <c r="A1465" t="s">
        <v>5107</v>
      </c>
      <c r="B1465" s="8"/>
      <c r="C1465" s="8" t="s">
        <v>5108</v>
      </c>
      <c r="D1465" s="8" t="s">
        <v>720</v>
      </c>
      <c r="E1465" s="8" t="s">
        <v>71</v>
      </c>
      <c r="F1465" s="8" t="s">
        <v>5109</v>
      </c>
      <c r="G1465" s="8" t="s">
        <v>5109</v>
      </c>
      <c r="H1465" s="9">
        <v>500000</v>
      </c>
      <c r="I1465" s="9">
        <f>[1]!Tabel1[[#This Row],[Honorar]]*[1]!Tabel1[[#This Row],[Sandsynlighed]]</f>
        <v>500000</v>
      </c>
      <c r="J1465" s="10" t="s">
        <v>341</v>
      </c>
      <c r="K1465" s="1" t="s">
        <v>1062</v>
      </c>
      <c r="L1465" s="17"/>
      <c r="M1465" s="11">
        <v>0.2</v>
      </c>
      <c r="N1465" s="1"/>
      <c r="O1465" s="10">
        <v>46279.621493055558</v>
      </c>
      <c r="P1465" s="10" t="s">
        <v>46</v>
      </c>
      <c r="Q1465" s="1" t="s">
        <v>72</v>
      </c>
      <c r="R1465" s="8" t="s">
        <v>343</v>
      </c>
      <c r="S146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6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6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6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6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6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6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6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6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6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6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6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6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65" s="12">
        <f ca="1">[1]!Tabel1[[#This Row],[Vægtet Honorar]]*([1]!Tabel1[[#This Row],[Sidst redigeret]]&gt;TODAY()-40)*([1]!Tabel1[[#This Row],[Er i resplan?]]&lt;&gt;"Ja")*([1]!Tabel1[[#This Row],[Status]]="Pågår")</f>
        <v>0</v>
      </c>
      <c r="AG1465" s="12">
        <f ca="1">[1]!Tabel1[[#This Row],[Vægtet Honorar]]*([1]!Tabel1[[#This Row],[Sidst redigeret]]&gt;TODAY()-40)*([1]!Tabel1[[#This Row],[Status]]="Pågår")</f>
        <v>0</v>
      </c>
      <c r="AH1465" s="13"/>
      <c r="AI1465" s="12"/>
      <c r="AJ1465" s="12"/>
      <c r="AK1465" s="12"/>
      <c r="AL1465" s="12"/>
      <c r="AM1465" s="12"/>
      <c r="AN1465" s="12"/>
      <c r="AO1465" s="12"/>
      <c r="AP1465" s="12"/>
    </row>
    <row r="1466" spans="1:42">
      <c r="A1466" t="s">
        <v>5110</v>
      </c>
      <c r="B1466" s="8"/>
      <c r="C1466" s="8" t="s">
        <v>5111</v>
      </c>
      <c r="D1466" s="8" t="s">
        <v>70</v>
      </c>
      <c r="E1466" s="8" t="s">
        <v>102</v>
      </c>
      <c r="F1466" s="8" t="s">
        <v>1538</v>
      </c>
      <c r="G1466" s="8" t="s">
        <v>1538</v>
      </c>
      <c r="H1466" s="9">
        <v>500000</v>
      </c>
      <c r="I1466" s="9">
        <f>[1]!Tabel1[[#This Row],[Honorar]]*[1]!Tabel1[[#This Row],[Sandsynlighed]]</f>
        <v>37500</v>
      </c>
      <c r="J1466" s="10" t="s">
        <v>341</v>
      </c>
      <c r="K1466" s="1" t="s">
        <v>1310</v>
      </c>
      <c r="L1466" s="17"/>
      <c r="M1466" s="11">
        <v>0.5</v>
      </c>
      <c r="N1466" s="1"/>
      <c r="O1466" s="10">
        <v>46279.621493055558</v>
      </c>
      <c r="P1466" s="10" t="s">
        <v>46</v>
      </c>
      <c r="Q1466" s="1" t="s">
        <v>46</v>
      </c>
      <c r="R1466" s="8" t="s">
        <v>343</v>
      </c>
      <c r="S146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6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6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6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6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6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6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6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6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6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6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6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6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66" s="12">
        <f ca="1">[1]!Tabel1[[#This Row],[Vægtet Honorar]]*([1]!Tabel1[[#This Row],[Sidst redigeret]]&gt;TODAY()-40)*([1]!Tabel1[[#This Row],[Er i resplan?]]&lt;&gt;"Ja")*([1]!Tabel1[[#This Row],[Status]]="Pågår")</f>
        <v>37500</v>
      </c>
      <c r="AG1466" s="12">
        <f ca="1">[1]!Tabel1[[#This Row],[Vægtet Honorar]]*([1]!Tabel1[[#This Row],[Sidst redigeret]]&gt;TODAY()-40)*([1]!Tabel1[[#This Row],[Status]]="Pågår")</f>
        <v>37500</v>
      </c>
      <c r="AH1466" s="13"/>
      <c r="AI1466" s="12"/>
      <c r="AJ1466" s="12"/>
      <c r="AK1466" s="12"/>
      <c r="AL1466" s="12"/>
      <c r="AM1466" s="12"/>
      <c r="AN1466" s="12"/>
      <c r="AO1466" s="12"/>
      <c r="AP1466" s="12"/>
    </row>
    <row r="1467" spans="1:42">
      <c r="A1467" t="s">
        <v>5112</v>
      </c>
      <c r="B1467" s="8"/>
      <c r="C1467" s="8" t="s">
        <v>5113</v>
      </c>
      <c r="D1467" s="8" t="s">
        <v>70</v>
      </c>
      <c r="E1467" s="8" t="s">
        <v>102</v>
      </c>
      <c r="F1467" s="8" t="s">
        <v>5114</v>
      </c>
      <c r="G1467" s="8" t="s">
        <v>5114</v>
      </c>
      <c r="H1467" s="9">
        <v>1000000</v>
      </c>
      <c r="I1467" s="9">
        <f>[1]!Tabel1[[#This Row],[Honorar]]*[1]!Tabel1[[#This Row],[Sandsynlighed]]</f>
        <v>30000</v>
      </c>
      <c r="J1467" s="10" t="s">
        <v>341</v>
      </c>
      <c r="K1467" s="1" t="s">
        <v>342</v>
      </c>
      <c r="L1467" s="17"/>
      <c r="M1467" s="11">
        <v>0.25</v>
      </c>
      <c r="N1467" s="1"/>
      <c r="O1467" s="10">
        <v>46279.621493055558</v>
      </c>
      <c r="P1467" s="10" t="s">
        <v>46</v>
      </c>
      <c r="Q1467" s="1" t="s">
        <v>46</v>
      </c>
      <c r="R1467" s="8" t="s">
        <v>343</v>
      </c>
      <c r="S146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6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6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6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6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6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6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6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6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6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6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6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6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67" s="12">
        <f ca="1">[1]!Tabel1[[#This Row],[Vægtet Honorar]]*([1]!Tabel1[[#This Row],[Sidst redigeret]]&gt;TODAY()-40)*([1]!Tabel1[[#This Row],[Er i resplan?]]&lt;&gt;"Ja")*([1]!Tabel1[[#This Row],[Status]]="Pågår")</f>
        <v>0</v>
      </c>
      <c r="AG1467" s="12">
        <f ca="1">[1]!Tabel1[[#This Row],[Vægtet Honorar]]*([1]!Tabel1[[#This Row],[Sidst redigeret]]&gt;TODAY()-40)*([1]!Tabel1[[#This Row],[Status]]="Pågår")</f>
        <v>0</v>
      </c>
      <c r="AH1467" s="13"/>
      <c r="AI1467" s="12"/>
      <c r="AJ1467" s="12"/>
      <c r="AK1467" s="12"/>
      <c r="AL1467" s="12"/>
      <c r="AM1467" s="12"/>
      <c r="AN1467" s="12"/>
      <c r="AO1467" s="12"/>
      <c r="AP1467" s="12"/>
    </row>
    <row r="1468" spans="1:42" ht="60">
      <c r="A1468" t="s">
        <v>5115</v>
      </c>
      <c r="B1468" s="8"/>
      <c r="C1468" s="8" t="s">
        <v>5116</v>
      </c>
      <c r="D1468" s="8" t="s">
        <v>896</v>
      </c>
      <c r="E1468" s="8" t="s">
        <v>94</v>
      </c>
      <c r="F1468" s="8" t="s">
        <v>1954</v>
      </c>
      <c r="G1468" s="8" t="s">
        <v>1864</v>
      </c>
      <c r="H1468" s="9">
        <v>3000000</v>
      </c>
      <c r="I1468" s="9">
        <f>[1]!Tabel1[[#This Row],[Honorar]]*[1]!Tabel1[[#This Row],[Sandsynlighed]]</f>
        <v>7500</v>
      </c>
      <c r="J1468" s="10" t="s">
        <v>585</v>
      </c>
      <c r="K1468" s="1" t="s">
        <v>2405</v>
      </c>
      <c r="L1468" s="17" t="s">
        <v>4790</v>
      </c>
      <c r="M1468" s="11">
        <v>0.01</v>
      </c>
      <c r="N1468" s="1"/>
      <c r="O1468" s="10">
        <v>46279.621493055558</v>
      </c>
      <c r="P1468" s="10" t="s">
        <v>46</v>
      </c>
      <c r="Q1468" s="1" t="s">
        <v>72</v>
      </c>
      <c r="R1468" s="8" t="s">
        <v>343</v>
      </c>
      <c r="S146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6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6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6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6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6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6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6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6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6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6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6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6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68" s="12">
        <f ca="1">[1]!Tabel1[[#This Row],[Vægtet Honorar]]*([1]!Tabel1[[#This Row],[Sidst redigeret]]&gt;TODAY()-40)*([1]!Tabel1[[#This Row],[Er i resplan?]]&lt;&gt;"Ja")*([1]!Tabel1[[#This Row],[Status]]="Pågår")</f>
        <v>7500</v>
      </c>
      <c r="AG1468" s="12">
        <f ca="1">[1]!Tabel1[[#This Row],[Vægtet Honorar]]*([1]!Tabel1[[#This Row],[Sidst redigeret]]&gt;TODAY()-40)*([1]!Tabel1[[#This Row],[Status]]="Pågår")</f>
        <v>7500</v>
      </c>
      <c r="AH1468" s="13"/>
      <c r="AI1468" s="12"/>
      <c r="AJ1468" s="12" t="s">
        <v>2274</v>
      </c>
      <c r="AK1468" s="12"/>
      <c r="AL1468" s="12"/>
      <c r="AM1468" s="12"/>
      <c r="AN1468" s="12"/>
      <c r="AO1468" s="12"/>
      <c r="AP1468" s="12"/>
    </row>
    <row r="1469" spans="1:42">
      <c r="A1469" t="s">
        <v>5117</v>
      </c>
      <c r="B1469" s="8"/>
      <c r="C1469" s="8" t="s">
        <v>5118</v>
      </c>
      <c r="D1469" s="8" t="s">
        <v>896</v>
      </c>
      <c r="E1469" s="8" t="s">
        <v>94</v>
      </c>
      <c r="F1469" s="8" t="s">
        <v>5119</v>
      </c>
      <c r="G1469" s="8" t="s">
        <v>2274</v>
      </c>
      <c r="H1469" s="9">
        <v>3000000</v>
      </c>
      <c r="I1469" s="9">
        <f>[1]!Tabel1[[#This Row],[Honorar]]*[1]!Tabel1[[#This Row],[Sandsynlighed]]</f>
        <v>30000</v>
      </c>
      <c r="J1469" s="10" t="s">
        <v>585</v>
      </c>
      <c r="K1469" s="1" t="s">
        <v>2405</v>
      </c>
      <c r="L1469" s="17"/>
      <c r="M1469" s="11">
        <v>0.01</v>
      </c>
      <c r="N1469" s="1"/>
      <c r="O1469" s="10">
        <v>46279.621493055558</v>
      </c>
      <c r="P1469" s="10" t="s">
        <v>46</v>
      </c>
      <c r="Q1469" s="1" t="s">
        <v>72</v>
      </c>
      <c r="R1469" s="8" t="s">
        <v>49</v>
      </c>
      <c r="S146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6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6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6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6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6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6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6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6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6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6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6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6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69" s="12">
        <f ca="1">[1]!Tabel1[[#This Row],[Vægtet Honorar]]*([1]!Tabel1[[#This Row],[Sidst redigeret]]&gt;TODAY()-40)*([1]!Tabel1[[#This Row],[Er i resplan?]]&lt;&gt;"Ja")*([1]!Tabel1[[#This Row],[Status]]="Pågår")</f>
        <v>30000</v>
      </c>
      <c r="AG1469" s="12">
        <f ca="1">[1]!Tabel1[[#This Row],[Vægtet Honorar]]*([1]!Tabel1[[#This Row],[Sidst redigeret]]&gt;TODAY()-40)*([1]!Tabel1[[#This Row],[Status]]="Pågår")</f>
        <v>30000</v>
      </c>
      <c r="AH1469" s="13"/>
      <c r="AI1469" s="12"/>
      <c r="AJ1469" s="12" t="s">
        <v>2274</v>
      </c>
      <c r="AK1469" s="12"/>
      <c r="AL1469" s="12"/>
      <c r="AM1469" s="12"/>
      <c r="AN1469" s="12"/>
      <c r="AO1469" s="12"/>
      <c r="AP1469" s="12"/>
    </row>
    <row r="1470" spans="1:42" ht="75">
      <c r="A1470" t="s">
        <v>5120</v>
      </c>
      <c r="B1470" s="8"/>
      <c r="C1470" s="8" t="s">
        <v>5121</v>
      </c>
      <c r="D1470" s="8" t="s">
        <v>581</v>
      </c>
      <c r="E1470" s="8" t="s">
        <v>94</v>
      </c>
      <c r="F1470" s="8" t="s">
        <v>5122</v>
      </c>
      <c r="G1470" s="8" t="s">
        <v>5094</v>
      </c>
      <c r="H1470" s="9">
        <v>1500000</v>
      </c>
      <c r="I1470" s="9">
        <f>[1]!Tabel1[[#This Row],[Honorar]]*[1]!Tabel1[[#This Row],[Sandsynlighed]]</f>
        <v>100000</v>
      </c>
      <c r="J1470" s="10" t="s">
        <v>1310</v>
      </c>
      <c r="K1470" s="1" t="s">
        <v>1430</v>
      </c>
      <c r="L1470" s="17" t="s">
        <v>5123</v>
      </c>
      <c r="M1470" s="11">
        <v>0.15</v>
      </c>
      <c r="N1470" s="1"/>
      <c r="O1470" s="10">
        <v>46279.621493055558</v>
      </c>
      <c r="P1470" s="10" t="s">
        <v>46</v>
      </c>
      <c r="Q1470" s="1" t="s">
        <v>72</v>
      </c>
      <c r="R1470" s="8" t="s">
        <v>49</v>
      </c>
      <c r="S147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7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7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7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7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7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7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7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7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7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7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7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7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70" s="12">
        <f ca="1">[1]!Tabel1[[#This Row],[Vægtet Honorar]]*([1]!Tabel1[[#This Row],[Sidst redigeret]]&gt;TODAY()-40)*([1]!Tabel1[[#This Row],[Er i resplan?]]&lt;&gt;"Ja")*([1]!Tabel1[[#This Row],[Status]]="Pågår")</f>
        <v>100000</v>
      </c>
      <c r="AG1470" s="12">
        <f ca="1">[1]!Tabel1[[#This Row],[Vægtet Honorar]]*([1]!Tabel1[[#This Row],[Sidst redigeret]]&gt;TODAY()-40)*([1]!Tabel1[[#This Row],[Status]]="Pågår")</f>
        <v>100000</v>
      </c>
      <c r="AH1470" s="13"/>
      <c r="AI1470" s="12"/>
      <c r="AJ1470" s="12" t="s">
        <v>5094</v>
      </c>
      <c r="AK1470" s="12"/>
      <c r="AL1470" s="12"/>
      <c r="AM1470" s="12"/>
      <c r="AN1470" s="12"/>
      <c r="AO1470" s="12"/>
      <c r="AP1470" s="12"/>
    </row>
    <row r="1471" spans="1:42" ht="45">
      <c r="A1471" t="s">
        <v>5124</v>
      </c>
      <c r="B1471" s="8"/>
      <c r="C1471" s="8" t="s">
        <v>5125</v>
      </c>
      <c r="D1471" s="8" t="s">
        <v>896</v>
      </c>
      <c r="E1471" s="8" t="s">
        <v>94</v>
      </c>
      <c r="F1471" s="8" t="s">
        <v>3335</v>
      </c>
      <c r="G1471" s="8" t="s">
        <v>600</v>
      </c>
      <c r="H1471" s="9">
        <v>1500000</v>
      </c>
      <c r="I1471" s="9">
        <f>[1]!Tabel1[[#This Row],[Honorar]]*[1]!Tabel1[[#This Row],[Sandsynlighed]]</f>
        <v>250000</v>
      </c>
      <c r="J1471" s="10" t="s">
        <v>1310</v>
      </c>
      <c r="K1471" s="1" t="s">
        <v>1430</v>
      </c>
      <c r="L1471" s="17" t="s">
        <v>5126</v>
      </c>
      <c r="M1471" s="11">
        <v>0.01</v>
      </c>
      <c r="N1471" s="1"/>
      <c r="O1471" s="10">
        <v>46279.621493055558</v>
      </c>
      <c r="P1471" s="10" t="s">
        <v>46</v>
      </c>
      <c r="Q1471" s="1" t="s">
        <v>72</v>
      </c>
      <c r="R1471" s="8" t="s">
        <v>343</v>
      </c>
      <c r="S147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7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7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7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7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7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7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7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7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7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7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7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7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71" s="12">
        <f ca="1">[1]!Tabel1[[#This Row],[Vægtet Honorar]]*([1]!Tabel1[[#This Row],[Sidst redigeret]]&gt;TODAY()-40)*([1]!Tabel1[[#This Row],[Er i resplan?]]&lt;&gt;"Ja")*([1]!Tabel1[[#This Row],[Status]]="Pågår")</f>
        <v>0</v>
      </c>
      <c r="AG1471" s="12">
        <f ca="1">[1]!Tabel1[[#This Row],[Vægtet Honorar]]*([1]!Tabel1[[#This Row],[Sidst redigeret]]&gt;TODAY()-40)*([1]!Tabel1[[#This Row],[Status]]="Pågår")</f>
        <v>250000</v>
      </c>
      <c r="AH1471" s="13"/>
      <c r="AI1471" s="12"/>
      <c r="AJ1471" s="12" t="s">
        <v>600</v>
      </c>
      <c r="AK1471" s="12"/>
      <c r="AL1471" s="12"/>
      <c r="AM1471" s="12"/>
      <c r="AN1471" s="12"/>
      <c r="AO1471" s="12"/>
      <c r="AP1471" s="12"/>
    </row>
    <row r="1472" spans="1:42">
      <c r="A1472" t="s">
        <v>5127</v>
      </c>
      <c r="B1472" s="8"/>
      <c r="C1472" s="8" t="s">
        <v>5128</v>
      </c>
      <c r="D1472" s="8" t="s">
        <v>65</v>
      </c>
      <c r="E1472" s="8" t="s">
        <v>167</v>
      </c>
      <c r="F1472" s="8" t="s">
        <v>2450</v>
      </c>
      <c r="G1472" s="8" t="s">
        <v>5129</v>
      </c>
      <c r="H1472" s="9">
        <v>1500000</v>
      </c>
      <c r="I1472" s="9">
        <f>[1]!Tabel1[[#This Row],[Honorar]]*[1]!Tabel1[[#This Row],[Sandsynlighed]]</f>
        <v>250000</v>
      </c>
      <c r="J1472" s="10" t="s">
        <v>341</v>
      </c>
      <c r="K1472" s="1" t="s">
        <v>4300</v>
      </c>
      <c r="L1472" s="17"/>
      <c r="M1472" s="11">
        <v>0.2</v>
      </c>
      <c r="N1472" s="1"/>
      <c r="O1472" s="10">
        <v>46279.621493055558</v>
      </c>
      <c r="P1472" s="10" t="s">
        <v>46</v>
      </c>
      <c r="Q1472" s="1" t="s">
        <v>72</v>
      </c>
      <c r="R1472" s="8" t="s">
        <v>343</v>
      </c>
      <c r="S147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7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7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7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7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7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7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7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7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7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7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7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7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72" s="12">
        <f ca="1">[1]!Tabel1[[#This Row],[Vægtet Honorar]]*([1]!Tabel1[[#This Row],[Sidst redigeret]]&gt;TODAY()-40)*([1]!Tabel1[[#This Row],[Er i resplan?]]&lt;&gt;"Ja")*([1]!Tabel1[[#This Row],[Status]]="Pågår")</f>
        <v>0</v>
      </c>
      <c r="AG1472" s="12">
        <f ca="1">[1]!Tabel1[[#This Row],[Vægtet Honorar]]*([1]!Tabel1[[#This Row],[Sidst redigeret]]&gt;TODAY()-40)*([1]!Tabel1[[#This Row],[Status]]="Pågår")</f>
        <v>250000</v>
      </c>
      <c r="AH1472" s="13"/>
      <c r="AI1472" s="12"/>
      <c r="AJ1472" s="12"/>
      <c r="AK1472" s="12"/>
      <c r="AL1472" s="12"/>
      <c r="AM1472" s="12"/>
      <c r="AN1472" s="12"/>
      <c r="AO1472" s="12"/>
      <c r="AP1472" s="12"/>
    </row>
    <row r="1473" spans="1:42">
      <c r="A1473" t="s">
        <v>5130</v>
      </c>
      <c r="B1473" s="8"/>
      <c r="C1473" s="8" t="s">
        <v>5131</v>
      </c>
      <c r="D1473" s="8" t="s">
        <v>720</v>
      </c>
      <c r="E1473" s="8" t="s">
        <v>71</v>
      </c>
      <c r="F1473" s="8" t="s">
        <v>3480</v>
      </c>
      <c r="G1473" s="8" t="s">
        <v>3480</v>
      </c>
      <c r="H1473" s="9">
        <v>1400000</v>
      </c>
      <c r="I1473" s="9">
        <f>[1]!Tabel1[[#This Row],[Honorar]]*[1]!Tabel1[[#This Row],[Sandsynlighed]]</f>
        <v>30000</v>
      </c>
      <c r="J1473" s="10" t="s">
        <v>341</v>
      </c>
      <c r="K1473" s="1" t="s">
        <v>2405</v>
      </c>
      <c r="L1473" s="17"/>
      <c r="M1473" s="11">
        <v>0.8</v>
      </c>
      <c r="N1473" s="1"/>
      <c r="O1473" s="10">
        <v>46279.621493055558</v>
      </c>
      <c r="P1473" s="10" t="s">
        <v>46</v>
      </c>
      <c r="Q1473" s="1" t="s">
        <v>46</v>
      </c>
      <c r="R1473" s="8" t="s">
        <v>343</v>
      </c>
      <c r="S147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7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7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7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7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7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7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7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7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7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7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7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7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73" s="12">
        <f ca="1">[1]!Tabel1[[#This Row],[Vægtet Honorar]]*([1]!Tabel1[[#This Row],[Sidst redigeret]]&gt;TODAY()-40)*([1]!Tabel1[[#This Row],[Er i resplan?]]&lt;&gt;"Ja")*([1]!Tabel1[[#This Row],[Status]]="Pågår")</f>
        <v>30000</v>
      </c>
      <c r="AG1473" s="12">
        <f ca="1">[1]!Tabel1[[#This Row],[Vægtet Honorar]]*([1]!Tabel1[[#This Row],[Sidst redigeret]]&gt;TODAY()-40)*([1]!Tabel1[[#This Row],[Status]]="Pågår")</f>
        <v>30000</v>
      </c>
      <c r="AH1473" s="13"/>
      <c r="AI1473" s="12"/>
      <c r="AJ1473" s="12"/>
      <c r="AK1473" s="12"/>
      <c r="AL1473" s="12"/>
      <c r="AM1473" s="12"/>
      <c r="AN1473" s="12"/>
      <c r="AO1473" s="12"/>
      <c r="AP1473" s="12"/>
    </row>
    <row r="1474" spans="1:42">
      <c r="A1474" t="s">
        <v>5132</v>
      </c>
      <c r="B1474" s="8"/>
      <c r="C1474" s="8" t="s">
        <v>5133</v>
      </c>
      <c r="D1474" s="8" t="s">
        <v>158</v>
      </c>
      <c r="E1474" s="8" t="s">
        <v>167</v>
      </c>
      <c r="F1474" s="8" t="s">
        <v>1024</v>
      </c>
      <c r="G1474" s="8" t="s">
        <v>5134</v>
      </c>
      <c r="H1474" s="9">
        <v>150000</v>
      </c>
      <c r="I1474" s="9">
        <f>[1]!Tabel1[[#This Row],[Honorar]]*[1]!Tabel1[[#This Row],[Sandsynlighed]]</f>
        <v>30000</v>
      </c>
      <c r="J1474" s="10" t="s">
        <v>341</v>
      </c>
      <c r="K1474" s="1" t="s">
        <v>1709</v>
      </c>
      <c r="L1474" s="17"/>
      <c r="M1474" s="11">
        <v>0.5</v>
      </c>
      <c r="N1474" s="1"/>
      <c r="O1474" s="10">
        <v>46279.621493055558</v>
      </c>
      <c r="P1474" s="10" t="s">
        <v>46</v>
      </c>
      <c r="Q1474" s="1" t="s">
        <v>72</v>
      </c>
      <c r="R1474" s="8" t="s">
        <v>343</v>
      </c>
      <c r="S147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7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7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7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7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7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7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7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7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7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7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7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7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74" s="12">
        <f ca="1">[1]!Tabel1[[#This Row],[Vægtet Honorar]]*([1]!Tabel1[[#This Row],[Sidst redigeret]]&gt;TODAY()-40)*([1]!Tabel1[[#This Row],[Er i resplan?]]&lt;&gt;"Ja")*([1]!Tabel1[[#This Row],[Status]]="Pågår")</f>
        <v>0</v>
      </c>
      <c r="AG1474" s="12">
        <f ca="1">[1]!Tabel1[[#This Row],[Vægtet Honorar]]*([1]!Tabel1[[#This Row],[Sidst redigeret]]&gt;TODAY()-40)*([1]!Tabel1[[#This Row],[Status]]="Pågår")</f>
        <v>0</v>
      </c>
      <c r="AH1474" s="13"/>
      <c r="AI1474" s="12"/>
      <c r="AJ1474" s="12"/>
      <c r="AK1474" s="12"/>
      <c r="AL1474" s="12"/>
      <c r="AM1474" s="12"/>
      <c r="AN1474" s="12"/>
      <c r="AO1474" s="12"/>
      <c r="AP1474" s="12"/>
    </row>
    <row r="1475" spans="1:42" ht="60">
      <c r="A1475" t="s">
        <v>5135</v>
      </c>
      <c r="B1475" s="8"/>
      <c r="C1475" s="8" t="s">
        <v>5136</v>
      </c>
      <c r="D1475" s="8" t="s">
        <v>896</v>
      </c>
      <c r="E1475" s="8" t="s">
        <v>94</v>
      </c>
      <c r="F1475" s="8" t="s">
        <v>1024</v>
      </c>
      <c r="G1475" s="8" t="s">
        <v>1737</v>
      </c>
      <c r="H1475" s="9">
        <v>1500000</v>
      </c>
      <c r="I1475" s="9">
        <f>[1]!Tabel1[[#This Row],[Honorar]]*[1]!Tabel1[[#This Row],[Sandsynlighed]]</f>
        <v>225000</v>
      </c>
      <c r="J1475" s="10" t="s">
        <v>585</v>
      </c>
      <c r="K1475" s="1" t="s">
        <v>1709</v>
      </c>
      <c r="L1475" s="17" t="s">
        <v>4747</v>
      </c>
      <c r="M1475" s="11">
        <v>0.01</v>
      </c>
      <c r="N1475" s="1"/>
      <c r="O1475" s="10">
        <v>46279.621493055558</v>
      </c>
      <c r="P1475" s="10" t="s">
        <v>46</v>
      </c>
      <c r="Q1475" s="1" t="s">
        <v>72</v>
      </c>
      <c r="R1475" s="8" t="s">
        <v>343</v>
      </c>
      <c r="S147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7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7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7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7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7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7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7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7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7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7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7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7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75" s="12">
        <f ca="1">[1]!Tabel1[[#This Row],[Vægtet Honorar]]*([1]!Tabel1[[#This Row],[Sidst redigeret]]&gt;TODAY()-40)*([1]!Tabel1[[#This Row],[Er i resplan?]]&lt;&gt;"Ja")*([1]!Tabel1[[#This Row],[Status]]="Pågår")</f>
        <v>0</v>
      </c>
      <c r="AG1475" s="12">
        <f ca="1">[1]!Tabel1[[#This Row],[Vægtet Honorar]]*([1]!Tabel1[[#This Row],[Sidst redigeret]]&gt;TODAY()-40)*([1]!Tabel1[[#This Row],[Status]]="Pågår")</f>
        <v>0</v>
      </c>
      <c r="AH1475" s="13"/>
      <c r="AI1475" s="12"/>
      <c r="AJ1475" s="12" t="s">
        <v>1737</v>
      </c>
      <c r="AK1475" s="12"/>
      <c r="AL1475" s="12"/>
      <c r="AM1475" s="12"/>
      <c r="AN1475" s="12"/>
      <c r="AO1475" s="12"/>
      <c r="AP1475" s="12"/>
    </row>
    <row r="1476" spans="1:42">
      <c r="A1476" t="s">
        <v>5137</v>
      </c>
      <c r="B1476" s="8"/>
      <c r="C1476" s="8" t="s">
        <v>5138</v>
      </c>
      <c r="D1476" s="8" t="s">
        <v>1886</v>
      </c>
      <c r="E1476" s="8" t="s">
        <v>94</v>
      </c>
      <c r="F1476" s="8" t="s">
        <v>5139</v>
      </c>
      <c r="G1476" s="8" t="s">
        <v>5139</v>
      </c>
      <c r="H1476" s="9">
        <v>45000</v>
      </c>
      <c r="I1476" s="9">
        <f>[1]!Tabel1[[#This Row],[Honorar]]*[1]!Tabel1[[#This Row],[Sandsynlighed]]</f>
        <v>15000</v>
      </c>
      <c r="J1476" s="10" t="s">
        <v>1191</v>
      </c>
      <c r="K1476" s="1" t="s">
        <v>341</v>
      </c>
      <c r="L1476" s="17"/>
      <c r="M1476" s="11">
        <v>0.95</v>
      </c>
      <c r="N1476" s="1">
        <v>500</v>
      </c>
      <c r="O1476" s="10">
        <v>46279.621493055558</v>
      </c>
      <c r="P1476" s="10" t="s">
        <v>46</v>
      </c>
      <c r="Q1476" s="1" t="s">
        <v>72</v>
      </c>
      <c r="R1476" s="8" t="s">
        <v>47</v>
      </c>
      <c r="S147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7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7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7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7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7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7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7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7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7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7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7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7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76" s="12">
        <f ca="1">[1]!Tabel1[[#This Row],[Vægtet Honorar]]*([1]!Tabel1[[#This Row],[Sidst redigeret]]&gt;TODAY()-40)*([1]!Tabel1[[#This Row],[Er i resplan?]]&lt;&gt;"Ja")*([1]!Tabel1[[#This Row],[Status]]="Pågår")</f>
        <v>15000</v>
      </c>
      <c r="AG1476" s="12">
        <f ca="1">[1]!Tabel1[[#This Row],[Vægtet Honorar]]*([1]!Tabel1[[#This Row],[Sidst redigeret]]&gt;TODAY()-40)*([1]!Tabel1[[#This Row],[Status]]="Pågår")</f>
        <v>15000</v>
      </c>
      <c r="AH1476" s="13">
        <v>46037.633402777778</v>
      </c>
      <c r="AI1476" s="12"/>
      <c r="AJ1476" s="12"/>
      <c r="AK1476" s="12"/>
      <c r="AL1476" s="12"/>
      <c r="AM1476" s="12"/>
      <c r="AN1476" s="12"/>
      <c r="AO1476" s="12"/>
      <c r="AP1476" s="12"/>
    </row>
    <row r="1477" spans="1:42" ht="165">
      <c r="A1477" t="s">
        <v>5140</v>
      </c>
      <c r="B1477" s="8"/>
      <c r="C1477" s="8" t="s">
        <v>5141</v>
      </c>
      <c r="D1477" s="8" t="s">
        <v>896</v>
      </c>
      <c r="E1477" s="8" t="s">
        <v>94</v>
      </c>
      <c r="F1477" s="8" t="s">
        <v>5093</v>
      </c>
      <c r="G1477" s="8" t="s">
        <v>4120</v>
      </c>
      <c r="H1477" s="9">
        <v>3000000</v>
      </c>
      <c r="I1477" s="9">
        <f>[1]!Tabel1[[#This Row],[Honorar]]*[1]!Tabel1[[#This Row],[Sandsynlighed]]</f>
        <v>300000</v>
      </c>
      <c r="J1477" s="10" t="s">
        <v>341</v>
      </c>
      <c r="K1477" s="1" t="s">
        <v>341</v>
      </c>
      <c r="L1477" s="17" t="s">
        <v>5142</v>
      </c>
      <c r="M1477" s="11">
        <v>0.1</v>
      </c>
      <c r="N1477" s="1"/>
      <c r="O1477" s="10">
        <v>46279.621493055558</v>
      </c>
      <c r="P1477" s="10" t="s">
        <v>46</v>
      </c>
      <c r="Q1477" s="1" t="s">
        <v>72</v>
      </c>
      <c r="R1477" s="8" t="s">
        <v>343</v>
      </c>
      <c r="S147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7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7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7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7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7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7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7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7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7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7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7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7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77" s="12">
        <f ca="1">[1]!Tabel1[[#This Row],[Vægtet Honorar]]*([1]!Tabel1[[#This Row],[Sidst redigeret]]&gt;TODAY()-40)*([1]!Tabel1[[#This Row],[Er i resplan?]]&lt;&gt;"Ja")*([1]!Tabel1[[#This Row],[Status]]="Pågår")</f>
        <v>300000</v>
      </c>
      <c r="AG1477" s="12">
        <f ca="1">[1]!Tabel1[[#This Row],[Vægtet Honorar]]*([1]!Tabel1[[#This Row],[Sidst redigeret]]&gt;TODAY()-40)*([1]!Tabel1[[#This Row],[Status]]="Pågår")</f>
        <v>300000</v>
      </c>
      <c r="AH1477" s="13"/>
      <c r="AI1477" s="12"/>
      <c r="AJ1477" s="12" t="s">
        <v>2005</v>
      </c>
      <c r="AK1477" s="12"/>
      <c r="AL1477" s="12"/>
      <c r="AM1477" s="12"/>
      <c r="AN1477" s="12"/>
      <c r="AO1477" s="12"/>
      <c r="AP1477" s="12"/>
    </row>
    <row r="1478" spans="1:42">
      <c r="A1478" t="s">
        <v>5143</v>
      </c>
      <c r="B1478" s="8"/>
      <c r="C1478" s="8" t="s">
        <v>5144</v>
      </c>
      <c r="D1478" s="8" t="s">
        <v>4254</v>
      </c>
      <c r="E1478" s="8" t="s">
        <v>167</v>
      </c>
      <c r="F1478" s="8" t="s">
        <v>5145</v>
      </c>
      <c r="G1478" s="8" t="s">
        <v>5145</v>
      </c>
      <c r="H1478" s="9">
        <v>1000000</v>
      </c>
      <c r="I1478" s="9">
        <f>[1]!Tabel1[[#This Row],[Honorar]]*[1]!Tabel1[[#This Row],[Sandsynlighed]]</f>
        <v>1120000</v>
      </c>
      <c r="J1478" s="10" t="s">
        <v>341</v>
      </c>
      <c r="K1478" s="1" t="s">
        <v>2405</v>
      </c>
      <c r="L1478" s="17"/>
      <c r="M1478" s="11">
        <v>0.2</v>
      </c>
      <c r="N1478" s="1"/>
      <c r="O1478" s="10">
        <v>46279.621493055558</v>
      </c>
      <c r="P1478" s="10" t="s">
        <v>46</v>
      </c>
      <c r="Q1478" s="1" t="s">
        <v>72</v>
      </c>
      <c r="R1478" s="8" t="s">
        <v>343</v>
      </c>
      <c r="S147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7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7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7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7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7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7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7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7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7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7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7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7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78" s="12">
        <f ca="1">[1]!Tabel1[[#This Row],[Vægtet Honorar]]*([1]!Tabel1[[#This Row],[Sidst redigeret]]&gt;TODAY()-40)*([1]!Tabel1[[#This Row],[Er i resplan?]]&lt;&gt;"Ja")*([1]!Tabel1[[#This Row],[Status]]="Pågår")</f>
        <v>0</v>
      </c>
      <c r="AG1478" s="12">
        <f ca="1">[1]!Tabel1[[#This Row],[Vægtet Honorar]]*([1]!Tabel1[[#This Row],[Sidst redigeret]]&gt;TODAY()-40)*([1]!Tabel1[[#This Row],[Status]]="Pågår")</f>
        <v>1120000</v>
      </c>
      <c r="AH1478" s="13"/>
      <c r="AI1478" s="12"/>
      <c r="AJ1478" s="12"/>
      <c r="AK1478" s="12"/>
      <c r="AL1478" s="12"/>
      <c r="AM1478" s="12"/>
      <c r="AN1478" s="12"/>
      <c r="AO1478" s="12"/>
      <c r="AP1478" s="12"/>
    </row>
    <row r="1479" spans="1:42">
      <c r="A1479" t="s">
        <v>5146</v>
      </c>
      <c r="B1479" s="8"/>
      <c r="C1479" s="8" t="s">
        <v>5147</v>
      </c>
      <c r="D1479" s="8" t="s">
        <v>87</v>
      </c>
      <c r="E1479" s="8" t="s">
        <v>167</v>
      </c>
      <c r="F1479" s="8" t="s">
        <v>5148</v>
      </c>
      <c r="G1479" s="8" t="s">
        <v>5148</v>
      </c>
      <c r="H1479" s="9">
        <v>400000</v>
      </c>
      <c r="I1479" s="9">
        <f>[1]!Tabel1[[#This Row],[Honorar]]*[1]!Tabel1[[#This Row],[Sandsynlighed]]</f>
        <v>75000</v>
      </c>
      <c r="J1479" s="10" t="s">
        <v>341</v>
      </c>
      <c r="K1479" s="1" t="s">
        <v>2405</v>
      </c>
      <c r="L1479" s="17"/>
      <c r="M1479" s="11">
        <v>0.9</v>
      </c>
      <c r="N1479" s="1" t="s">
        <v>5149</v>
      </c>
      <c r="O1479" s="10">
        <v>46279.621493055558</v>
      </c>
      <c r="P1479" s="10" t="s">
        <v>46</v>
      </c>
      <c r="Q1479" s="1" t="s">
        <v>72</v>
      </c>
      <c r="R1479" s="8" t="s">
        <v>343</v>
      </c>
      <c r="S147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7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7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7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7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7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7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7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7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7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7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7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7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79" s="12">
        <f ca="1">[1]!Tabel1[[#This Row],[Vægtet Honorar]]*([1]!Tabel1[[#This Row],[Sidst redigeret]]&gt;TODAY()-40)*([1]!Tabel1[[#This Row],[Er i resplan?]]&lt;&gt;"Ja")*([1]!Tabel1[[#This Row],[Status]]="Pågår")</f>
        <v>75000</v>
      </c>
      <c r="AG1479" s="12">
        <f ca="1">[1]!Tabel1[[#This Row],[Vægtet Honorar]]*([1]!Tabel1[[#This Row],[Sidst redigeret]]&gt;TODAY()-40)*([1]!Tabel1[[#This Row],[Status]]="Pågår")</f>
        <v>75000</v>
      </c>
      <c r="AH1479" s="13"/>
      <c r="AI1479" s="12"/>
      <c r="AJ1479" s="12"/>
      <c r="AK1479" s="12"/>
      <c r="AL1479" s="12"/>
      <c r="AM1479" s="12"/>
      <c r="AN1479" s="12"/>
      <c r="AO1479" s="12"/>
      <c r="AP1479" s="12"/>
    </row>
    <row r="1480" spans="1:42" ht="75">
      <c r="A1480" t="s">
        <v>5150</v>
      </c>
      <c r="B1480" s="8"/>
      <c r="C1480" s="8" t="s">
        <v>5151</v>
      </c>
      <c r="D1480" s="8" t="s">
        <v>134</v>
      </c>
      <c r="E1480" s="8" t="s">
        <v>94</v>
      </c>
      <c r="F1480" s="8" t="s">
        <v>5152</v>
      </c>
      <c r="G1480" s="8" t="s">
        <v>5152</v>
      </c>
      <c r="H1480" s="9">
        <v>400000</v>
      </c>
      <c r="I1480" s="9">
        <f>[1]!Tabel1[[#This Row],[Honorar]]*[1]!Tabel1[[#This Row],[Sandsynlighed]]</f>
        <v>15000</v>
      </c>
      <c r="J1480" s="10" t="s">
        <v>1191</v>
      </c>
      <c r="K1480" s="1" t="s">
        <v>585</v>
      </c>
      <c r="L1480" s="17" t="s">
        <v>5153</v>
      </c>
      <c r="M1480" s="11">
        <v>1</v>
      </c>
      <c r="N1480" s="1"/>
      <c r="O1480" s="10">
        <v>46279.621493055558</v>
      </c>
      <c r="P1480" s="10" t="s">
        <v>46</v>
      </c>
      <c r="Q1480" s="1" t="s">
        <v>72</v>
      </c>
      <c r="R1480" s="8" t="s">
        <v>47</v>
      </c>
      <c r="S148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8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8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8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8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8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8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8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8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8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8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8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8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80" s="12">
        <f ca="1">[1]!Tabel1[[#This Row],[Vægtet Honorar]]*([1]!Tabel1[[#This Row],[Sidst redigeret]]&gt;TODAY()-40)*([1]!Tabel1[[#This Row],[Er i resplan?]]&lt;&gt;"Ja")*([1]!Tabel1[[#This Row],[Status]]="Pågår")</f>
        <v>15000</v>
      </c>
      <c r="AG1480" s="12">
        <f ca="1">[1]!Tabel1[[#This Row],[Vægtet Honorar]]*([1]!Tabel1[[#This Row],[Sidst redigeret]]&gt;TODAY()-40)*([1]!Tabel1[[#This Row],[Status]]="Pågår")</f>
        <v>15000</v>
      </c>
      <c r="AH1480" s="13">
        <v>46051.900300925925</v>
      </c>
      <c r="AI1480" s="12"/>
      <c r="AJ1480" s="12"/>
      <c r="AK1480" s="12"/>
      <c r="AL1480" s="12"/>
      <c r="AM1480" s="12"/>
      <c r="AN1480" s="12"/>
      <c r="AO1480" s="12"/>
      <c r="AP1480" s="12"/>
    </row>
    <row r="1481" spans="1:42" ht="90">
      <c r="A1481" t="s">
        <v>5154</v>
      </c>
      <c r="B1481" s="8"/>
      <c r="C1481" s="8" t="s">
        <v>5155</v>
      </c>
      <c r="D1481" s="8" t="s">
        <v>1468</v>
      </c>
      <c r="E1481" s="8" t="s">
        <v>167</v>
      </c>
      <c r="F1481" s="8" t="s">
        <v>5156</v>
      </c>
      <c r="G1481" s="8" t="s">
        <v>5156</v>
      </c>
      <c r="H1481" s="9">
        <v>12000000</v>
      </c>
      <c r="I1481" s="9">
        <f>[1]!Tabel1[[#This Row],[Honorar]]*[1]!Tabel1[[#This Row],[Sandsynlighed]]</f>
        <v>42750</v>
      </c>
      <c r="J1481" s="10" t="s">
        <v>341</v>
      </c>
      <c r="K1481" s="1" t="s">
        <v>2093</v>
      </c>
      <c r="L1481" s="17" t="s">
        <v>5157</v>
      </c>
      <c r="M1481" s="11">
        <v>0</v>
      </c>
      <c r="N1481" s="1"/>
      <c r="O1481" s="10">
        <v>46279.621493055558</v>
      </c>
      <c r="P1481" s="10" t="s">
        <v>46</v>
      </c>
      <c r="Q1481" s="1" t="s">
        <v>72</v>
      </c>
      <c r="R1481" s="8" t="s">
        <v>49</v>
      </c>
      <c r="S148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8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8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8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8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8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8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8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8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8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8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8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8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81" s="12">
        <f ca="1">[1]!Tabel1[[#This Row],[Vægtet Honorar]]*([1]!Tabel1[[#This Row],[Sidst redigeret]]&gt;TODAY()-40)*([1]!Tabel1[[#This Row],[Er i resplan?]]&lt;&gt;"Ja")*([1]!Tabel1[[#This Row],[Status]]="Pågår")</f>
        <v>0</v>
      </c>
      <c r="AG1481" s="12">
        <f ca="1">[1]!Tabel1[[#This Row],[Vægtet Honorar]]*([1]!Tabel1[[#This Row],[Sidst redigeret]]&gt;TODAY()-40)*([1]!Tabel1[[#This Row],[Status]]="Pågår")</f>
        <v>0</v>
      </c>
      <c r="AH1481" s="13"/>
      <c r="AI1481" s="12"/>
      <c r="AJ1481" s="12"/>
      <c r="AK1481" s="12"/>
      <c r="AL1481" s="12"/>
      <c r="AM1481" s="12"/>
      <c r="AN1481" s="12"/>
      <c r="AO1481" s="12"/>
      <c r="AP1481" s="12"/>
    </row>
    <row r="1482" spans="1:42">
      <c r="A1482" t="s">
        <v>5158</v>
      </c>
      <c r="B1482" s="8"/>
      <c r="C1482" s="8" t="s">
        <v>5159</v>
      </c>
      <c r="D1482" s="8" t="s">
        <v>720</v>
      </c>
      <c r="E1482" s="8" t="s">
        <v>71</v>
      </c>
      <c r="F1482" s="8" t="s">
        <v>5160</v>
      </c>
      <c r="G1482" s="8" t="s">
        <v>5160</v>
      </c>
      <c r="H1482" s="9">
        <v>200000</v>
      </c>
      <c r="I1482" s="9">
        <f>[1]!Tabel1[[#This Row],[Honorar]]*[1]!Tabel1[[#This Row],[Sandsynlighed]]</f>
        <v>300000</v>
      </c>
      <c r="J1482" s="10" t="s">
        <v>341</v>
      </c>
      <c r="K1482" s="1" t="s">
        <v>585</v>
      </c>
      <c r="L1482" s="17"/>
      <c r="M1482" s="11">
        <v>0.1</v>
      </c>
      <c r="N1482" s="1"/>
      <c r="O1482" s="10">
        <v>46279.621493055558</v>
      </c>
      <c r="P1482" s="10" t="s">
        <v>46</v>
      </c>
      <c r="Q1482" s="1" t="s">
        <v>72</v>
      </c>
      <c r="R1482" s="8" t="s">
        <v>343</v>
      </c>
      <c r="S148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8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8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8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8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8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8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8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8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8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8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8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8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82" s="12">
        <f ca="1">[1]!Tabel1[[#This Row],[Vægtet Honorar]]*([1]!Tabel1[[#This Row],[Sidst redigeret]]&gt;TODAY()-40)*([1]!Tabel1[[#This Row],[Er i resplan?]]&lt;&gt;"Ja")*([1]!Tabel1[[#This Row],[Status]]="Pågår")</f>
        <v>300000</v>
      </c>
      <c r="AG1482" s="12">
        <f ca="1">[1]!Tabel1[[#This Row],[Vægtet Honorar]]*([1]!Tabel1[[#This Row],[Sidst redigeret]]&gt;TODAY()-40)*([1]!Tabel1[[#This Row],[Status]]="Pågår")</f>
        <v>300000</v>
      </c>
      <c r="AH1482" s="13"/>
      <c r="AI1482" s="12"/>
      <c r="AJ1482" s="12"/>
      <c r="AK1482" s="12"/>
      <c r="AL1482" s="12"/>
      <c r="AM1482" s="12"/>
      <c r="AN1482" s="12"/>
      <c r="AO1482" s="12"/>
      <c r="AP1482" s="12"/>
    </row>
    <row r="1483" spans="1:42">
      <c r="A1483" t="s">
        <v>5161</v>
      </c>
      <c r="B1483" s="8"/>
      <c r="C1483" s="8" t="s">
        <v>5162</v>
      </c>
      <c r="D1483" s="8" t="s">
        <v>896</v>
      </c>
      <c r="E1483" s="8" t="s">
        <v>94</v>
      </c>
      <c r="F1483" s="8" t="s">
        <v>5163</v>
      </c>
      <c r="G1483" s="8" t="s">
        <v>1100</v>
      </c>
      <c r="H1483" s="9">
        <v>11477017</v>
      </c>
      <c r="I1483" s="9">
        <f>[1]!Tabel1[[#This Row],[Honorar]]*[1]!Tabel1[[#This Row],[Sandsynlighed]]</f>
        <v>200000</v>
      </c>
      <c r="J1483" s="10" t="s">
        <v>341</v>
      </c>
      <c r="K1483" s="1" t="s">
        <v>1861</v>
      </c>
      <c r="L1483" s="17"/>
      <c r="M1483" s="11">
        <v>1</v>
      </c>
      <c r="N1483" s="1"/>
      <c r="O1483" s="10">
        <v>46279.621493055558</v>
      </c>
      <c r="P1483" s="10" t="s">
        <v>46</v>
      </c>
      <c r="Q1483" s="1" t="s">
        <v>72</v>
      </c>
      <c r="R1483" s="8" t="s">
        <v>47</v>
      </c>
      <c r="S148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8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8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8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8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8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8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8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8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8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8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8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8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83" s="12">
        <f ca="1">[1]!Tabel1[[#This Row],[Vægtet Honorar]]*([1]!Tabel1[[#This Row],[Sidst redigeret]]&gt;TODAY()-40)*([1]!Tabel1[[#This Row],[Er i resplan?]]&lt;&gt;"Ja")*([1]!Tabel1[[#This Row],[Status]]="Pågår")</f>
        <v>200000</v>
      </c>
      <c r="AG1483" s="12">
        <f ca="1">[1]!Tabel1[[#This Row],[Vægtet Honorar]]*([1]!Tabel1[[#This Row],[Sidst redigeret]]&gt;TODAY()-40)*([1]!Tabel1[[#This Row],[Status]]="Pågår")</f>
        <v>200000</v>
      </c>
      <c r="AH1483" s="13">
        <v>46057.54587962963</v>
      </c>
      <c r="AI1483" s="12"/>
      <c r="AJ1483" s="12" t="s">
        <v>5164</v>
      </c>
      <c r="AK1483" s="12"/>
      <c r="AL1483" s="12"/>
      <c r="AM1483" s="12"/>
      <c r="AN1483" s="12"/>
      <c r="AO1483" s="12"/>
      <c r="AP1483" s="12"/>
    </row>
    <row r="1484" spans="1:42">
      <c r="A1484" t="s">
        <v>5165</v>
      </c>
      <c r="B1484" s="8"/>
      <c r="C1484" s="8" t="s">
        <v>5166</v>
      </c>
      <c r="D1484" s="8" t="s">
        <v>1623</v>
      </c>
      <c r="E1484" s="8" t="s">
        <v>102</v>
      </c>
      <c r="F1484" s="8" t="s">
        <v>1538</v>
      </c>
      <c r="G1484" s="8" t="s">
        <v>1538</v>
      </c>
      <c r="H1484" s="9">
        <v>4000000</v>
      </c>
      <c r="I1484" s="9">
        <f>[1]!Tabel1[[#This Row],[Honorar]]*[1]!Tabel1[[#This Row],[Sandsynlighed]]</f>
        <v>360000</v>
      </c>
      <c r="J1484" s="10" t="s">
        <v>341</v>
      </c>
      <c r="K1484" s="1" t="s">
        <v>2039</v>
      </c>
      <c r="L1484" s="17"/>
      <c r="M1484" s="11">
        <v>0.25</v>
      </c>
      <c r="N1484" s="1"/>
      <c r="O1484" s="10">
        <v>46279.621493055558</v>
      </c>
      <c r="P1484" s="10" t="s">
        <v>46</v>
      </c>
      <c r="Q1484" s="1" t="s">
        <v>72</v>
      </c>
      <c r="R1484" s="8" t="s">
        <v>75</v>
      </c>
      <c r="S148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8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8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8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8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8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8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8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8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8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8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8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8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84" s="12">
        <f ca="1">[1]!Tabel1[[#This Row],[Vægtet Honorar]]*([1]!Tabel1[[#This Row],[Sidst redigeret]]&gt;TODAY()-40)*([1]!Tabel1[[#This Row],[Er i resplan?]]&lt;&gt;"Ja")*([1]!Tabel1[[#This Row],[Status]]="Pågår")</f>
        <v>360000</v>
      </c>
      <c r="AG1484" s="12">
        <f ca="1">[1]!Tabel1[[#This Row],[Vægtet Honorar]]*([1]!Tabel1[[#This Row],[Sidst redigeret]]&gt;TODAY()-40)*([1]!Tabel1[[#This Row],[Status]]="Pågår")</f>
        <v>360000</v>
      </c>
      <c r="AH1484" s="13"/>
      <c r="AI1484" s="12"/>
      <c r="AJ1484" s="12"/>
      <c r="AK1484" s="12"/>
      <c r="AL1484" s="12"/>
      <c r="AM1484" s="12"/>
      <c r="AN1484" s="12"/>
      <c r="AO1484" s="12"/>
      <c r="AP1484" s="12"/>
    </row>
    <row r="1485" spans="1:42">
      <c r="A1485" t="s">
        <v>5167</v>
      </c>
      <c r="B1485" s="8"/>
      <c r="C1485" s="8" t="s">
        <v>5168</v>
      </c>
      <c r="D1485" s="8" t="s">
        <v>1623</v>
      </c>
      <c r="E1485" s="8" t="s">
        <v>102</v>
      </c>
      <c r="F1485" s="8" t="s">
        <v>5169</v>
      </c>
      <c r="G1485" s="8" t="s">
        <v>5169</v>
      </c>
      <c r="H1485" s="9">
        <v>200000</v>
      </c>
      <c r="I1485" s="9">
        <f>[1]!Tabel1[[#This Row],[Honorar]]*[1]!Tabel1[[#This Row],[Sandsynlighed]]</f>
        <v>400000</v>
      </c>
      <c r="J1485" s="10" t="s">
        <v>1310</v>
      </c>
      <c r="K1485" s="1" t="s">
        <v>2039</v>
      </c>
      <c r="L1485" s="17"/>
      <c r="M1485" s="11">
        <v>0.5</v>
      </c>
      <c r="N1485" s="1"/>
      <c r="O1485" s="10">
        <v>46279.621493055558</v>
      </c>
      <c r="P1485" s="10" t="s">
        <v>46</v>
      </c>
      <c r="Q1485" s="1" t="s">
        <v>72</v>
      </c>
      <c r="R1485" s="8" t="s">
        <v>343</v>
      </c>
      <c r="S148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8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8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8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8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8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8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8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8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8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8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8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8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85" s="12">
        <f ca="1">[1]!Tabel1[[#This Row],[Vægtet Honorar]]*([1]!Tabel1[[#This Row],[Sidst redigeret]]&gt;TODAY()-40)*([1]!Tabel1[[#This Row],[Er i resplan?]]&lt;&gt;"Ja")*([1]!Tabel1[[#This Row],[Status]]="Pågår")</f>
        <v>0</v>
      </c>
      <c r="AG1485" s="12">
        <f ca="1">[1]!Tabel1[[#This Row],[Vægtet Honorar]]*([1]!Tabel1[[#This Row],[Sidst redigeret]]&gt;TODAY()-40)*([1]!Tabel1[[#This Row],[Status]]="Pågår")</f>
        <v>0</v>
      </c>
      <c r="AH1485" s="13"/>
      <c r="AI1485" s="12"/>
      <c r="AJ1485" s="12"/>
      <c r="AK1485" s="12"/>
      <c r="AL1485" s="12"/>
      <c r="AM1485" s="12"/>
      <c r="AN1485" s="12"/>
      <c r="AO1485" s="12"/>
      <c r="AP1485" s="12"/>
    </row>
    <row r="1486" spans="1:42">
      <c r="A1486" t="s">
        <v>5170</v>
      </c>
      <c r="B1486" s="8"/>
      <c r="C1486" s="8" t="s">
        <v>5171</v>
      </c>
      <c r="D1486" s="8" t="s">
        <v>5172</v>
      </c>
      <c r="E1486" s="8" t="s">
        <v>167</v>
      </c>
      <c r="F1486" s="8" t="s">
        <v>671</v>
      </c>
      <c r="G1486" s="8" t="s">
        <v>5173</v>
      </c>
      <c r="H1486" s="9">
        <v>200000</v>
      </c>
      <c r="I1486" s="9">
        <f>[1]!Tabel1[[#This Row],[Honorar]]*[1]!Tabel1[[#This Row],[Sandsynlighed]]</f>
        <v>0</v>
      </c>
      <c r="J1486" s="10" t="s">
        <v>342</v>
      </c>
      <c r="K1486" s="1" t="s">
        <v>585</v>
      </c>
      <c r="L1486" s="17"/>
      <c r="M1486" s="11">
        <v>0.95</v>
      </c>
      <c r="N1486" s="1"/>
      <c r="O1486" s="10">
        <v>46279.621504629627</v>
      </c>
      <c r="P1486" s="10" t="s">
        <v>46</v>
      </c>
      <c r="Q1486" s="1" t="s">
        <v>46</v>
      </c>
      <c r="R1486" s="8" t="s">
        <v>343</v>
      </c>
      <c r="S148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8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8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8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8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8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8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8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8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8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8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8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8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86" s="12">
        <f ca="1">[1]!Tabel1[[#This Row],[Vægtet Honorar]]*([1]!Tabel1[[#This Row],[Sidst redigeret]]&gt;TODAY()-40)*([1]!Tabel1[[#This Row],[Er i resplan?]]&lt;&gt;"Ja")*([1]!Tabel1[[#This Row],[Status]]="Pågår")</f>
        <v>0</v>
      </c>
      <c r="AG1486" s="12">
        <f ca="1">[1]!Tabel1[[#This Row],[Vægtet Honorar]]*([1]!Tabel1[[#This Row],[Sidst redigeret]]&gt;TODAY()-40)*([1]!Tabel1[[#This Row],[Status]]="Pågår")</f>
        <v>0</v>
      </c>
      <c r="AH1486" s="13"/>
      <c r="AI1486" s="12"/>
      <c r="AJ1486" s="12"/>
      <c r="AK1486" s="12"/>
      <c r="AL1486" s="12"/>
      <c r="AM1486" s="12"/>
      <c r="AN1486" s="12"/>
      <c r="AO1486" s="12"/>
      <c r="AP1486" s="12"/>
    </row>
    <row r="1487" spans="1:42">
      <c r="A1487" t="s">
        <v>5174</v>
      </c>
      <c r="B1487" s="8"/>
      <c r="C1487" s="8" t="s">
        <v>5175</v>
      </c>
      <c r="D1487" s="8" t="s">
        <v>1771</v>
      </c>
      <c r="E1487" s="8" t="s">
        <v>167</v>
      </c>
      <c r="F1487" s="8" t="s">
        <v>1996</v>
      </c>
      <c r="G1487" s="8" t="s">
        <v>5176</v>
      </c>
      <c r="H1487" s="9">
        <v>1000000</v>
      </c>
      <c r="I1487" s="9">
        <f>[1]!Tabel1[[#This Row],[Honorar]]*[1]!Tabel1[[#This Row],[Sandsynlighed]]</f>
        <v>20000</v>
      </c>
      <c r="J1487" s="10" t="s">
        <v>1310</v>
      </c>
      <c r="K1487" s="1" t="s">
        <v>1323</v>
      </c>
      <c r="L1487" s="17"/>
      <c r="M1487" s="11">
        <v>0.01</v>
      </c>
      <c r="N1487" s="1" t="s">
        <v>5177</v>
      </c>
      <c r="O1487" s="10">
        <v>46279.621504629627</v>
      </c>
      <c r="P1487" s="10" t="s">
        <v>46</v>
      </c>
      <c r="Q1487" s="1" t="s">
        <v>72</v>
      </c>
      <c r="R1487" s="8" t="s">
        <v>343</v>
      </c>
      <c r="S148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8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8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8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8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8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8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8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8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8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8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8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8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87" s="12">
        <f ca="1">[1]!Tabel1[[#This Row],[Vægtet Honorar]]*([1]!Tabel1[[#This Row],[Sidst redigeret]]&gt;TODAY()-40)*([1]!Tabel1[[#This Row],[Er i resplan?]]&lt;&gt;"Ja")*([1]!Tabel1[[#This Row],[Status]]="Pågår")</f>
        <v>20000</v>
      </c>
      <c r="AG1487" s="12">
        <f ca="1">[1]!Tabel1[[#This Row],[Vægtet Honorar]]*([1]!Tabel1[[#This Row],[Sidst redigeret]]&gt;TODAY()-40)*([1]!Tabel1[[#This Row],[Status]]="Pågår")</f>
        <v>20000</v>
      </c>
      <c r="AH1487" s="13"/>
      <c r="AI1487" s="12"/>
      <c r="AJ1487" s="12"/>
      <c r="AK1487" s="12"/>
      <c r="AL1487" s="12"/>
      <c r="AM1487" s="12"/>
      <c r="AN1487" s="12"/>
      <c r="AO1487" s="12"/>
      <c r="AP1487" s="12"/>
    </row>
    <row r="1488" spans="1:42">
      <c r="A1488" t="s">
        <v>5178</v>
      </c>
      <c r="B1488" s="8"/>
      <c r="C1488" s="8" t="s">
        <v>5179</v>
      </c>
      <c r="D1488" s="8" t="s">
        <v>1771</v>
      </c>
      <c r="E1488" s="8" t="s">
        <v>167</v>
      </c>
      <c r="F1488" s="8" t="s">
        <v>1996</v>
      </c>
      <c r="G1488" s="8" t="s">
        <v>2107</v>
      </c>
      <c r="H1488" s="9">
        <v>1000000</v>
      </c>
      <c r="I1488" s="9">
        <f>[1]!Tabel1[[#This Row],[Honorar]]*[1]!Tabel1[[#This Row],[Sandsynlighed]]</f>
        <v>11477017</v>
      </c>
      <c r="J1488" s="10" t="s">
        <v>1310</v>
      </c>
      <c r="K1488" s="1" t="s">
        <v>1323</v>
      </c>
      <c r="L1488" s="17"/>
      <c r="M1488" s="11">
        <v>0.01</v>
      </c>
      <c r="N1488" s="1"/>
      <c r="O1488" s="10">
        <v>46279.621504629627</v>
      </c>
      <c r="P1488" s="10" t="s">
        <v>46</v>
      </c>
      <c r="Q1488" s="1" t="s">
        <v>72</v>
      </c>
      <c r="R1488" s="8" t="s">
        <v>343</v>
      </c>
      <c r="S148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8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8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8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8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8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8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8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8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8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8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8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8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88" s="12">
        <f ca="1">[1]!Tabel1[[#This Row],[Vægtet Honorar]]*([1]!Tabel1[[#This Row],[Sidst redigeret]]&gt;TODAY()-40)*([1]!Tabel1[[#This Row],[Er i resplan?]]&lt;&gt;"Ja")*([1]!Tabel1[[#This Row],[Status]]="Pågår")</f>
        <v>0</v>
      </c>
      <c r="AG1488" s="12">
        <f ca="1">[1]!Tabel1[[#This Row],[Vægtet Honorar]]*([1]!Tabel1[[#This Row],[Sidst redigeret]]&gt;TODAY()-40)*([1]!Tabel1[[#This Row],[Status]]="Pågår")</f>
        <v>0</v>
      </c>
      <c r="AH1488" s="13"/>
      <c r="AI1488" s="12"/>
      <c r="AJ1488" s="12"/>
      <c r="AK1488" s="12"/>
      <c r="AL1488" s="12"/>
      <c r="AM1488" s="12"/>
      <c r="AN1488" s="12"/>
      <c r="AO1488" s="12"/>
      <c r="AP1488" s="12"/>
    </row>
    <row r="1489" spans="1:42" ht="30">
      <c r="A1489" t="s">
        <v>5180</v>
      </c>
      <c r="B1489" s="8"/>
      <c r="C1489" s="8" t="s">
        <v>5181</v>
      </c>
      <c r="D1489" s="8" t="s">
        <v>1771</v>
      </c>
      <c r="E1489" s="8" t="s">
        <v>167</v>
      </c>
      <c r="F1489" s="8" t="s">
        <v>5025</v>
      </c>
      <c r="G1489" s="8" t="s">
        <v>5025</v>
      </c>
      <c r="H1489" s="9">
        <v>1500000</v>
      </c>
      <c r="I1489" s="9">
        <f>[1]!Tabel1[[#This Row],[Honorar]]*[1]!Tabel1[[#This Row],[Sandsynlighed]]</f>
        <v>1000000</v>
      </c>
      <c r="J1489" s="10" t="s">
        <v>1310</v>
      </c>
      <c r="K1489" s="1" t="s">
        <v>1323</v>
      </c>
      <c r="L1489" s="17" t="s">
        <v>5182</v>
      </c>
      <c r="M1489" s="11">
        <v>0.01</v>
      </c>
      <c r="N1489" s="1"/>
      <c r="O1489" s="10">
        <v>46279.621504629627</v>
      </c>
      <c r="P1489" s="10" t="s">
        <v>46</v>
      </c>
      <c r="Q1489" s="1" t="s">
        <v>72</v>
      </c>
      <c r="R1489" s="8" t="s">
        <v>343</v>
      </c>
      <c r="S148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8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8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8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8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8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8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8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8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8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8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8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8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89" s="12">
        <f ca="1">[1]!Tabel1[[#This Row],[Vægtet Honorar]]*([1]!Tabel1[[#This Row],[Sidst redigeret]]&gt;TODAY()-40)*([1]!Tabel1[[#This Row],[Er i resplan?]]&lt;&gt;"Ja")*([1]!Tabel1[[#This Row],[Status]]="Pågår")</f>
        <v>0</v>
      </c>
      <c r="AG1489" s="12">
        <f ca="1">[1]!Tabel1[[#This Row],[Vægtet Honorar]]*([1]!Tabel1[[#This Row],[Sidst redigeret]]&gt;TODAY()-40)*([1]!Tabel1[[#This Row],[Status]]="Pågår")</f>
        <v>0</v>
      </c>
      <c r="AH1489" s="13"/>
      <c r="AI1489" s="12"/>
      <c r="AJ1489" s="12" t="s">
        <v>2107</v>
      </c>
      <c r="AK1489" s="12"/>
      <c r="AL1489" s="12"/>
      <c r="AM1489" s="12"/>
      <c r="AN1489" s="12"/>
      <c r="AO1489" s="12"/>
      <c r="AP1489" s="12"/>
    </row>
    <row r="1490" spans="1:42" ht="30">
      <c r="A1490" t="s">
        <v>5183</v>
      </c>
      <c r="B1490" s="8"/>
      <c r="C1490" s="8" t="s">
        <v>5184</v>
      </c>
      <c r="D1490" s="8" t="s">
        <v>896</v>
      </c>
      <c r="E1490" s="8" t="s">
        <v>94</v>
      </c>
      <c r="F1490" s="8" t="s">
        <v>2679</v>
      </c>
      <c r="G1490" s="8" t="s">
        <v>2679</v>
      </c>
      <c r="H1490" s="9">
        <v>500000</v>
      </c>
      <c r="I1490" s="9">
        <f>[1]!Tabel1[[#This Row],[Honorar]]*[1]!Tabel1[[#This Row],[Sandsynlighed]]</f>
        <v>100000</v>
      </c>
      <c r="J1490" s="10" t="s">
        <v>341</v>
      </c>
      <c r="K1490" s="1" t="s">
        <v>1310</v>
      </c>
      <c r="L1490" s="17" t="s">
        <v>5182</v>
      </c>
      <c r="M1490" s="11">
        <v>0.19</v>
      </c>
      <c r="N1490" s="1"/>
      <c r="O1490" s="10">
        <v>46279.621504629627</v>
      </c>
      <c r="P1490" s="10" t="s">
        <v>46</v>
      </c>
      <c r="Q1490" s="1" t="s">
        <v>72</v>
      </c>
      <c r="R1490" s="8" t="s">
        <v>49</v>
      </c>
      <c r="S149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9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9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9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9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9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9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9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9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9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9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9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9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90" s="12">
        <f ca="1">[1]!Tabel1[[#This Row],[Vægtet Honorar]]*([1]!Tabel1[[#This Row],[Sidst redigeret]]&gt;TODAY()-40)*([1]!Tabel1[[#This Row],[Er i resplan?]]&lt;&gt;"Ja")*([1]!Tabel1[[#This Row],[Status]]="Pågår")</f>
        <v>100000</v>
      </c>
      <c r="AG1490" s="12">
        <f ca="1">[1]!Tabel1[[#This Row],[Vægtet Honorar]]*([1]!Tabel1[[#This Row],[Sidst redigeret]]&gt;TODAY()-40)*([1]!Tabel1[[#This Row],[Status]]="Pågår")</f>
        <v>100000</v>
      </c>
      <c r="AH1490" s="13"/>
      <c r="AI1490" s="12"/>
      <c r="AJ1490" s="12"/>
      <c r="AK1490" s="12"/>
      <c r="AL1490" s="12"/>
      <c r="AM1490" s="12"/>
      <c r="AN1490" s="12"/>
      <c r="AO1490" s="12"/>
      <c r="AP1490" s="12"/>
    </row>
    <row r="1491" spans="1:42">
      <c r="A1491" t="s">
        <v>5185</v>
      </c>
      <c r="B1491" s="8"/>
      <c r="C1491" s="8" t="s">
        <v>5186</v>
      </c>
      <c r="D1491" s="8" t="s">
        <v>1886</v>
      </c>
      <c r="E1491" s="8" t="s">
        <v>94</v>
      </c>
      <c r="F1491" s="8" t="s">
        <v>5187</v>
      </c>
      <c r="G1491" s="8" t="s">
        <v>2211</v>
      </c>
      <c r="H1491" s="9">
        <v>1000000</v>
      </c>
      <c r="I1491" s="9">
        <f>[1]!Tabel1[[#This Row],[Honorar]]*[1]!Tabel1[[#This Row],[Sandsynlighed]]</f>
        <v>190000</v>
      </c>
      <c r="J1491" s="10" t="s">
        <v>1310</v>
      </c>
      <c r="K1491" s="1" t="s">
        <v>342</v>
      </c>
      <c r="L1491" s="17"/>
      <c r="M1491" s="11">
        <v>0.33</v>
      </c>
      <c r="N1491" s="1" t="s">
        <v>5188</v>
      </c>
      <c r="O1491" s="10">
        <v>46279.621504629627</v>
      </c>
      <c r="P1491" s="10" t="s">
        <v>46</v>
      </c>
      <c r="Q1491" s="1" t="s">
        <v>72</v>
      </c>
      <c r="R1491" s="8" t="s">
        <v>75</v>
      </c>
      <c r="S149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9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9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9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9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9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9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9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9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9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9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9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9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91" s="12">
        <f ca="1">[1]!Tabel1[[#This Row],[Vægtet Honorar]]*([1]!Tabel1[[#This Row],[Sidst redigeret]]&gt;TODAY()-40)*([1]!Tabel1[[#This Row],[Er i resplan?]]&lt;&gt;"Ja")*([1]!Tabel1[[#This Row],[Status]]="Pågår")</f>
        <v>0</v>
      </c>
      <c r="AG1491" s="12">
        <f ca="1">[1]!Tabel1[[#This Row],[Vægtet Honorar]]*([1]!Tabel1[[#This Row],[Sidst redigeret]]&gt;TODAY()-40)*([1]!Tabel1[[#This Row],[Status]]="Pågår")</f>
        <v>190000</v>
      </c>
      <c r="AH1491" s="13"/>
      <c r="AI1491" s="12"/>
      <c r="AJ1491" s="12"/>
      <c r="AK1491" s="12"/>
      <c r="AL1491" s="12"/>
      <c r="AM1491" s="12"/>
      <c r="AN1491" s="12"/>
      <c r="AO1491" s="12"/>
      <c r="AP1491" s="12"/>
    </row>
    <row r="1492" spans="1:42" ht="105">
      <c r="A1492" t="s">
        <v>5189</v>
      </c>
      <c r="B1492" s="8"/>
      <c r="C1492" s="8" t="s">
        <v>5190</v>
      </c>
      <c r="D1492" s="8" t="s">
        <v>158</v>
      </c>
      <c r="E1492" s="8" t="s">
        <v>167</v>
      </c>
      <c r="F1492" s="8" t="s">
        <v>5191</v>
      </c>
      <c r="G1492" s="8" t="s">
        <v>5192</v>
      </c>
      <c r="H1492" s="9">
        <v>1</v>
      </c>
      <c r="I1492" s="9">
        <f>[1]!Tabel1[[#This Row],[Honorar]]*[1]!Tabel1[[#This Row],[Sandsynlighed]]</f>
        <v>10000</v>
      </c>
      <c r="J1492" s="10" t="s">
        <v>341</v>
      </c>
      <c r="K1492" s="1" t="s">
        <v>342</v>
      </c>
      <c r="L1492" s="17" t="s">
        <v>5193</v>
      </c>
      <c r="M1492" s="11">
        <v>0.05</v>
      </c>
      <c r="N1492" s="1"/>
      <c r="O1492" s="10">
        <v>46279.621504629627</v>
      </c>
      <c r="P1492" s="10" t="s">
        <v>46</v>
      </c>
      <c r="Q1492" s="1" t="s">
        <v>72</v>
      </c>
      <c r="R1492" s="8" t="s">
        <v>343</v>
      </c>
      <c r="S149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9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9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9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9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9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9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9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9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9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9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9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9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92" s="12">
        <f ca="1">[1]!Tabel1[[#This Row],[Vægtet Honorar]]*([1]!Tabel1[[#This Row],[Sidst redigeret]]&gt;TODAY()-40)*([1]!Tabel1[[#This Row],[Er i resplan?]]&lt;&gt;"Ja")*([1]!Tabel1[[#This Row],[Status]]="Pågår")</f>
        <v>10000</v>
      </c>
      <c r="AG1492" s="12">
        <f ca="1">[1]!Tabel1[[#This Row],[Vægtet Honorar]]*([1]!Tabel1[[#This Row],[Sidst redigeret]]&gt;TODAY()-40)*([1]!Tabel1[[#This Row],[Status]]="Pågår")</f>
        <v>10000</v>
      </c>
      <c r="AH1492" s="13"/>
      <c r="AI1492" s="12"/>
      <c r="AJ1492" s="12" t="s">
        <v>402</v>
      </c>
      <c r="AK1492" s="12" t="s">
        <v>5194</v>
      </c>
      <c r="AL1492" s="12"/>
      <c r="AM1492" s="12"/>
      <c r="AN1492" s="12"/>
      <c r="AO1492" s="12"/>
      <c r="AP1492" s="12"/>
    </row>
    <row r="1493" spans="1:42" ht="90">
      <c r="A1493" t="s">
        <v>5195</v>
      </c>
      <c r="B1493" s="8"/>
      <c r="C1493" s="8" t="s">
        <v>5196</v>
      </c>
      <c r="D1493" s="8" t="s">
        <v>1771</v>
      </c>
      <c r="E1493" s="8" t="s">
        <v>167</v>
      </c>
      <c r="F1493" s="8" t="s">
        <v>5197</v>
      </c>
      <c r="G1493" s="8" t="s">
        <v>5198</v>
      </c>
      <c r="H1493" s="9">
        <v>300000</v>
      </c>
      <c r="I1493" s="9">
        <f>[1]!Tabel1[[#This Row],[Honorar]]*[1]!Tabel1[[#This Row],[Sandsynlighed]]</f>
        <v>10000</v>
      </c>
      <c r="J1493" s="10" t="s">
        <v>341</v>
      </c>
      <c r="K1493" s="1" t="s">
        <v>342</v>
      </c>
      <c r="L1493" s="17" t="s">
        <v>5199</v>
      </c>
      <c r="M1493" s="11">
        <v>0.5</v>
      </c>
      <c r="N1493" s="1"/>
      <c r="O1493" s="10">
        <v>46279.621504629627</v>
      </c>
      <c r="P1493" s="10" t="s">
        <v>46</v>
      </c>
      <c r="Q1493" s="1" t="s">
        <v>72</v>
      </c>
      <c r="R1493" s="8" t="s">
        <v>343</v>
      </c>
      <c r="S149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9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9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9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9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9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9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9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9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9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9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9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9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93" s="12">
        <f ca="1">[1]!Tabel1[[#This Row],[Vægtet Honorar]]*([1]!Tabel1[[#This Row],[Sidst redigeret]]&gt;TODAY()-40)*([1]!Tabel1[[#This Row],[Er i resplan?]]&lt;&gt;"Ja")*([1]!Tabel1[[#This Row],[Status]]="Pågår")</f>
        <v>10000</v>
      </c>
      <c r="AG1493" s="12">
        <f ca="1">[1]!Tabel1[[#This Row],[Vægtet Honorar]]*([1]!Tabel1[[#This Row],[Sidst redigeret]]&gt;TODAY()-40)*([1]!Tabel1[[#This Row],[Status]]="Pågår")</f>
        <v>10000</v>
      </c>
      <c r="AH1493" s="13"/>
      <c r="AI1493" s="12"/>
      <c r="AJ1493" s="12"/>
      <c r="AK1493" s="12"/>
      <c r="AL1493" s="12"/>
      <c r="AM1493" s="12"/>
      <c r="AN1493" s="12"/>
      <c r="AO1493" s="12"/>
      <c r="AP1493" s="12"/>
    </row>
    <row r="1494" spans="1:42">
      <c r="A1494" t="s">
        <v>5200</v>
      </c>
      <c r="B1494" s="8"/>
      <c r="C1494" s="8" t="s">
        <v>5201</v>
      </c>
      <c r="D1494" s="8" t="s">
        <v>720</v>
      </c>
      <c r="E1494" s="8" t="s">
        <v>71</v>
      </c>
      <c r="F1494" s="8" t="s">
        <v>1274</v>
      </c>
      <c r="G1494" s="8" t="s">
        <v>1166</v>
      </c>
      <c r="H1494" s="9">
        <v>3000000</v>
      </c>
      <c r="I1494" s="9">
        <f>[1]!Tabel1[[#This Row],[Honorar]]*[1]!Tabel1[[#This Row],[Sandsynlighed]]</f>
        <v>15000</v>
      </c>
      <c r="J1494" s="10" t="s">
        <v>2405</v>
      </c>
      <c r="K1494" s="1" t="s">
        <v>2624</v>
      </c>
      <c r="L1494" s="17"/>
      <c r="M1494" s="11">
        <v>0.01</v>
      </c>
      <c r="N1494" s="1"/>
      <c r="O1494" s="10">
        <v>46279.621504629627</v>
      </c>
      <c r="P1494" s="10" t="s">
        <v>46</v>
      </c>
      <c r="Q1494" s="1" t="s">
        <v>72</v>
      </c>
      <c r="R1494" s="8" t="s">
        <v>343</v>
      </c>
      <c r="S149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9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9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9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9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9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9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9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9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9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9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9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9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94" s="12">
        <f ca="1">[1]!Tabel1[[#This Row],[Vægtet Honorar]]*([1]!Tabel1[[#This Row],[Sidst redigeret]]&gt;TODAY()-40)*([1]!Tabel1[[#This Row],[Er i resplan?]]&lt;&gt;"Ja")*([1]!Tabel1[[#This Row],[Status]]="Pågår")</f>
        <v>15000</v>
      </c>
      <c r="AG1494" s="12">
        <f ca="1">[1]!Tabel1[[#This Row],[Vægtet Honorar]]*([1]!Tabel1[[#This Row],[Sidst redigeret]]&gt;TODAY()-40)*([1]!Tabel1[[#This Row],[Status]]="Pågår")</f>
        <v>15000</v>
      </c>
      <c r="AH1494" s="13"/>
      <c r="AI1494" s="12"/>
      <c r="AJ1494" s="12" t="s">
        <v>1166</v>
      </c>
      <c r="AK1494" s="12"/>
      <c r="AL1494" s="12"/>
      <c r="AM1494" s="12"/>
      <c r="AN1494" s="12"/>
      <c r="AO1494" s="12"/>
      <c r="AP1494" s="12"/>
    </row>
    <row r="1495" spans="1:42" ht="60">
      <c r="A1495" t="s">
        <v>5202</v>
      </c>
      <c r="B1495" s="8"/>
      <c r="C1495" s="8" t="s">
        <v>5203</v>
      </c>
      <c r="D1495" s="8" t="s">
        <v>896</v>
      </c>
      <c r="E1495" s="8" t="s">
        <v>94</v>
      </c>
      <c r="F1495" s="8" t="s">
        <v>3071</v>
      </c>
      <c r="G1495" s="8" t="s">
        <v>1864</v>
      </c>
      <c r="H1495" s="9">
        <v>3000000</v>
      </c>
      <c r="I1495" s="9">
        <f>[1]!Tabel1[[#This Row],[Honorar]]*[1]!Tabel1[[#This Row],[Sandsynlighed]]</f>
        <v>95000</v>
      </c>
      <c r="J1495" s="10" t="s">
        <v>1310</v>
      </c>
      <c r="K1495" s="1" t="s">
        <v>898</v>
      </c>
      <c r="L1495" s="17" t="s">
        <v>4790</v>
      </c>
      <c r="M1495" s="11">
        <v>0.01</v>
      </c>
      <c r="N1495" s="1">
        <v>1000</v>
      </c>
      <c r="O1495" s="10">
        <v>46279.621504629627</v>
      </c>
      <c r="P1495" s="10" t="s">
        <v>46</v>
      </c>
      <c r="Q1495" s="1" t="s">
        <v>72</v>
      </c>
      <c r="R1495" s="8" t="s">
        <v>343</v>
      </c>
      <c r="S149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9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9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9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9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9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9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9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9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9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9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9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9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95" s="12">
        <f ca="1">[1]!Tabel1[[#This Row],[Vægtet Honorar]]*([1]!Tabel1[[#This Row],[Sidst redigeret]]&gt;TODAY()-40)*([1]!Tabel1[[#This Row],[Er i resplan?]]&lt;&gt;"Ja")*([1]!Tabel1[[#This Row],[Status]]="Pågår")</f>
        <v>0</v>
      </c>
      <c r="AG1495" s="12">
        <f ca="1">[1]!Tabel1[[#This Row],[Vægtet Honorar]]*([1]!Tabel1[[#This Row],[Sidst redigeret]]&gt;TODAY()-40)*([1]!Tabel1[[#This Row],[Status]]="Pågår")</f>
        <v>0</v>
      </c>
      <c r="AH1495" s="13"/>
      <c r="AI1495" s="12"/>
      <c r="AJ1495" s="12" t="s">
        <v>1166</v>
      </c>
      <c r="AK1495" s="12"/>
      <c r="AL1495" s="12"/>
      <c r="AM1495" s="12"/>
      <c r="AN1495" s="12"/>
      <c r="AO1495" s="12"/>
      <c r="AP1495" s="12"/>
    </row>
    <row r="1496" spans="1:42" ht="60">
      <c r="A1496" t="s">
        <v>5204</v>
      </c>
      <c r="B1496" s="8"/>
      <c r="C1496" s="8" t="s">
        <v>5205</v>
      </c>
      <c r="D1496" s="8" t="s">
        <v>896</v>
      </c>
      <c r="E1496" s="8" t="s">
        <v>94</v>
      </c>
      <c r="F1496" s="8" t="s">
        <v>589</v>
      </c>
      <c r="G1496" s="8" t="s">
        <v>1864</v>
      </c>
      <c r="H1496" s="9">
        <v>3000000</v>
      </c>
      <c r="I1496" s="9">
        <f>[1]!Tabel1[[#This Row],[Honorar]]*[1]!Tabel1[[#This Row],[Sandsynlighed]]</f>
        <v>330000</v>
      </c>
      <c r="J1496" s="10" t="s">
        <v>1310</v>
      </c>
      <c r="K1496" s="1" t="s">
        <v>898</v>
      </c>
      <c r="L1496" s="17" t="s">
        <v>4790</v>
      </c>
      <c r="M1496" s="11">
        <v>0.01</v>
      </c>
      <c r="N1496" s="1">
        <v>1800</v>
      </c>
      <c r="O1496" s="10">
        <v>46279.621504629627</v>
      </c>
      <c r="P1496" s="10" t="s">
        <v>46</v>
      </c>
      <c r="Q1496" s="1" t="s">
        <v>72</v>
      </c>
      <c r="R1496" s="8" t="s">
        <v>343</v>
      </c>
      <c r="S149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9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9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9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9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9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9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9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9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9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9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9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9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96" s="12">
        <f ca="1">[1]!Tabel1[[#This Row],[Vægtet Honorar]]*([1]!Tabel1[[#This Row],[Sidst redigeret]]&gt;TODAY()-40)*([1]!Tabel1[[#This Row],[Er i resplan?]]&lt;&gt;"Ja")*([1]!Tabel1[[#This Row],[Status]]="Pågår")</f>
        <v>0</v>
      </c>
      <c r="AG1496" s="12">
        <f ca="1">[1]!Tabel1[[#This Row],[Vægtet Honorar]]*([1]!Tabel1[[#This Row],[Sidst redigeret]]&gt;TODAY()-40)*([1]!Tabel1[[#This Row],[Status]]="Pågår")</f>
        <v>0</v>
      </c>
      <c r="AH1496" s="13"/>
      <c r="AI1496" s="12"/>
      <c r="AJ1496" s="12" t="s">
        <v>1166</v>
      </c>
      <c r="AK1496" s="12"/>
      <c r="AL1496" s="12"/>
      <c r="AM1496" s="12"/>
      <c r="AN1496" s="12"/>
      <c r="AO1496" s="12"/>
      <c r="AP1496" s="12"/>
    </row>
    <row r="1497" spans="1:42">
      <c r="A1497" t="s">
        <v>5206</v>
      </c>
      <c r="B1497" s="8"/>
      <c r="C1497" s="8" t="s">
        <v>5207</v>
      </c>
      <c r="D1497" s="8" t="s">
        <v>1604</v>
      </c>
      <c r="E1497" s="8" t="s">
        <v>102</v>
      </c>
      <c r="F1497" s="8" t="s">
        <v>111</v>
      </c>
      <c r="G1497" s="8" t="s">
        <v>111</v>
      </c>
      <c r="H1497" s="9">
        <v>225000</v>
      </c>
      <c r="I1497" s="9">
        <f>[1]!Tabel1[[#This Row],[Honorar]]*[1]!Tabel1[[#This Row],[Sandsynlighed]]</f>
        <v>0.05</v>
      </c>
      <c r="J1497" s="10" t="s">
        <v>1310</v>
      </c>
      <c r="K1497" s="1" t="s">
        <v>342</v>
      </c>
      <c r="L1497" s="17"/>
      <c r="M1497" s="11">
        <v>0.8</v>
      </c>
      <c r="N1497" s="1">
        <v>1800</v>
      </c>
      <c r="O1497" s="10">
        <v>46279.621504629627</v>
      </c>
      <c r="P1497" s="10" t="s">
        <v>46</v>
      </c>
      <c r="Q1497" s="1" t="s">
        <v>46</v>
      </c>
      <c r="R1497" s="8" t="s">
        <v>343</v>
      </c>
      <c r="S149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9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9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9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9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9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9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9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9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9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9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9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9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97" s="12">
        <f ca="1">[1]!Tabel1[[#This Row],[Vægtet Honorar]]*([1]!Tabel1[[#This Row],[Sidst redigeret]]&gt;TODAY()-40)*([1]!Tabel1[[#This Row],[Er i resplan?]]&lt;&gt;"Ja")*([1]!Tabel1[[#This Row],[Status]]="Pågår")</f>
        <v>0.05</v>
      </c>
      <c r="AG1497" s="12">
        <f ca="1">[1]!Tabel1[[#This Row],[Vægtet Honorar]]*([1]!Tabel1[[#This Row],[Sidst redigeret]]&gt;TODAY()-40)*([1]!Tabel1[[#This Row],[Status]]="Pågår")</f>
        <v>0.05</v>
      </c>
      <c r="AH1497" s="13"/>
      <c r="AI1497" s="12"/>
      <c r="AJ1497" s="12"/>
      <c r="AK1497" s="12"/>
      <c r="AL1497" s="12"/>
      <c r="AM1497" s="12"/>
      <c r="AN1497" s="12"/>
      <c r="AO1497" s="12"/>
      <c r="AP1497" s="12"/>
    </row>
    <row r="1498" spans="1:42">
      <c r="A1498" t="s">
        <v>5208</v>
      </c>
      <c r="B1498" s="8"/>
      <c r="C1498" s="8" t="s">
        <v>5209</v>
      </c>
      <c r="D1498" s="8" t="s">
        <v>896</v>
      </c>
      <c r="E1498" s="8" t="s">
        <v>94</v>
      </c>
      <c r="F1498" s="8" t="s">
        <v>589</v>
      </c>
      <c r="G1498" s="8" t="s">
        <v>589</v>
      </c>
      <c r="H1498" s="9">
        <v>225000</v>
      </c>
      <c r="I1498" s="9">
        <f>[1]!Tabel1[[#This Row],[Honorar]]*[1]!Tabel1[[#This Row],[Sandsynlighed]]</f>
        <v>150000</v>
      </c>
      <c r="J1498" s="10" t="s">
        <v>1310</v>
      </c>
      <c r="K1498" s="1" t="s">
        <v>342</v>
      </c>
      <c r="L1498" s="17"/>
      <c r="M1498" s="11">
        <v>0.01</v>
      </c>
      <c r="N1498" s="1"/>
      <c r="O1498" s="10">
        <v>46279.621504629627</v>
      </c>
      <c r="P1498" s="10" t="s">
        <v>46</v>
      </c>
      <c r="Q1498" s="1" t="s">
        <v>46</v>
      </c>
      <c r="R1498" s="8" t="s">
        <v>49</v>
      </c>
      <c r="S149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9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9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9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9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9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9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9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9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9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9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9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9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98" s="12">
        <f ca="1">[1]!Tabel1[[#This Row],[Vægtet Honorar]]*([1]!Tabel1[[#This Row],[Sidst redigeret]]&gt;TODAY()-40)*([1]!Tabel1[[#This Row],[Er i resplan?]]&lt;&gt;"Ja")*([1]!Tabel1[[#This Row],[Status]]="Pågår")</f>
        <v>150000</v>
      </c>
      <c r="AG1498" s="12">
        <f ca="1">[1]!Tabel1[[#This Row],[Vægtet Honorar]]*([1]!Tabel1[[#This Row],[Sidst redigeret]]&gt;TODAY()-40)*([1]!Tabel1[[#This Row],[Status]]="Pågår")</f>
        <v>150000</v>
      </c>
      <c r="AH1498" s="13"/>
      <c r="AI1498" s="12"/>
      <c r="AJ1498" s="12" t="s">
        <v>4517</v>
      </c>
      <c r="AK1498" s="12"/>
      <c r="AL1498" s="12"/>
      <c r="AM1498" s="12"/>
      <c r="AN1498" s="12"/>
      <c r="AO1498" s="12"/>
      <c r="AP1498" s="12"/>
    </row>
    <row r="1499" spans="1:42" ht="45">
      <c r="A1499" t="s">
        <v>5210</v>
      </c>
      <c r="B1499" s="8"/>
      <c r="C1499" s="8" t="s">
        <v>5211</v>
      </c>
      <c r="D1499" s="8" t="s">
        <v>896</v>
      </c>
      <c r="E1499" s="8" t="s">
        <v>94</v>
      </c>
      <c r="F1499" s="8" t="s">
        <v>5211</v>
      </c>
      <c r="G1499" s="8" t="s">
        <v>2005</v>
      </c>
      <c r="H1499" s="9">
        <v>225000</v>
      </c>
      <c r="I1499" s="9">
        <f>[1]!Tabel1[[#This Row],[Honorar]]*[1]!Tabel1[[#This Row],[Sandsynlighed]]</f>
        <v>30000</v>
      </c>
      <c r="J1499" s="10" t="s">
        <v>1310</v>
      </c>
      <c r="K1499" s="1" t="s">
        <v>342</v>
      </c>
      <c r="L1499" s="17" t="s">
        <v>5212</v>
      </c>
      <c r="M1499" s="11">
        <v>0.01</v>
      </c>
      <c r="N1499" s="1"/>
      <c r="O1499" s="10">
        <v>46279.621504629627</v>
      </c>
      <c r="P1499" s="10" t="s">
        <v>46</v>
      </c>
      <c r="Q1499" s="1" t="s">
        <v>46</v>
      </c>
      <c r="R1499" s="8" t="s">
        <v>75</v>
      </c>
      <c r="S149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49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49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49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49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49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49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49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49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49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49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49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49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499" s="12">
        <f ca="1">[1]!Tabel1[[#This Row],[Vægtet Honorar]]*([1]!Tabel1[[#This Row],[Sidst redigeret]]&gt;TODAY()-40)*([1]!Tabel1[[#This Row],[Er i resplan?]]&lt;&gt;"Ja")*([1]!Tabel1[[#This Row],[Status]]="Pågår")</f>
        <v>30000</v>
      </c>
      <c r="AG1499" s="12">
        <f ca="1">[1]!Tabel1[[#This Row],[Vægtet Honorar]]*([1]!Tabel1[[#This Row],[Sidst redigeret]]&gt;TODAY()-40)*([1]!Tabel1[[#This Row],[Status]]="Pågår")</f>
        <v>30000</v>
      </c>
      <c r="AH1499" s="13"/>
      <c r="AI1499" s="12"/>
      <c r="AJ1499" s="12" t="s">
        <v>2005</v>
      </c>
      <c r="AK1499" s="12"/>
      <c r="AL1499" s="12"/>
      <c r="AM1499" s="12"/>
      <c r="AN1499" s="12"/>
      <c r="AO1499" s="12"/>
      <c r="AP1499" s="12"/>
    </row>
    <row r="1500" spans="1:42" ht="30">
      <c r="A1500" t="s">
        <v>5213</v>
      </c>
      <c r="B1500" s="8"/>
      <c r="C1500" s="8" t="s">
        <v>5214</v>
      </c>
      <c r="D1500" s="8" t="s">
        <v>1886</v>
      </c>
      <c r="E1500" s="8" t="s">
        <v>94</v>
      </c>
      <c r="F1500" s="8" t="s">
        <v>2341</v>
      </c>
      <c r="G1500" s="8" t="s">
        <v>2341</v>
      </c>
      <c r="H1500" s="9">
        <v>30000</v>
      </c>
      <c r="I1500" s="9">
        <f>[1]!Tabel1[[#This Row],[Honorar]]*[1]!Tabel1[[#This Row],[Sandsynlighed]]</f>
        <v>30000</v>
      </c>
      <c r="J1500" s="10" t="s">
        <v>1191</v>
      </c>
      <c r="K1500" s="1" t="s">
        <v>341</v>
      </c>
      <c r="L1500" s="17" t="s">
        <v>307</v>
      </c>
      <c r="M1500" s="11">
        <v>0.8</v>
      </c>
      <c r="N1500" s="1" t="s">
        <v>2377</v>
      </c>
      <c r="O1500" s="10">
        <v>46279.621504629627</v>
      </c>
      <c r="P1500" s="10" t="s">
        <v>46</v>
      </c>
      <c r="Q1500" s="1" t="s">
        <v>46</v>
      </c>
      <c r="R1500" s="8" t="s">
        <v>343</v>
      </c>
      <c r="S150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0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0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0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0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0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0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0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0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0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0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0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0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00" s="12">
        <f ca="1">[1]!Tabel1[[#This Row],[Vægtet Honorar]]*([1]!Tabel1[[#This Row],[Sidst redigeret]]&gt;TODAY()-40)*([1]!Tabel1[[#This Row],[Er i resplan?]]&lt;&gt;"Ja")*([1]!Tabel1[[#This Row],[Status]]="Pågår")</f>
        <v>30000</v>
      </c>
      <c r="AG1500" s="12">
        <f ca="1">[1]!Tabel1[[#This Row],[Vægtet Honorar]]*([1]!Tabel1[[#This Row],[Sidst redigeret]]&gt;TODAY()-40)*([1]!Tabel1[[#This Row],[Status]]="Pågår")</f>
        <v>30000</v>
      </c>
      <c r="AH1500" s="13"/>
      <c r="AI1500" s="12"/>
      <c r="AJ1500" s="12"/>
      <c r="AK1500" s="12"/>
      <c r="AL1500" s="12"/>
      <c r="AM1500" s="12"/>
      <c r="AN1500" s="12"/>
      <c r="AO1500" s="12"/>
      <c r="AP1500" s="12"/>
    </row>
    <row r="1501" spans="1:42" ht="30">
      <c r="A1501" t="s">
        <v>5215</v>
      </c>
      <c r="B1501" s="8"/>
      <c r="C1501" s="8" t="s">
        <v>5216</v>
      </c>
      <c r="D1501" s="8" t="s">
        <v>1886</v>
      </c>
      <c r="E1501" s="8" t="s">
        <v>94</v>
      </c>
      <c r="F1501" s="8" t="s">
        <v>2341</v>
      </c>
      <c r="G1501" s="8" t="s">
        <v>2341</v>
      </c>
      <c r="H1501" s="9">
        <v>30000</v>
      </c>
      <c r="I1501" s="9">
        <f>[1]!Tabel1[[#This Row],[Honorar]]*[1]!Tabel1[[#This Row],[Sandsynlighed]]</f>
        <v>30000</v>
      </c>
      <c r="J1501" s="10" t="s">
        <v>1191</v>
      </c>
      <c r="K1501" s="1" t="s">
        <v>341</v>
      </c>
      <c r="L1501" s="17" t="s">
        <v>307</v>
      </c>
      <c r="M1501" s="11">
        <v>0.95</v>
      </c>
      <c r="N1501" s="1" t="s">
        <v>2377</v>
      </c>
      <c r="O1501" s="10">
        <v>46279.621504629627</v>
      </c>
      <c r="P1501" s="10" t="s">
        <v>46</v>
      </c>
      <c r="Q1501" s="1" t="s">
        <v>46</v>
      </c>
      <c r="R1501" s="8" t="s">
        <v>343</v>
      </c>
      <c r="S150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0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0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0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0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0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0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0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0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0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0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0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0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01" s="12">
        <f ca="1">[1]!Tabel1[[#This Row],[Vægtet Honorar]]*([1]!Tabel1[[#This Row],[Sidst redigeret]]&gt;TODAY()-40)*([1]!Tabel1[[#This Row],[Er i resplan?]]&lt;&gt;"Ja")*([1]!Tabel1[[#This Row],[Status]]="Pågår")</f>
        <v>30000</v>
      </c>
      <c r="AG1501" s="12">
        <f ca="1">[1]!Tabel1[[#This Row],[Vægtet Honorar]]*([1]!Tabel1[[#This Row],[Sidst redigeret]]&gt;TODAY()-40)*([1]!Tabel1[[#This Row],[Status]]="Pågår")</f>
        <v>30000</v>
      </c>
      <c r="AH1501" s="13"/>
      <c r="AI1501" s="12"/>
      <c r="AJ1501" s="12"/>
      <c r="AK1501" s="12"/>
      <c r="AL1501" s="12"/>
      <c r="AM1501" s="12"/>
      <c r="AN1501" s="12"/>
      <c r="AO1501" s="12"/>
      <c r="AP1501" s="12"/>
    </row>
    <row r="1502" spans="1:42" ht="30">
      <c r="A1502" t="s">
        <v>5217</v>
      </c>
      <c r="B1502" s="8"/>
      <c r="C1502" s="8" t="s">
        <v>5218</v>
      </c>
      <c r="D1502" s="8" t="s">
        <v>1771</v>
      </c>
      <c r="E1502" s="8" t="s">
        <v>167</v>
      </c>
      <c r="F1502" s="8" t="s">
        <v>5025</v>
      </c>
      <c r="G1502" s="8" t="s">
        <v>5025</v>
      </c>
      <c r="H1502" s="9">
        <v>300000</v>
      </c>
      <c r="I1502" s="9">
        <f>[1]!Tabel1[[#This Row],[Honorar]]*[1]!Tabel1[[#This Row],[Sandsynlighed]]</f>
        <v>180000</v>
      </c>
      <c r="J1502" s="10" t="s">
        <v>341</v>
      </c>
      <c r="K1502" s="1" t="s">
        <v>342</v>
      </c>
      <c r="L1502" s="17" t="s">
        <v>5219</v>
      </c>
      <c r="M1502" s="11">
        <v>0</v>
      </c>
      <c r="N1502" s="1" t="s">
        <v>5220</v>
      </c>
      <c r="O1502" s="10">
        <v>46279.621504629627</v>
      </c>
      <c r="P1502" s="10" t="s">
        <v>46</v>
      </c>
      <c r="Q1502" s="1" t="s">
        <v>72</v>
      </c>
      <c r="R1502" s="8" t="s">
        <v>49</v>
      </c>
      <c r="S150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0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0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0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0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0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0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0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0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0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0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0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0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02" s="12">
        <f ca="1">[1]!Tabel1[[#This Row],[Vægtet Honorar]]*([1]!Tabel1[[#This Row],[Sidst redigeret]]&gt;TODAY()-40)*([1]!Tabel1[[#This Row],[Er i resplan?]]&lt;&gt;"Ja")*([1]!Tabel1[[#This Row],[Status]]="Pågår")</f>
        <v>0</v>
      </c>
      <c r="AG1502" s="12">
        <f ca="1">[1]!Tabel1[[#This Row],[Vægtet Honorar]]*([1]!Tabel1[[#This Row],[Sidst redigeret]]&gt;TODAY()-40)*([1]!Tabel1[[#This Row],[Status]]="Pågår")</f>
        <v>180000</v>
      </c>
      <c r="AH1502" s="13"/>
      <c r="AI1502" s="12"/>
      <c r="AJ1502" s="12"/>
      <c r="AK1502" s="12"/>
      <c r="AL1502" s="12"/>
      <c r="AM1502" s="12"/>
      <c r="AN1502" s="12"/>
      <c r="AO1502" s="12"/>
      <c r="AP1502" s="12"/>
    </row>
    <row r="1503" spans="1:42" ht="90">
      <c r="A1503" t="s">
        <v>5221</v>
      </c>
      <c r="B1503" s="8"/>
      <c r="C1503" s="8" t="s">
        <v>5222</v>
      </c>
      <c r="D1503" s="8" t="s">
        <v>1468</v>
      </c>
      <c r="E1503" s="8" t="s">
        <v>167</v>
      </c>
      <c r="F1503" s="8" t="s">
        <v>2183</v>
      </c>
      <c r="G1503" s="8" t="s">
        <v>5223</v>
      </c>
      <c r="H1503" s="9">
        <v>500000</v>
      </c>
      <c r="I1503" s="9">
        <f>[1]!Tabel1[[#This Row],[Honorar]]*[1]!Tabel1[[#This Row],[Sandsynlighed]]</f>
        <v>2250</v>
      </c>
      <c r="J1503" s="10" t="s">
        <v>341</v>
      </c>
      <c r="K1503" s="1" t="s">
        <v>2405</v>
      </c>
      <c r="L1503" s="17" t="s">
        <v>5224</v>
      </c>
      <c r="M1503" s="11">
        <v>0.4</v>
      </c>
      <c r="N1503" s="1"/>
      <c r="O1503" s="10">
        <v>46279.621504629627</v>
      </c>
      <c r="P1503" s="10" t="s">
        <v>46</v>
      </c>
      <c r="Q1503" s="1" t="s">
        <v>46</v>
      </c>
      <c r="R1503" s="8" t="s">
        <v>47</v>
      </c>
      <c r="S150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0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0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0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0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0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0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0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0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0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0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0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0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03" s="12">
        <f ca="1">[1]!Tabel1[[#This Row],[Vægtet Honorar]]*([1]!Tabel1[[#This Row],[Sidst redigeret]]&gt;TODAY()-40)*([1]!Tabel1[[#This Row],[Er i resplan?]]&lt;&gt;"Ja")*([1]!Tabel1[[#This Row],[Status]]="Pågår")</f>
        <v>0</v>
      </c>
      <c r="AG1503" s="12">
        <f ca="1">[1]!Tabel1[[#This Row],[Vægtet Honorar]]*([1]!Tabel1[[#This Row],[Sidst redigeret]]&gt;TODAY()-40)*([1]!Tabel1[[#This Row],[Status]]="Pågår")</f>
        <v>0</v>
      </c>
      <c r="AH1503" s="13">
        <v>46034.462407407409</v>
      </c>
      <c r="AI1503" s="12"/>
      <c r="AJ1503" s="12"/>
      <c r="AK1503" s="12"/>
      <c r="AL1503" s="12"/>
      <c r="AM1503" s="12"/>
      <c r="AN1503" s="12"/>
      <c r="AO1503" s="12"/>
      <c r="AP1503" s="12"/>
    </row>
    <row r="1504" spans="1:42">
      <c r="A1504" t="s">
        <v>5225</v>
      </c>
      <c r="B1504" s="8"/>
      <c r="C1504" s="8" t="s">
        <v>5226</v>
      </c>
      <c r="D1504" s="8" t="s">
        <v>2886</v>
      </c>
      <c r="E1504" s="8" t="s">
        <v>120</v>
      </c>
      <c r="F1504" s="8" t="s">
        <v>4576</v>
      </c>
      <c r="G1504" s="8" t="s">
        <v>4576</v>
      </c>
      <c r="H1504" s="9">
        <v>10300000</v>
      </c>
      <c r="I1504" s="9">
        <f>[1]!Tabel1[[#This Row],[Honorar]]*[1]!Tabel1[[#This Row],[Sandsynlighed]]</f>
        <v>2250</v>
      </c>
      <c r="J1504" s="10" t="s">
        <v>585</v>
      </c>
      <c r="K1504" s="1" t="s">
        <v>2105</v>
      </c>
      <c r="L1504" s="17"/>
      <c r="M1504" s="11">
        <v>0.35</v>
      </c>
      <c r="N1504" s="1"/>
      <c r="O1504" s="10">
        <v>46279.621504629627</v>
      </c>
      <c r="P1504" s="10"/>
      <c r="Q1504" s="1" t="s">
        <v>72</v>
      </c>
      <c r="R1504" s="8" t="s">
        <v>343</v>
      </c>
      <c r="S150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0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0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0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0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0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0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0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0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0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0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0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0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04" s="12">
        <f ca="1">[1]!Tabel1[[#This Row],[Vægtet Honorar]]*([1]!Tabel1[[#This Row],[Sidst redigeret]]&gt;TODAY()-40)*([1]!Tabel1[[#This Row],[Er i resplan?]]&lt;&gt;"Ja")*([1]!Tabel1[[#This Row],[Status]]="Pågår")</f>
        <v>0</v>
      </c>
      <c r="AG1504" s="12">
        <f ca="1">[1]!Tabel1[[#This Row],[Vægtet Honorar]]*([1]!Tabel1[[#This Row],[Sidst redigeret]]&gt;TODAY()-40)*([1]!Tabel1[[#This Row],[Status]]="Pågår")</f>
        <v>0</v>
      </c>
      <c r="AH1504" s="13"/>
      <c r="AI1504" s="12"/>
      <c r="AJ1504" s="12" t="s">
        <v>5227</v>
      </c>
      <c r="AK1504" s="12" t="s">
        <v>5228</v>
      </c>
      <c r="AL1504" s="12"/>
      <c r="AM1504" s="12"/>
      <c r="AN1504" s="12" t="s">
        <v>5229</v>
      </c>
      <c r="AO1504" s="12"/>
      <c r="AP1504" s="12"/>
    </row>
    <row r="1505" spans="1:42">
      <c r="A1505" t="s">
        <v>5230</v>
      </c>
      <c r="B1505" s="8"/>
      <c r="C1505" s="8" t="s">
        <v>5231</v>
      </c>
      <c r="D1505" s="8" t="s">
        <v>2886</v>
      </c>
      <c r="E1505" s="8" t="s">
        <v>120</v>
      </c>
      <c r="F1505" s="8"/>
      <c r="G1505" s="8"/>
      <c r="H1505" s="9">
        <v>50000</v>
      </c>
      <c r="I1505" s="9">
        <f>[1]!Tabel1[[#This Row],[Honorar]]*[1]!Tabel1[[#This Row],[Sandsynlighed]]</f>
        <v>24000</v>
      </c>
      <c r="J1505" s="10" t="s">
        <v>341</v>
      </c>
      <c r="K1505" s="1" t="s">
        <v>341</v>
      </c>
      <c r="L1505" s="17"/>
      <c r="M1505" s="11">
        <v>0.25</v>
      </c>
      <c r="N1505" s="1"/>
      <c r="O1505" s="10">
        <v>46279.621504629627</v>
      </c>
      <c r="P1505" s="10" t="s">
        <v>4507</v>
      </c>
      <c r="Q1505" s="1" t="s">
        <v>72</v>
      </c>
      <c r="R1505" s="8" t="s">
        <v>4031</v>
      </c>
      <c r="S150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0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0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0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0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0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0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0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0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0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0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0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0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05" s="12">
        <f ca="1">[1]!Tabel1[[#This Row],[Vægtet Honorar]]*([1]!Tabel1[[#This Row],[Sidst redigeret]]&gt;TODAY()-40)*([1]!Tabel1[[#This Row],[Er i resplan?]]&lt;&gt;"Ja")*([1]!Tabel1[[#This Row],[Status]]="Pågår")</f>
        <v>0</v>
      </c>
      <c r="AG1505" s="12">
        <f ca="1">[1]!Tabel1[[#This Row],[Vægtet Honorar]]*([1]!Tabel1[[#This Row],[Sidst redigeret]]&gt;TODAY()-40)*([1]!Tabel1[[#This Row],[Status]]="Pågår")</f>
        <v>24000</v>
      </c>
      <c r="AH1505" s="13">
        <v>46269.499212962961</v>
      </c>
      <c r="AI1505" s="12"/>
      <c r="AJ1505" s="12"/>
      <c r="AK1505" s="12"/>
      <c r="AL1505" s="12"/>
      <c r="AM1505" s="12"/>
      <c r="AN1505" s="12" t="s">
        <v>5232</v>
      </c>
      <c r="AO1505" s="12"/>
      <c r="AP1505" s="12"/>
    </row>
    <row r="1506" spans="1:42" ht="60">
      <c r="A1506" t="s">
        <v>5233</v>
      </c>
      <c r="B1506" s="8"/>
      <c r="C1506" s="8" t="s">
        <v>5234</v>
      </c>
      <c r="D1506" s="8" t="s">
        <v>896</v>
      </c>
      <c r="E1506" s="8" t="s">
        <v>94</v>
      </c>
      <c r="F1506" s="8" t="s">
        <v>589</v>
      </c>
      <c r="G1506" s="8" t="s">
        <v>2775</v>
      </c>
      <c r="H1506" s="9">
        <v>5000000</v>
      </c>
      <c r="I1506" s="9">
        <f>[1]!Tabel1[[#This Row],[Honorar]]*[1]!Tabel1[[#This Row],[Sandsynlighed]]</f>
        <v>28500</v>
      </c>
      <c r="J1506" s="10" t="s">
        <v>585</v>
      </c>
      <c r="K1506" s="1" t="s">
        <v>2105</v>
      </c>
      <c r="L1506" s="17" t="s">
        <v>4843</v>
      </c>
      <c r="M1506" s="11">
        <v>0.01</v>
      </c>
      <c r="N1506" s="1"/>
      <c r="O1506" s="10">
        <v>46279.621504629627</v>
      </c>
      <c r="P1506" s="10" t="s">
        <v>4507</v>
      </c>
      <c r="Q1506" s="1" t="s">
        <v>72</v>
      </c>
      <c r="R1506" s="8" t="s">
        <v>343</v>
      </c>
      <c r="S150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0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0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0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0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0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0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0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0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0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0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0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0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06" s="12">
        <f ca="1">[1]!Tabel1[[#This Row],[Vægtet Honorar]]*([1]!Tabel1[[#This Row],[Sidst redigeret]]&gt;TODAY()-40)*([1]!Tabel1[[#This Row],[Er i resplan?]]&lt;&gt;"Ja")*([1]!Tabel1[[#This Row],[Status]]="Pågår")</f>
        <v>0</v>
      </c>
      <c r="AG1506" s="12">
        <f ca="1">[1]!Tabel1[[#This Row],[Vægtet Honorar]]*([1]!Tabel1[[#This Row],[Sidst redigeret]]&gt;TODAY()-40)*([1]!Tabel1[[#This Row],[Status]]="Pågår")</f>
        <v>28500</v>
      </c>
      <c r="AH1506" s="13"/>
      <c r="AI1506" s="12"/>
      <c r="AJ1506" s="12" t="s">
        <v>3720</v>
      </c>
      <c r="AK1506" s="12"/>
      <c r="AL1506" s="12"/>
      <c r="AM1506" s="12"/>
      <c r="AN1506" s="12"/>
      <c r="AO1506" s="12"/>
      <c r="AP1506" s="12"/>
    </row>
    <row r="1507" spans="1:42">
      <c r="A1507" t="s">
        <v>5235</v>
      </c>
      <c r="B1507" s="8"/>
      <c r="C1507" s="8" t="s">
        <v>5236</v>
      </c>
      <c r="D1507" s="8" t="s">
        <v>2886</v>
      </c>
      <c r="E1507" s="8" t="s">
        <v>120</v>
      </c>
      <c r="F1507" s="8" t="s">
        <v>2687</v>
      </c>
      <c r="G1507" s="8" t="s">
        <v>3538</v>
      </c>
      <c r="H1507" s="9">
        <v>1500000</v>
      </c>
      <c r="I1507" s="9">
        <f>[1]!Tabel1[[#This Row],[Honorar]]*[1]!Tabel1[[#This Row],[Sandsynlighed]]</f>
        <v>0</v>
      </c>
      <c r="J1507" s="10" t="s">
        <v>585</v>
      </c>
      <c r="K1507" s="1" t="s">
        <v>1323</v>
      </c>
      <c r="L1507" s="17"/>
      <c r="M1507" s="11">
        <v>0.05</v>
      </c>
      <c r="N1507" s="1"/>
      <c r="O1507" s="10">
        <v>46279.621504629627</v>
      </c>
      <c r="P1507" s="10" t="s">
        <v>4507</v>
      </c>
      <c r="Q1507" s="1" t="s">
        <v>72</v>
      </c>
      <c r="R1507" s="8" t="s">
        <v>343</v>
      </c>
      <c r="S150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0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0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0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0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0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0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0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0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0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0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0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0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07" s="12">
        <f ca="1">[1]!Tabel1[[#This Row],[Vægtet Honorar]]*([1]!Tabel1[[#This Row],[Sidst redigeret]]&gt;TODAY()-40)*([1]!Tabel1[[#This Row],[Er i resplan?]]&lt;&gt;"Ja")*([1]!Tabel1[[#This Row],[Status]]="Pågår")</f>
        <v>0</v>
      </c>
      <c r="AG1507" s="12">
        <f ca="1">[1]!Tabel1[[#This Row],[Vægtet Honorar]]*([1]!Tabel1[[#This Row],[Sidst redigeret]]&gt;TODAY()-40)*([1]!Tabel1[[#This Row],[Status]]="Pågår")</f>
        <v>0</v>
      </c>
      <c r="AH1507" s="13"/>
      <c r="AI1507" s="12"/>
      <c r="AJ1507" s="12" t="s">
        <v>3538</v>
      </c>
      <c r="AK1507" s="12"/>
      <c r="AL1507" s="12"/>
      <c r="AM1507" s="12"/>
      <c r="AN1507" s="12"/>
      <c r="AO1507" s="12"/>
      <c r="AP1507" s="12"/>
    </row>
    <row r="1508" spans="1:42">
      <c r="A1508" t="s">
        <v>5237</v>
      </c>
      <c r="B1508" s="8"/>
      <c r="C1508" s="8" t="s">
        <v>5238</v>
      </c>
      <c r="D1508" s="8" t="s">
        <v>2886</v>
      </c>
      <c r="E1508" s="8" t="s">
        <v>120</v>
      </c>
      <c r="F1508" s="8" t="s">
        <v>5239</v>
      </c>
      <c r="G1508" s="8" t="s">
        <v>5239</v>
      </c>
      <c r="H1508" s="9">
        <v>3700000</v>
      </c>
      <c r="I1508" s="9">
        <f>[1]!Tabel1[[#This Row],[Honorar]]*[1]!Tabel1[[#This Row],[Sandsynlighed]]</f>
        <v>200000</v>
      </c>
      <c r="J1508" s="10" t="s">
        <v>585</v>
      </c>
      <c r="K1508" s="1" t="s">
        <v>1323</v>
      </c>
      <c r="L1508" s="17"/>
      <c r="M1508" s="11">
        <v>0.5</v>
      </c>
      <c r="N1508" s="1">
        <v>4000</v>
      </c>
      <c r="O1508" s="10">
        <v>46279.621504629627</v>
      </c>
      <c r="P1508" s="10" t="s">
        <v>4507</v>
      </c>
      <c r="Q1508" s="1" t="s">
        <v>72</v>
      </c>
      <c r="R1508" s="8" t="s">
        <v>343</v>
      </c>
      <c r="S150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0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0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0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0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0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0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0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0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0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0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0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0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08" s="12">
        <f ca="1">[1]!Tabel1[[#This Row],[Vægtet Honorar]]*([1]!Tabel1[[#This Row],[Sidst redigeret]]&gt;TODAY()-40)*([1]!Tabel1[[#This Row],[Er i resplan?]]&lt;&gt;"Ja")*([1]!Tabel1[[#This Row],[Status]]="Pågår")</f>
        <v>0</v>
      </c>
      <c r="AG1508" s="12">
        <f ca="1">[1]!Tabel1[[#This Row],[Vægtet Honorar]]*([1]!Tabel1[[#This Row],[Sidst redigeret]]&gt;TODAY()-40)*([1]!Tabel1[[#This Row],[Status]]="Pågår")</f>
        <v>0</v>
      </c>
      <c r="AH1508" s="13"/>
      <c r="AI1508" s="12"/>
      <c r="AJ1508" s="12"/>
      <c r="AK1508" s="12"/>
      <c r="AL1508" s="12"/>
      <c r="AM1508" s="12"/>
      <c r="AN1508" s="12"/>
      <c r="AO1508" s="12"/>
      <c r="AP1508" s="12"/>
    </row>
    <row r="1509" spans="1:42">
      <c r="A1509" t="s">
        <v>5240</v>
      </c>
      <c r="B1509" s="8"/>
      <c r="C1509" s="8" t="s">
        <v>5241</v>
      </c>
      <c r="D1509" s="8" t="s">
        <v>4254</v>
      </c>
      <c r="E1509" s="8" t="s">
        <v>167</v>
      </c>
      <c r="F1509" s="8" t="s">
        <v>5242</v>
      </c>
      <c r="G1509" s="8" t="s">
        <v>5242</v>
      </c>
      <c r="H1509" s="9">
        <v>1000000</v>
      </c>
      <c r="I1509" s="9">
        <f>[1]!Tabel1[[#This Row],[Honorar]]*[1]!Tabel1[[#This Row],[Sandsynlighed]]</f>
        <v>3605000</v>
      </c>
      <c r="J1509" s="10" t="s">
        <v>341</v>
      </c>
      <c r="K1509" s="1" t="s">
        <v>1323</v>
      </c>
      <c r="L1509" s="17"/>
      <c r="M1509" s="11">
        <v>0.5</v>
      </c>
      <c r="N1509" s="1"/>
      <c r="O1509" s="10">
        <v>46279.621504629627</v>
      </c>
      <c r="P1509" s="10" t="s">
        <v>4507</v>
      </c>
      <c r="Q1509" s="1" t="s">
        <v>72</v>
      </c>
      <c r="R1509" s="8" t="s">
        <v>343</v>
      </c>
      <c r="S150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0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0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0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0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0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0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0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0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0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0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0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0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09" s="12">
        <f ca="1">[1]!Tabel1[[#This Row],[Vægtet Honorar]]*([1]!Tabel1[[#This Row],[Sidst redigeret]]&gt;TODAY()-40)*([1]!Tabel1[[#This Row],[Er i resplan?]]&lt;&gt;"Ja")*([1]!Tabel1[[#This Row],[Status]]="Pågår")</f>
        <v>3605000</v>
      </c>
      <c r="AG1509" s="12">
        <f ca="1">[1]!Tabel1[[#This Row],[Vægtet Honorar]]*([1]!Tabel1[[#This Row],[Sidst redigeret]]&gt;TODAY()-40)*([1]!Tabel1[[#This Row],[Status]]="Pågår")</f>
        <v>3605000</v>
      </c>
      <c r="AH1509" s="13"/>
      <c r="AI1509" s="12"/>
      <c r="AJ1509" s="12"/>
      <c r="AK1509" s="12"/>
      <c r="AL1509" s="12"/>
      <c r="AM1509" s="12"/>
      <c r="AN1509" s="12"/>
      <c r="AO1509" s="12"/>
      <c r="AP1509" s="12"/>
    </row>
    <row r="1510" spans="1:42">
      <c r="A1510" t="s">
        <v>5243</v>
      </c>
      <c r="B1510" s="8"/>
      <c r="C1510" s="8" t="s">
        <v>5244</v>
      </c>
      <c r="D1510" s="8" t="s">
        <v>158</v>
      </c>
      <c r="E1510" s="8" t="s">
        <v>167</v>
      </c>
      <c r="F1510" s="8"/>
      <c r="G1510" s="8" t="s">
        <v>5245</v>
      </c>
      <c r="H1510" s="9">
        <v>400000</v>
      </c>
      <c r="I1510" s="9">
        <f>[1]!Tabel1[[#This Row],[Honorar]]*[1]!Tabel1[[#This Row],[Sandsynlighed]]</f>
        <v>12500</v>
      </c>
      <c r="J1510" s="10" t="s">
        <v>341</v>
      </c>
      <c r="K1510" s="1" t="s">
        <v>342</v>
      </c>
      <c r="L1510" s="17"/>
      <c r="M1510" s="11">
        <v>0.25</v>
      </c>
      <c r="N1510" s="1"/>
      <c r="O1510" s="10">
        <v>46279.621504629627</v>
      </c>
      <c r="P1510" s="10" t="s">
        <v>4507</v>
      </c>
      <c r="Q1510" s="1" t="s">
        <v>46</v>
      </c>
      <c r="R1510" s="8" t="s">
        <v>343</v>
      </c>
      <c r="S151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1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1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1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1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1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1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1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1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1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1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1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1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10" s="12">
        <f ca="1">[1]!Tabel1[[#This Row],[Vægtet Honorar]]*([1]!Tabel1[[#This Row],[Sidst redigeret]]&gt;TODAY()-40)*([1]!Tabel1[[#This Row],[Er i resplan?]]&lt;&gt;"Ja")*([1]!Tabel1[[#This Row],[Status]]="Pågår")</f>
        <v>0</v>
      </c>
      <c r="AG1510" s="12">
        <f ca="1">[1]!Tabel1[[#This Row],[Vægtet Honorar]]*([1]!Tabel1[[#This Row],[Sidst redigeret]]&gt;TODAY()-40)*([1]!Tabel1[[#This Row],[Status]]="Pågår")</f>
        <v>0</v>
      </c>
      <c r="AH1510" s="13"/>
      <c r="AI1510" s="12"/>
      <c r="AJ1510" s="12"/>
      <c r="AK1510" s="12"/>
      <c r="AL1510" s="12"/>
      <c r="AM1510" s="12"/>
      <c r="AN1510" s="12"/>
      <c r="AO1510" s="12"/>
      <c r="AP1510" s="12"/>
    </row>
    <row r="1511" spans="1:42">
      <c r="A1511" t="s">
        <v>5246</v>
      </c>
      <c r="B1511" s="8"/>
      <c r="C1511" s="8" t="s">
        <v>5247</v>
      </c>
      <c r="D1511" s="8" t="s">
        <v>70</v>
      </c>
      <c r="E1511" s="8" t="s">
        <v>102</v>
      </c>
      <c r="F1511" s="8" t="s">
        <v>5247</v>
      </c>
      <c r="G1511" s="8" t="s">
        <v>5248</v>
      </c>
      <c r="H1511" s="9">
        <v>950000</v>
      </c>
      <c r="I1511" s="9">
        <f>[1]!Tabel1[[#This Row],[Honorar]]*[1]!Tabel1[[#This Row],[Sandsynlighed]]</f>
        <v>50000</v>
      </c>
      <c r="J1511" s="10" t="s">
        <v>341</v>
      </c>
      <c r="K1511" s="1" t="s">
        <v>342</v>
      </c>
      <c r="L1511" s="17"/>
      <c r="M1511" s="11">
        <v>0.5</v>
      </c>
      <c r="N1511" s="1"/>
      <c r="O1511" s="10">
        <v>46279.621504629627</v>
      </c>
      <c r="P1511" s="10" t="s">
        <v>4507</v>
      </c>
      <c r="Q1511" s="1" t="s">
        <v>46</v>
      </c>
      <c r="R1511" s="8" t="s">
        <v>343</v>
      </c>
      <c r="S151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1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1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1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1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1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1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1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1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1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1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1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1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11" s="12">
        <f ca="1">[1]!Tabel1[[#This Row],[Vægtet Honorar]]*([1]!Tabel1[[#This Row],[Sidst redigeret]]&gt;TODAY()-40)*([1]!Tabel1[[#This Row],[Er i resplan?]]&lt;&gt;"Ja")*([1]!Tabel1[[#This Row],[Status]]="Pågår")</f>
        <v>50000</v>
      </c>
      <c r="AG1511" s="12">
        <f ca="1">[1]!Tabel1[[#This Row],[Vægtet Honorar]]*([1]!Tabel1[[#This Row],[Sidst redigeret]]&gt;TODAY()-40)*([1]!Tabel1[[#This Row],[Status]]="Pågår")</f>
        <v>50000</v>
      </c>
      <c r="AH1511" s="13"/>
      <c r="AI1511" s="12"/>
      <c r="AJ1511" s="12"/>
      <c r="AK1511" s="12"/>
      <c r="AL1511" s="12"/>
      <c r="AM1511" s="12"/>
      <c r="AN1511" s="12"/>
      <c r="AO1511" s="12"/>
      <c r="AP1511" s="12"/>
    </row>
    <row r="1512" spans="1:42">
      <c r="A1512" t="s">
        <v>5249</v>
      </c>
      <c r="B1512" s="8"/>
      <c r="C1512" s="8" t="s">
        <v>5250</v>
      </c>
      <c r="D1512" s="8" t="s">
        <v>720</v>
      </c>
      <c r="E1512" s="8" t="s">
        <v>71</v>
      </c>
      <c r="F1512" s="8" t="s">
        <v>5250</v>
      </c>
      <c r="G1512" s="8" t="s">
        <v>5250</v>
      </c>
      <c r="H1512" s="9">
        <v>1000000</v>
      </c>
      <c r="I1512" s="9">
        <f>[1]!Tabel1[[#This Row],[Honorar]]*[1]!Tabel1[[#This Row],[Sandsynlighed]]</f>
        <v>75000</v>
      </c>
      <c r="J1512" s="10" t="s">
        <v>341</v>
      </c>
      <c r="K1512" s="1" t="s">
        <v>342</v>
      </c>
      <c r="L1512" s="17"/>
      <c r="M1512" s="11">
        <v>1</v>
      </c>
      <c r="N1512" s="1"/>
      <c r="O1512" s="10">
        <v>46279.621504629627</v>
      </c>
      <c r="P1512" s="10" t="s">
        <v>4507</v>
      </c>
      <c r="Q1512" s="1" t="s">
        <v>46</v>
      </c>
      <c r="R1512" s="8" t="s">
        <v>47</v>
      </c>
      <c r="S151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1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1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1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1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1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1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1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1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1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1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1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1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12" s="12">
        <f ca="1">[1]!Tabel1[[#This Row],[Vægtet Honorar]]*([1]!Tabel1[[#This Row],[Sidst redigeret]]&gt;TODAY()-40)*([1]!Tabel1[[#This Row],[Er i resplan?]]&lt;&gt;"Ja")*([1]!Tabel1[[#This Row],[Status]]="Pågår")</f>
        <v>75000</v>
      </c>
      <c r="AG1512" s="12">
        <f ca="1">[1]!Tabel1[[#This Row],[Vægtet Honorar]]*([1]!Tabel1[[#This Row],[Sidst redigeret]]&gt;TODAY()-40)*([1]!Tabel1[[#This Row],[Status]]="Pågår")</f>
        <v>75000</v>
      </c>
      <c r="AH1512" s="13">
        <v>46078.558518518519</v>
      </c>
      <c r="AI1512" s="12"/>
      <c r="AJ1512" s="12"/>
      <c r="AK1512" s="12"/>
      <c r="AL1512" s="12"/>
      <c r="AM1512" s="12"/>
      <c r="AN1512" s="12"/>
      <c r="AO1512" s="12"/>
      <c r="AP1512" s="12"/>
    </row>
    <row r="1513" spans="1:42">
      <c r="A1513" t="s">
        <v>5251</v>
      </c>
      <c r="B1513" s="8"/>
      <c r="C1513" s="8" t="s">
        <v>5252</v>
      </c>
      <c r="D1513" s="8" t="s">
        <v>3790</v>
      </c>
      <c r="E1513" s="8" t="s">
        <v>71</v>
      </c>
      <c r="F1513" s="8" t="s">
        <v>5252</v>
      </c>
      <c r="G1513" s="8" t="s">
        <v>5253</v>
      </c>
      <c r="H1513" s="9">
        <v>250000</v>
      </c>
      <c r="I1513" s="9">
        <f>[1]!Tabel1[[#This Row],[Honorar]]*[1]!Tabel1[[#This Row],[Sandsynlighed]]</f>
        <v>1850000</v>
      </c>
      <c r="J1513" s="10" t="s">
        <v>341</v>
      </c>
      <c r="K1513" s="1" t="s">
        <v>342</v>
      </c>
      <c r="L1513" s="17"/>
      <c r="M1513" s="11">
        <v>0.75</v>
      </c>
      <c r="N1513" s="1"/>
      <c r="O1513" s="10">
        <v>46279.621504629627</v>
      </c>
      <c r="P1513" s="10" t="s">
        <v>4507</v>
      </c>
      <c r="Q1513" s="1" t="s">
        <v>46</v>
      </c>
      <c r="R1513" s="8" t="s">
        <v>343</v>
      </c>
      <c r="S151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1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1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1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1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1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1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1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1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1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1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1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1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13" s="12">
        <f ca="1">[1]!Tabel1[[#This Row],[Vægtet Honorar]]*([1]!Tabel1[[#This Row],[Sidst redigeret]]&gt;TODAY()-40)*([1]!Tabel1[[#This Row],[Er i resplan?]]&lt;&gt;"Ja")*([1]!Tabel1[[#This Row],[Status]]="Pågår")</f>
        <v>1850000</v>
      </c>
      <c r="AG1513" s="12">
        <f ca="1">[1]!Tabel1[[#This Row],[Vægtet Honorar]]*([1]!Tabel1[[#This Row],[Sidst redigeret]]&gt;TODAY()-40)*([1]!Tabel1[[#This Row],[Status]]="Pågår")</f>
        <v>1850000</v>
      </c>
      <c r="AH1513" s="13"/>
      <c r="AI1513" s="12"/>
      <c r="AJ1513" s="12"/>
      <c r="AK1513" s="12"/>
      <c r="AL1513" s="12"/>
      <c r="AM1513" s="12"/>
      <c r="AN1513" s="12"/>
      <c r="AO1513" s="12"/>
      <c r="AP1513" s="12"/>
    </row>
    <row r="1514" spans="1:42">
      <c r="A1514" t="s">
        <v>5254</v>
      </c>
      <c r="B1514" s="8"/>
      <c r="C1514" s="8" t="s">
        <v>5255</v>
      </c>
      <c r="D1514" s="8" t="s">
        <v>5256</v>
      </c>
      <c r="E1514" s="8"/>
      <c r="F1514" s="8"/>
      <c r="G1514" s="8"/>
      <c r="H1514" s="9"/>
      <c r="I1514" s="9"/>
      <c r="J1514" s="10"/>
      <c r="K1514" s="1"/>
      <c r="L1514" s="17"/>
      <c r="M1514" s="11"/>
      <c r="N1514" s="1"/>
      <c r="O1514" s="10">
        <v>46279.621504629627</v>
      </c>
      <c r="P1514" s="10"/>
      <c r="Q1514" s="1"/>
      <c r="R1514" s="8"/>
      <c r="S151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1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1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1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1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1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1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1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1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1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1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1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1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14" s="12">
        <f ca="1">[1]!Tabel1[[#This Row],[Vægtet Honorar]]*([1]!Tabel1[[#This Row],[Sidst redigeret]]&gt;TODAY()-40)*([1]!Tabel1[[#This Row],[Er i resplan?]]&lt;&gt;"Ja")*([1]!Tabel1[[#This Row],[Status]]="Pågår")</f>
        <v>500000</v>
      </c>
      <c r="AG1514" s="12">
        <f ca="1">[1]!Tabel1[[#This Row],[Vægtet Honorar]]*([1]!Tabel1[[#This Row],[Sidst redigeret]]&gt;TODAY()-40)*([1]!Tabel1[[#This Row],[Status]]="Pågår")</f>
        <v>500000</v>
      </c>
      <c r="AH1514" s="13"/>
      <c r="AI1514" s="12"/>
      <c r="AJ1514" s="12"/>
      <c r="AK1514" s="12"/>
      <c r="AL1514" s="12"/>
      <c r="AM1514" s="12"/>
      <c r="AN1514" s="12"/>
      <c r="AO1514" s="12"/>
      <c r="AP1514" s="12"/>
    </row>
    <row r="1515" spans="1:42" ht="30">
      <c r="A1515" t="s">
        <v>5257</v>
      </c>
      <c r="B1515" s="8"/>
      <c r="C1515" s="8" t="s">
        <v>5258</v>
      </c>
      <c r="D1515" s="8" t="s">
        <v>896</v>
      </c>
      <c r="E1515" s="8" t="s">
        <v>94</v>
      </c>
      <c r="F1515" s="8" t="s">
        <v>5259</v>
      </c>
      <c r="G1515" s="8" t="s">
        <v>2775</v>
      </c>
      <c r="H1515" s="9">
        <v>2000000</v>
      </c>
      <c r="I1515" s="9">
        <f>[1]!Tabel1[[#This Row],[Honorar]]*[1]!Tabel1[[#This Row],[Sandsynlighed]]</f>
        <v>100000</v>
      </c>
      <c r="J1515" s="10" t="s">
        <v>1310</v>
      </c>
      <c r="K1515" s="1" t="s">
        <v>2405</v>
      </c>
      <c r="L1515" s="17" t="s">
        <v>5260</v>
      </c>
      <c r="M1515" s="11">
        <v>0.01</v>
      </c>
      <c r="N1515" s="1">
        <v>1200</v>
      </c>
      <c r="O1515" s="10">
        <v>46279.621504629627</v>
      </c>
      <c r="P1515" s="10" t="s">
        <v>4507</v>
      </c>
      <c r="Q1515" s="1" t="s">
        <v>72</v>
      </c>
      <c r="R1515" s="8" t="s">
        <v>75</v>
      </c>
      <c r="S151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1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1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1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1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1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1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1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1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1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1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1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1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15" s="12">
        <f ca="1">[1]!Tabel1[[#This Row],[Vægtet Honorar]]*([1]!Tabel1[[#This Row],[Sidst redigeret]]&gt;TODAY()-40)*([1]!Tabel1[[#This Row],[Er i resplan?]]&lt;&gt;"Ja")*([1]!Tabel1[[#This Row],[Status]]="Pågår")</f>
        <v>0</v>
      </c>
      <c r="AG1515" s="12">
        <f ca="1">[1]!Tabel1[[#This Row],[Vægtet Honorar]]*([1]!Tabel1[[#This Row],[Sidst redigeret]]&gt;TODAY()-40)*([1]!Tabel1[[#This Row],[Status]]="Pågår")</f>
        <v>100000</v>
      </c>
      <c r="AH1515" s="13"/>
      <c r="AI1515" s="12"/>
      <c r="AJ1515" s="12" t="s">
        <v>2775</v>
      </c>
      <c r="AK1515" s="12"/>
      <c r="AL1515" s="12"/>
      <c r="AM1515" s="12"/>
      <c r="AN1515" s="12"/>
      <c r="AO1515" s="12"/>
      <c r="AP1515" s="12"/>
    </row>
    <row r="1516" spans="1:42">
      <c r="A1516" t="s">
        <v>5261</v>
      </c>
      <c r="B1516" s="8"/>
      <c r="C1516" s="8" t="s">
        <v>5262</v>
      </c>
      <c r="D1516" s="8" t="s">
        <v>2886</v>
      </c>
      <c r="E1516" s="8" t="s">
        <v>120</v>
      </c>
      <c r="F1516" s="8"/>
      <c r="G1516" s="8" t="s">
        <v>4177</v>
      </c>
      <c r="H1516" s="9">
        <v>1000000</v>
      </c>
      <c r="I1516" s="9">
        <f>[1]!Tabel1[[#This Row],[Honorar]]*[1]!Tabel1[[#This Row],[Sandsynlighed]]</f>
        <v>475000</v>
      </c>
      <c r="J1516" s="10" t="s">
        <v>1310</v>
      </c>
      <c r="K1516" s="1" t="s">
        <v>2405</v>
      </c>
      <c r="L1516" s="17"/>
      <c r="M1516" s="11">
        <v>0.5</v>
      </c>
      <c r="N1516" s="1"/>
      <c r="O1516" s="10">
        <v>46279.621504629627</v>
      </c>
      <c r="P1516" s="10" t="s">
        <v>4507</v>
      </c>
      <c r="Q1516" s="1" t="s">
        <v>46</v>
      </c>
      <c r="R1516" s="8" t="s">
        <v>4031</v>
      </c>
      <c r="S151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1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1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1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1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1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1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1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1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1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1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1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1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16" s="12">
        <f ca="1">[1]!Tabel1[[#This Row],[Vægtet Honorar]]*([1]!Tabel1[[#This Row],[Sidst redigeret]]&gt;TODAY()-40)*([1]!Tabel1[[#This Row],[Er i resplan?]]&lt;&gt;"Ja")*([1]!Tabel1[[#This Row],[Status]]="Pågår")</f>
        <v>0</v>
      </c>
      <c r="AG1516" s="12">
        <f ca="1">[1]!Tabel1[[#This Row],[Vægtet Honorar]]*([1]!Tabel1[[#This Row],[Sidst redigeret]]&gt;TODAY()-40)*([1]!Tabel1[[#This Row],[Status]]="Pågår")</f>
        <v>475000</v>
      </c>
      <c r="AH1516" s="13">
        <v>46269.499305555553</v>
      </c>
      <c r="AI1516" s="12"/>
      <c r="AJ1516" s="12"/>
      <c r="AK1516" s="12"/>
      <c r="AL1516" s="12"/>
      <c r="AM1516" s="12"/>
      <c r="AN1516" s="12"/>
      <c r="AO1516" s="12"/>
      <c r="AP1516" s="12"/>
    </row>
    <row r="1517" spans="1:42">
      <c r="A1517" t="s">
        <v>5263</v>
      </c>
      <c r="B1517" s="8"/>
      <c r="C1517" s="8" t="s">
        <v>5264</v>
      </c>
      <c r="D1517" s="8" t="s">
        <v>2886</v>
      </c>
      <c r="E1517" s="8" t="s">
        <v>120</v>
      </c>
      <c r="F1517" s="8" t="s">
        <v>2687</v>
      </c>
      <c r="G1517" s="8" t="s">
        <v>4177</v>
      </c>
      <c r="H1517" s="9">
        <v>1500000</v>
      </c>
      <c r="I1517" s="9">
        <f>[1]!Tabel1[[#This Row],[Honorar]]*[1]!Tabel1[[#This Row],[Sandsynlighed]]</f>
        <v>1000000</v>
      </c>
      <c r="J1517" s="10" t="s">
        <v>585</v>
      </c>
      <c r="K1517" s="1" t="s">
        <v>1323</v>
      </c>
      <c r="L1517" s="17"/>
      <c r="M1517" s="11">
        <v>0.05</v>
      </c>
      <c r="N1517" s="1"/>
      <c r="O1517" s="10">
        <v>46279.621504629627</v>
      </c>
      <c r="P1517" s="10" t="s">
        <v>4507</v>
      </c>
      <c r="Q1517" s="1" t="s">
        <v>72</v>
      </c>
      <c r="R1517" s="8" t="s">
        <v>1265</v>
      </c>
      <c r="S151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1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1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1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1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1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1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1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1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1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1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1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1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17" s="12">
        <f ca="1">[1]!Tabel1[[#This Row],[Vægtet Honorar]]*([1]!Tabel1[[#This Row],[Sidst redigeret]]&gt;TODAY()-40)*([1]!Tabel1[[#This Row],[Er i resplan?]]&lt;&gt;"Ja")*([1]!Tabel1[[#This Row],[Status]]="Pågår")</f>
        <v>0</v>
      </c>
      <c r="AG1517" s="12">
        <f ca="1">[1]!Tabel1[[#This Row],[Vægtet Honorar]]*([1]!Tabel1[[#This Row],[Sidst redigeret]]&gt;TODAY()-40)*([1]!Tabel1[[#This Row],[Status]]="Pågår")</f>
        <v>0</v>
      </c>
      <c r="AH1517" s="13"/>
      <c r="AI1517" s="12"/>
      <c r="AJ1517" s="12"/>
      <c r="AK1517" s="12"/>
      <c r="AL1517" s="12"/>
      <c r="AM1517" s="12"/>
      <c r="AN1517" s="12"/>
      <c r="AO1517" s="12"/>
      <c r="AP1517" s="12"/>
    </row>
    <row r="1518" spans="1:42">
      <c r="A1518" t="s">
        <v>5265</v>
      </c>
      <c r="B1518" s="8"/>
      <c r="C1518" s="8" t="s">
        <v>5266</v>
      </c>
      <c r="D1518" s="8" t="s">
        <v>1886</v>
      </c>
      <c r="E1518" s="8" t="s">
        <v>94</v>
      </c>
      <c r="F1518" s="8" t="s">
        <v>2341</v>
      </c>
      <c r="G1518" s="8" t="s">
        <v>2341</v>
      </c>
      <c r="H1518" s="9">
        <v>200000</v>
      </c>
      <c r="I1518" s="9">
        <f>[1]!Tabel1[[#This Row],[Honorar]]*[1]!Tabel1[[#This Row],[Sandsynlighed]]</f>
        <v>187500</v>
      </c>
      <c r="J1518" s="10" t="s">
        <v>341</v>
      </c>
      <c r="K1518" s="1" t="s">
        <v>585</v>
      </c>
      <c r="L1518" s="17"/>
      <c r="M1518" s="11">
        <v>0.9</v>
      </c>
      <c r="N1518" s="1"/>
      <c r="O1518" s="10">
        <v>46279.621504629627</v>
      </c>
      <c r="P1518" s="10" t="s">
        <v>4507</v>
      </c>
      <c r="Q1518" s="1" t="s">
        <v>46</v>
      </c>
      <c r="R1518" s="8" t="s">
        <v>343</v>
      </c>
      <c r="S151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1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1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1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1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1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1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1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1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1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1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1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1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18" s="12">
        <f ca="1">[1]!Tabel1[[#This Row],[Vægtet Honorar]]*([1]!Tabel1[[#This Row],[Sidst redigeret]]&gt;TODAY()-40)*([1]!Tabel1[[#This Row],[Er i resplan?]]&lt;&gt;"Ja")*([1]!Tabel1[[#This Row],[Status]]="Pågår")</f>
        <v>0</v>
      </c>
      <c r="AG1518" s="12">
        <f ca="1">[1]!Tabel1[[#This Row],[Vægtet Honorar]]*([1]!Tabel1[[#This Row],[Sidst redigeret]]&gt;TODAY()-40)*([1]!Tabel1[[#This Row],[Status]]="Pågår")</f>
        <v>187500</v>
      </c>
      <c r="AH1518" s="13"/>
      <c r="AI1518" s="12"/>
      <c r="AJ1518" s="12"/>
      <c r="AK1518" s="12"/>
      <c r="AL1518" s="12"/>
      <c r="AM1518" s="12"/>
      <c r="AN1518" s="12"/>
      <c r="AO1518" s="12"/>
      <c r="AP1518" s="12"/>
    </row>
    <row r="1519" spans="1:42">
      <c r="A1519" t="s">
        <v>5267</v>
      </c>
      <c r="B1519" s="8"/>
      <c r="C1519" s="8" t="s">
        <v>5268</v>
      </c>
      <c r="D1519" s="8" t="s">
        <v>158</v>
      </c>
      <c r="E1519" s="8" t="s">
        <v>71</v>
      </c>
      <c r="F1519" s="8" t="s">
        <v>990</v>
      </c>
      <c r="G1519" s="8" t="s">
        <v>990</v>
      </c>
      <c r="H1519" s="9">
        <v>1</v>
      </c>
      <c r="I1519" s="9">
        <f>[1]!Tabel1[[#This Row],[Honorar]]*[1]!Tabel1[[#This Row],[Sandsynlighed]]</f>
        <v>0</v>
      </c>
      <c r="J1519" s="10" t="s">
        <v>1310</v>
      </c>
      <c r="K1519" s="1" t="s">
        <v>4300</v>
      </c>
      <c r="L1519" s="17"/>
      <c r="M1519" s="11"/>
      <c r="N1519" s="1"/>
      <c r="O1519" s="10">
        <v>46279.621504629627</v>
      </c>
      <c r="P1519" s="10" t="s">
        <v>4507</v>
      </c>
      <c r="Q1519" s="1" t="s">
        <v>72</v>
      </c>
      <c r="R1519" s="8" t="s">
        <v>343</v>
      </c>
      <c r="S151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1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1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1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1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1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1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1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1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1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1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1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1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19" s="12">
        <f ca="1">[1]!Tabel1[[#This Row],[Vægtet Honorar]]*([1]!Tabel1[[#This Row],[Sidst redigeret]]&gt;TODAY()-40)*([1]!Tabel1[[#This Row],[Er i resplan?]]&lt;&gt;"Ja")*([1]!Tabel1[[#This Row],[Status]]="Pågår")</f>
        <v>0</v>
      </c>
      <c r="AG1519" s="12">
        <f ca="1">[1]!Tabel1[[#This Row],[Vægtet Honorar]]*([1]!Tabel1[[#This Row],[Sidst redigeret]]&gt;TODAY()-40)*([1]!Tabel1[[#This Row],[Status]]="Pågår")</f>
        <v>0</v>
      </c>
      <c r="AH1519" s="13"/>
      <c r="AI1519" s="12"/>
      <c r="AJ1519" s="12" t="s">
        <v>402</v>
      </c>
      <c r="AK1519" s="12"/>
      <c r="AL1519" s="12"/>
      <c r="AM1519" s="12"/>
      <c r="AN1519" s="12"/>
      <c r="AO1519" s="12"/>
      <c r="AP1519" s="12"/>
    </row>
    <row r="1520" spans="1:42">
      <c r="A1520" t="s">
        <v>5269</v>
      </c>
      <c r="B1520" s="8"/>
      <c r="C1520" s="8" t="s">
        <v>5270</v>
      </c>
      <c r="D1520" s="8" t="s">
        <v>158</v>
      </c>
      <c r="E1520" s="8" t="s">
        <v>102</v>
      </c>
      <c r="F1520" s="8" t="s">
        <v>339</v>
      </c>
      <c r="G1520" s="8" t="s">
        <v>339</v>
      </c>
      <c r="H1520" s="9">
        <v>250000</v>
      </c>
      <c r="I1520" s="9">
        <f>[1]!Tabel1[[#This Row],[Honorar]]*[1]!Tabel1[[#This Row],[Sandsynlighed]]</f>
        <v>20000</v>
      </c>
      <c r="J1520" s="10" t="s">
        <v>341</v>
      </c>
      <c r="K1520" s="1" t="s">
        <v>342</v>
      </c>
      <c r="L1520" s="17"/>
      <c r="M1520" s="11"/>
      <c r="N1520" s="1"/>
      <c r="O1520" s="10">
        <v>46279.621504629627</v>
      </c>
      <c r="P1520" s="10" t="s">
        <v>4591</v>
      </c>
      <c r="Q1520" s="1" t="s">
        <v>72</v>
      </c>
      <c r="R1520" s="8" t="s">
        <v>343</v>
      </c>
      <c r="S152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2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2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2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2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2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2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2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2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2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2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2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2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20" s="12">
        <f ca="1">[1]!Tabel1[[#This Row],[Vægtet Honorar]]*([1]!Tabel1[[#This Row],[Sidst redigeret]]&gt;TODAY()-40)*([1]!Tabel1[[#This Row],[Er i resplan?]]&lt;&gt;"Ja")*([1]!Tabel1[[#This Row],[Status]]="Pågår")</f>
        <v>0</v>
      </c>
      <c r="AG1520" s="12">
        <f ca="1">[1]!Tabel1[[#This Row],[Vægtet Honorar]]*([1]!Tabel1[[#This Row],[Sidst redigeret]]&gt;TODAY()-40)*([1]!Tabel1[[#This Row],[Status]]="Pågår")</f>
        <v>0</v>
      </c>
      <c r="AH1520" s="13"/>
      <c r="AI1520" s="12"/>
      <c r="AJ1520" s="12"/>
      <c r="AK1520" s="12"/>
      <c r="AL1520" s="12"/>
      <c r="AM1520" s="12"/>
      <c r="AN1520" s="12"/>
      <c r="AO1520" s="12"/>
      <c r="AP1520" s="12"/>
    </row>
    <row r="1521" spans="1:42" ht="30">
      <c r="A1521" t="s">
        <v>5271</v>
      </c>
      <c r="B1521" s="8"/>
      <c r="C1521" s="8" t="s">
        <v>5272</v>
      </c>
      <c r="D1521" s="8" t="s">
        <v>720</v>
      </c>
      <c r="E1521" s="8" t="s">
        <v>71</v>
      </c>
      <c r="F1521" s="8" t="s">
        <v>5273</v>
      </c>
      <c r="G1521" s="8" t="s">
        <v>5274</v>
      </c>
      <c r="H1521" s="9"/>
      <c r="I1521" s="9">
        <f>[1]!Tabel1[[#This Row],[Honorar]]*[1]!Tabel1[[#This Row],[Sandsynlighed]]</f>
        <v>500000</v>
      </c>
      <c r="J1521" s="10" t="s">
        <v>341</v>
      </c>
      <c r="K1521" s="1" t="s">
        <v>342</v>
      </c>
      <c r="L1521" s="17" t="s">
        <v>5275</v>
      </c>
      <c r="M1521" s="11">
        <v>0.25</v>
      </c>
      <c r="N1521" s="1">
        <v>3500</v>
      </c>
      <c r="O1521" s="10">
        <v>46279.621504629627</v>
      </c>
      <c r="P1521" s="10" t="s">
        <v>4591</v>
      </c>
      <c r="Q1521" s="1" t="s">
        <v>72</v>
      </c>
      <c r="R1521" s="8" t="s">
        <v>343</v>
      </c>
      <c r="S152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2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2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2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2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2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2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2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2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2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2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2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2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21" s="12">
        <f ca="1">[1]!Tabel1[[#This Row],[Vægtet Honorar]]*([1]!Tabel1[[#This Row],[Sidst redigeret]]&gt;TODAY()-40)*([1]!Tabel1[[#This Row],[Er i resplan?]]&lt;&gt;"Ja")*([1]!Tabel1[[#This Row],[Status]]="Pågår")</f>
        <v>0</v>
      </c>
      <c r="AG1521" s="12">
        <f ca="1">[1]!Tabel1[[#This Row],[Vægtet Honorar]]*([1]!Tabel1[[#This Row],[Sidst redigeret]]&gt;TODAY()-40)*([1]!Tabel1[[#This Row],[Status]]="Pågår")</f>
        <v>0</v>
      </c>
      <c r="AH1521" s="13"/>
      <c r="AI1521" s="12"/>
      <c r="AJ1521" s="12" t="s">
        <v>4446</v>
      </c>
      <c r="AK1521" s="12" t="s">
        <v>5276</v>
      </c>
      <c r="AL1521" s="12"/>
      <c r="AM1521" s="12"/>
      <c r="AN1521" s="12"/>
      <c r="AO1521" s="12"/>
      <c r="AP1521" s="12"/>
    </row>
    <row r="1522" spans="1:42">
      <c r="A1522" t="s">
        <v>5277</v>
      </c>
      <c r="B1522" s="8"/>
      <c r="C1522" s="8" t="s">
        <v>5278</v>
      </c>
      <c r="D1522" s="8" t="s">
        <v>2886</v>
      </c>
      <c r="E1522" s="8" t="s">
        <v>120</v>
      </c>
      <c r="F1522" s="8" t="s">
        <v>1671</v>
      </c>
      <c r="G1522" s="8" t="s">
        <v>2959</v>
      </c>
      <c r="H1522" s="9"/>
      <c r="I1522" s="9">
        <f>[1]!Tabel1[[#This Row],[Honorar]]*[1]!Tabel1[[#This Row],[Sandsynlighed]]</f>
        <v>75000</v>
      </c>
      <c r="J1522" s="10" t="s">
        <v>341</v>
      </c>
      <c r="K1522" s="1" t="s">
        <v>342</v>
      </c>
      <c r="L1522" s="17"/>
      <c r="M1522" s="11"/>
      <c r="N1522" s="1"/>
      <c r="O1522" s="10">
        <v>46279.621504629627</v>
      </c>
      <c r="P1522" s="10" t="s">
        <v>4507</v>
      </c>
      <c r="Q1522" s="1" t="s">
        <v>72</v>
      </c>
      <c r="R1522" s="8" t="s">
        <v>47</v>
      </c>
      <c r="S152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2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2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2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2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2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2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2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2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2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2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2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2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22" s="12">
        <f ca="1">[1]!Tabel1[[#This Row],[Vægtet Honorar]]*([1]!Tabel1[[#This Row],[Sidst redigeret]]&gt;TODAY()-40)*([1]!Tabel1[[#This Row],[Er i resplan?]]&lt;&gt;"Ja")*([1]!Tabel1[[#This Row],[Status]]="Pågår")</f>
        <v>0</v>
      </c>
      <c r="AG1522" s="12">
        <f ca="1">[1]!Tabel1[[#This Row],[Vægtet Honorar]]*([1]!Tabel1[[#This Row],[Sidst redigeret]]&gt;TODAY()-40)*([1]!Tabel1[[#This Row],[Status]]="Pågår")</f>
        <v>0</v>
      </c>
      <c r="AH1522" s="13">
        <v>46269.499571759261</v>
      </c>
      <c r="AI1522" s="12"/>
      <c r="AJ1522" s="12"/>
      <c r="AK1522" s="12"/>
      <c r="AL1522" s="12"/>
      <c r="AM1522" s="12"/>
      <c r="AN1522" s="12"/>
      <c r="AO1522" s="12"/>
      <c r="AP1522" s="12"/>
    </row>
    <row r="1523" spans="1:42">
      <c r="A1523" t="s">
        <v>5279</v>
      </c>
      <c r="B1523" s="8"/>
      <c r="C1523" s="8" t="s">
        <v>5280</v>
      </c>
      <c r="D1523" s="8" t="s">
        <v>720</v>
      </c>
      <c r="E1523" s="8" t="s">
        <v>71</v>
      </c>
      <c r="F1523" s="8" t="s">
        <v>1100</v>
      </c>
      <c r="G1523" s="8" t="s">
        <v>1100</v>
      </c>
      <c r="H1523" s="9">
        <v>8840000</v>
      </c>
      <c r="I1523" s="9">
        <f>[1]!Tabel1[[#This Row],[Honorar]]*[1]!Tabel1[[#This Row],[Sandsynlighed]]</f>
        <v>180000</v>
      </c>
      <c r="J1523" s="10" t="s">
        <v>341</v>
      </c>
      <c r="K1523" s="1" t="s">
        <v>342</v>
      </c>
      <c r="L1523" s="17"/>
      <c r="M1523" s="11">
        <v>1</v>
      </c>
      <c r="N1523" s="1"/>
      <c r="O1523" s="10">
        <v>46279.621504629627</v>
      </c>
      <c r="P1523" s="10" t="s">
        <v>4507</v>
      </c>
      <c r="Q1523" s="1" t="s">
        <v>46</v>
      </c>
      <c r="R1523" s="8" t="s">
        <v>47</v>
      </c>
      <c r="S152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2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2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2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2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2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2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2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2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2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2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2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2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23" s="12">
        <f ca="1">[1]!Tabel1[[#This Row],[Vægtet Honorar]]*([1]!Tabel1[[#This Row],[Sidst redigeret]]&gt;TODAY()-40)*([1]!Tabel1[[#This Row],[Er i resplan?]]&lt;&gt;"Ja")*([1]!Tabel1[[#This Row],[Status]]="Pågår")</f>
        <v>0</v>
      </c>
      <c r="AG1523" s="12">
        <f ca="1">[1]!Tabel1[[#This Row],[Vægtet Honorar]]*([1]!Tabel1[[#This Row],[Sidst redigeret]]&gt;TODAY()-40)*([1]!Tabel1[[#This Row],[Status]]="Pågår")</f>
        <v>180000</v>
      </c>
      <c r="AH1523" s="13">
        <v>46078.55505787037</v>
      </c>
      <c r="AI1523" s="12"/>
      <c r="AJ1523" s="12"/>
      <c r="AK1523" s="12"/>
      <c r="AL1523" s="12"/>
      <c r="AM1523" s="12"/>
      <c r="AN1523" s="12"/>
      <c r="AO1523" s="12"/>
      <c r="AP1523" s="12"/>
    </row>
    <row r="1524" spans="1:42">
      <c r="A1524" t="s">
        <v>5281</v>
      </c>
      <c r="B1524" s="8"/>
      <c r="C1524" s="8" t="s">
        <v>5280</v>
      </c>
      <c r="D1524" s="8" t="s">
        <v>720</v>
      </c>
      <c r="E1524" s="8" t="s">
        <v>71</v>
      </c>
      <c r="F1524" s="8" t="s">
        <v>1100</v>
      </c>
      <c r="G1524" s="8" t="s">
        <v>1100</v>
      </c>
      <c r="H1524" s="9"/>
      <c r="I1524" s="9">
        <f>[1]!Tabel1[[#This Row],[Honorar]]*[1]!Tabel1[[#This Row],[Sandsynlighed]]</f>
        <v>0</v>
      </c>
      <c r="J1524" s="10" t="s">
        <v>341</v>
      </c>
      <c r="K1524" s="1" t="s">
        <v>342</v>
      </c>
      <c r="L1524" s="17" t="s">
        <v>5282</v>
      </c>
      <c r="M1524" s="11"/>
      <c r="N1524" s="1"/>
      <c r="O1524" s="10">
        <v>46279.621504629627</v>
      </c>
      <c r="P1524" s="10" t="s">
        <v>4507</v>
      </c>
      <c r="Q1524" s="1" t="s">
        <v>72</v>
      </c>
      <c r="R1524" s="8" t="s">
        <v>49</v>
      </c>
      <c r="S152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2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2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2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2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2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2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2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2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2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2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2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2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24" s="12">
        <f ca="1">[1]!Tabel1[[#This Row],[Vægtet Honorar]]*([1]!Tabel1[[#This Row],[Sidst redigeret]]&gt;TODAY()-40)*([1]!Tabel1[[#This Row],[Er i resplan?]]&lt;&gt;"Ja")*([1]!Tabel1[[#This Row],[Status]]="Pågår")</f>
        <v>0</v>
      </c>
      <c r="AG1524" s="12">
        <f ca="1">[1]!Tabel1[[#This Row],[Vægtet Honorar]]*([1]!Tabel1[[#This Row],[Sidst redigeret]]&gt;TODAY()-40)*([1]!Tabel1[[#This Row],[Status]]="Pågår")</f>
        <v>0</v>
      </c>
      <c r="AH1524" s="13"/>
      <c r="AI1524" s="12"/>
      <c r="AJ1524" s="12"/>
      <c r="AK1524" s="12"/>
      <c r="AL1524" s="12"/>
      <c r="AM1524" s="12"/>
      <c r="AN1524" s="12"/>
      <c r="AO1524" s="12"/>
      <c r="AP1524" s="12"/>
    </row>
    <row r="1525" spans="1:42">
      <c r="A1525" t="s">
        <v>5283</v>
      </c>
      <c r="B1525" s="8"/>
      <c r="C1525" s="8" t="s">
        <v>5280</v>
      </c>
      <c r="D1525" s="8" t="s">
        <v>720</v>
      </c>
      <c r="E1525" s="8" t="s">
        <v>71</v>
      </c>
      <c r="F1525" s="8" t="s">
        <v>1100</v>
      </c>
      <c r="G1525" s="8" t="s">
        <v>1100</v>
      </c>
      <c r="H1525" s="9"/>
      <c r="I1525" s="9">
        <f>[1]!Tabel1[[#This Row],[Honorar]]*[1]!Tabel1[[#This Row],[Sandsynlighed]]</f>
        <v>0</v>
      </c>
      <c r="J1525" s="10" t="s">
        <v>341</v>
      </c>
      <c r="K1525" s="1" t="s">
        <v>342</v>
      </c>
      <c r="L1525" s="17"/>
      <c r="M1525" s="11"/>
      <c r="N1525" s="1"/>
      <c r="O1525" s="10">
        <v>46279.621504629627</v>
      </c>
      <c r="P1525" s="10" t="s">
        <v>4507</v>
      </c>
      <c r="Q1525" s="1" t="s">
        <v>46</v>
      </c>
      <c r="R1525" s="8" t="s">
        <v>343</v>
      </c>
      <c r="S152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2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2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2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2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2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2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2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2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2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2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2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2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25" s="12">
        <f ca="1">[1]!Tabel1[[#This Row],[Vægtet Honorar]]*([1]!Tabel1[[#This Row],[Sidst redigeret]]&gt;TODAY()-40)*([1]!Tabel1[[#This Row],[Er i resplan?]]&lt;&gt;"Ja")*([1]!Tabel1[[#This Row],[Status]]="Pågår")</f>
        <v>0</v>
      </c>
      <c r="AG1525" s="12">
        <f ca="1">[1]!Tabel1[[#This Row],[Vægtet Honorar]]*([1]!Tabel1[[#This Row],[Sidst redigeret]]&gt;TODAY()-40)*([1]!Tabel1[[#This Row],[Status]]="Pågår")</f>
        <v>0</v>
      </c>
      <c r="AH1525" s="13"/>
      <c r="AI1525" s="12"/>
      <c r="AJ1525" s="12"/>
      <c r="AK1525" s="12"/>
      <c r="AL1525" s="12"/>
      <c r="AM1525" s="12"/>
      <c r="AN1525" s="12"/>
      <c r="AO1525" s="12"/>
      <c r="AP1525" s="12"/>
    </row>
    <row r="1526" spans="1:42">
      <c r="A1526" t="s">
        <v>5284</v>
      </c>
      <c r="B1526" s="8"/>
      <c r="C1526" s="8" t="s">
        <v>5285</v>
      </c>
      <c r="D1526" s="8" t="s">
        <v>4150</v>
      </c>
      <c r="E1526" s="8" t="s">
        <v>120</v>
      </c>
      <c r="F1526" s="8" t="s">
        <v>5086</v>
      </c>
      <c r="G1526" s="8" t="s">
        <v>2917</v>
      </c>
      <c r="H1526" s="9"/>
      <c r="I1526" s="9">
        <f>[1]!Tabel1[[#This Row],[Honorar]]*[1]!Tabel1[[#This Row],[Sandsynlighed]]</f>
        <v>0</v>
      </c>
      <c r="J1526" s="10" t="s">
        <v>341</v>
      </c>
      <c r="K1526" s="1" t="s">
        <v>342</v>
      </c>
      <c r="L1526" s="17"/>
      <c r="M1526" s="11"/>
      <c r="N1526" s="1"/>
      <c r="O1526" s="10">
        <v>46279.621504629627</v>
      </c>
      <c r="P1526" s="10" t="s">
        <v>4507</v>
      </c>
      <c r="Q1526" s="1" t="s">
        <v>72</v>
      </c>
      <c r="R1526" s="8" t="s">
        <v>1265</v>
      </c>
      <c r="S152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2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2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2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2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2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2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2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2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2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2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2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2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26" s="12">
        <f ca="1">[1]!Tabel1[[#This Row],[Vægtet Honorar]]*([1]!Tabel1[[#This Row],[Sidst redigeret]]&gt;TODAY()-40)*([1]!Tabel1[[#This Row],[Er i resplan?]]&lt;&gt;"Ja")*([1]!Tabel1[[#This Row],[Status]]="Pågår")</f>
        <v>0</v>
      </c>
      <c r="AG1526" s="12">
        <f ca="1">[1]!Tabel1[[#This Row],[Vægtet Honorar]]*([1]!Tabel1[[#This Row],[Sidst redigeret]]&gt;TODAY()-40)*([1]!Tabel1[[#This Row],[Status]]="Pågår")</f>
        <v>0</v>
      </c>
      <c r="AH1526" s="13"/>
      <c r="AI1526" s="12"/>
      <c r="AJ1526" s="12" t="s">
        <v>2917</v>
      </c>
      <c r="AK1526" s="12"/>
      <c r="AL1526" s="12"/>
      <c r="AM1526" s="12"/>
      <c r="AN1526" s="12"/>
      <c r="AO1526" s="12"/>
      <c r="AP1526" s="12"/>
    </row>
    <row r="1527" spans="1:42">
      <c r="A1527" t="s">
        <v>5286</v>
      </c>
      <c r="B1527" s="8"/>
      <c r="C1527" s="8" t="s">
        <v>5287</v>
      </c>
      <c r="D1527" s="8" t="s">
        <v>358</v>
      </c>
      <c r="E1527" s="8" t="s">
        <v>102</v>
      </c>
      <c r="F1527" s="8" t="s">
        <v>2008</v>
      </c>
      <c r="G1527" s="8" t="s">
        <v>2008</v>
      </c>
      <c r="H1527" s="9">
        <v>1500000</v>
      </c>
      <c r="I1527" s="9">
        <f>[1]!Tabel1[[#This Row],[Honorar]]*[1]!Tabel1[[#This Row],[Sandsynlighed]]</f>
        <v>0</v>
      </c>
      <c r="J1527" s="10" t="s">
        <v>341</v>
      </c>
      <c r="K1527" s="1" t="s">
        <v>342</v>
      </c>
      <c r="L1527" s="17"/>
      <c r="M1527" s="11">
        <v>0.5</v>
      </c>
      <c r="N1527" s="1" t="s">
        <v>5288</v>
      </c>
      <c r="O1527" s="10">
        <v>46279.621504629627</v>
      </c>
      <c r="P1527" s="10" t="s">
        <v>4507</v>
      </c>
      <c r="Q1527" s="1" t="s">
        <v>46</v>
      </c>
      <c r="R1527" s="8" t="s">
        <v>47</v>
      </c>
      <c r="S152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2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2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2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2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2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2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2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2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2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2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2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2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27" s="12">
        <f ca="1">[1]!Tabel1[[#This Row],[Vægtet Honorar]]*([1]!Tabel1[[#This Row],[Sidst redigeret]]&gt;TODAY()-40)*([1]!Tabel1[[#This Row],[Er i resplan?]]&lt;&gt;"Ja")*([1]!Tabel1[[#This Row],[Status]]="Pågår")</f>
        <v>0</v>
      </c>
      <c r="AG1527" s="12">
        <f ca="1">[1]!Tabel1[[#This Row],[Vægtet Honorar]]*([1]!Tabel1[[#This Row],[Sidst redigeret]]&gt;TODAY()-40)*([1]!Tabel1[[#This Row],[Status]]="Pågår")</f>
        <v>0</v>
      </c>
      <c r="AH1527" s="13">
        <v>46086.61309027778</v>
      </c>
      <c r="AI1527" s="12"/>
      <c r="AJ1527" s="12"/>
      <c r="AK1527" s="12"/>
      <c r="AL1527" s="12"/>
      <c r="AM1527" s="12"/>
      <c r="AN1527" s="12"/>
      <c r="AO1527" s="12"/>
      <c r="AP1527" s="12"/>
    </row>
    <row r="1528" spans="1:42" ht="30">
      <c r="A1528" t="s">
        <v>5289</v>
      </c>
      <c r="B1528" s="8"/>
      <c r="C1528" s="8" t="s">
        <v>5290</v>
      </c>
      <c r="D1528" s="8" t="s">
        <v>44</v>
      </c>
      <c r="E1528" s="8" t="s">
        <v>71</v>
      </c>
      <c r="F1528" s="8" t="s">
        <v>5291</v>
      </c>
      <c r="G1528" s="8" t="s">
        <v>5291</v>
      </c>
      <c r="H1528" s="9">
        <v>350000</v>
      </c>
      <c r="I1528" s="9">
        <f>[1]!Tabel1[[#This Row],[Honorar]]*[1]!Tabel1[[#This Row],[Sandsynlighed]]</f>
        <v>8840000</v>
      </c>
      <c r="J1528" s="10" t="s">
        <v>341</v>
      </c>
      <c r="K1528" s="1" t="s">
        <v>585</v>
      </c>
      <c r="L1528" s="17" t="s">
        <v>5292</v>
      </c>
      <c r="M1528" s="11">
        <v>0</v>
      </c>
      <c r="N1528" s="1"/>
      <c r="O1528" s="10">
        <v>46279.621504629627</v>
      </c>
      <c r="P1528" s="10" t="s">
        <v>4507</v>
      </c>
      <c r="Q1528" s="1" t="s">
        <v>72</v>
      </c>
      <c r="R1528" s="8" t="s">
        <v>343</v>
      </c>
      <c r="S152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2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2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2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2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2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2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2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2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2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2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2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2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28" s="12">
        <f ca="1">[1]!Tabel1[[#This Row],[Vægtet Honorar]]*([1]!Tabel1[[#This Row],[Sidst redigeret]]&gt;TODAY()-40)*([1]!Tabel1[[#This Row],[Er i resplan?]]&lt;&gt;"Ja")*([1]!Tabel1[[#This Row],[Status]]="Pågår")</f>
        <v>0</v>
      </c>
      <c r="AG1528" s="12">
        <f ca="1">[1]!Tabel1[[#This Row],[Vægtet Honorar]]*([1]!Tabel1[[#This Row],[Sidst redigeret]]&gt;TODAY()-40)*([1]!Tabel1[[#This Row],[Status]]="Pågår")</f>
        <v>0</v>
      </c>
      <c r="AH1528" s="13"/>
      <c r="AI1528" s="12"/>
      <c r="AJ1528" s="12"/>
      <c r="AK1528" s="12"/>
      <c r="AL1528" s="12"/>
      <c r="AM1528" s="12"/>
      <c r="AN1528" s="12"/>
      <c r="AO1528" s="12"/>
      <c r="AP1528" s="12"/>
    </row>
    <row r="1529" spans="1:42">
      <c r="A1529" t="s">
        <v>5293</v>
      </c>
      <c r="B1529" s="8"/>
      <c r="C1529" s="8" t="s">
        <v>5294</v>
      </c>
      <c r="D1529" s="8" t="s">
        <v>70</v>
      </c>
      <c r="E1529" s="8" t="s">
        <v>102</v>
      </c>
      <c r="F1529" s="8" t="s">
        <v>5294</v>
      </c>
      <c r="G1529" s="8" t="s">
        <v>5294</v>
      </c>
      <c r="H1529" s="9">
        <v>100000</v>
      </c>
      <c r="I1529" s="9">
        <f>[1]!Tabel1[[#This Row],[Honorar]]*[1]!Tabel1[[#This Row],[Sandsynlighed]]</f>
        <v>0</v>
      </c>
      <c r="J1529" s="10" t="s">
        <v>341</v>
      </c>
      <c r="K1529" s="1" t="s">
        <v>585</v>
      </c>
      <c r="L1529" s="17"/>
      <c r="M1529" s="11">
        <v>0.25</v>
      </c>
      <c r="N1529" s="1"/>
      <c r="O1529" s="10">
        <v>46279.621504629627</v>
      </c>
      <c r="P1529" s="10" t="s">
        <v>72</v>
      </c>
      <c r="Q1529" s="1" t="s">
        <v>72</v>
      </c>
      <c r="R1529" s="8" t="s">
        <v>343</v>
      </c>
      <c r="S152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2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2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2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2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2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2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2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2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2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2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2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2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29" s="12">
        <f ca="1">[1]!Tabel1[[#This Row],[Vægtet Honorar]]*([1]!Tabel1[[#This Row],[Sidst redigeret]]&gt;TODAY()-40)*([1]!Tabel1[[#This Row],[Er i resplan?]]&lt;&gt;"Ja")*([1]!Tabel1[[#This Row],[Status]]="Pågår")</f>
        <v>0</v>
      </c>
      <c r="AG1529" s="12">
        <f ca="1">[1]!Tabel1[[#This Row],[Vægtet Honorar]]*([1]!Tabel1[[#This Row],[Sidst redigeret]]&gt;TODAY()-40)*([1]!Tabel1[[#This Row],[Status]]="Pågår")</f>
        <v>0</v>
      </c>
      <c r="AH1529" s="13"/>
      <c r="AI1529" s="12"/>
      <c r="AJ1529" s="12"/>
      <c r="AK1529" s="12"/>
      <c r="AL1529" s="12"/>
      <c r="AM1529" s="12"/>
      <c r="AN1529" s="12"/>
      <c r="AO1529" s="12"/>
      <c r="AP1529" s="12"/>
    </row>
    <row r="1530" spans="1:42" ht="30">
      <c r="A1530" t="s">
        <v>5295</v>
      </c>
      <c r="B1530" s="8"/>
      <c r="C1530" s="8" t="s">
        <v>5296</v>
      </c>
      <c r="D1530" s="8" t="s">
        <v>1771</v>
      </c>
      <c r="E1530" s="8" t="s">
        <v>167</v>
      </c>
      <c r="F1530" s="8" t="s">
        <v>5297</v>
      </c>
      <c r="G1530" s="8" t="s">
        <v>5298</v>
      </c>
      <c r="H1530" s="9">
        <v>5000000</v>
      </c>
      <c r="I1530" s="9">
        <f>[1]!Tabel1[[#This Row],[Honorar]]*[1]!Tabel1[[#This Row],[Sandsynlighed]]</f>
        <v>0</v>
      </c>
      <c r="J1530" s="10" t="s">
        <v>1709</v>
      </c>
      <c r="K1530" s="1" t="s">
        <v>4300</v>
      </c>
      <c r="L1530" s="17" t="s">
        <v>5299</v>
      </c>
      <c r="M1530" s="11">
        <v>0.01</v>
      </c>
      <c r="N1530" s="1" t="s">
        <v>4973</v>
      </c>
      <c r="O1530" s="10">
        <v>46279.621504629627</v>
      </c>
      <c r="P1530" s="10" t="s">
        <v>72</v>
      </c>
      <c r="Q1530" s="1" t="s">
        <v>72</v>
      </c>
      <c r="R1530" s="8" t="s">
        <v>343</v>
      </c>
      <c r="S153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3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3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3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3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3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3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3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3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3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3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3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3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30" s="12">
        <f ca="1">[1]!Tabel1[[#This Row],[Vægtet Honorar]]*([1]!Tabel1[[#This Row],[Sidst redigeret]]&gt;TODAY()-40)*([1]!Tabel1[[#This Row],[Er i resplan?]]&lt;&gt;"Ja")*([1]!Tabel1[[#This Row],[Status]]="Pågår")</f>
        <v>0</v>
      </c>
      <c r="AG1530" s="12">
        <f ca="1">[1]!Tabel1[[#This Row],[Vægtet Honorar]]*([1]!Tabel1[[#This Row],[Sidst redigeret]]&gt;TODAY()-40)*([1]!Tabel1[[#This Row],[Status]]="Pågår")</f>
        <v>0</v>
      </c>
      <c r="AH1530" s="13"/>
      <c r="AI1530" s="12"/>
      <c r="AJ1530" s="12" t="s">
        <v>2107</v>
      </c>
      <c r="AK1530" s="12"/>
      <c r="AL1530" s="12"/>
      <c r="AM1530" s="12"/>
      <c r="AN1530" s="12"/>
      <c r="AO1530" s="12"/>
      <c r="AP1530" s="12"/>
    </row>
    <row r="1531" spans="1:42" ht="30">
      <c r="A1531" t="s">
        <v>5300</v>
      </c>
      <c r="B1531" s="8"/>
      <c r="C1531" s="8" t="s">
        <v>5301</v>
      </c>
      <c r="D1531" s="8" t="s">
        <v>1771</v>
      </c>
      <c r="E1531" s="8" t="s">
        <v>167</v>
      </c>
      <c r="F1531" s="8" t="s">
        <v>5302</v>
      </c>
      <c r="G1531" s="8" t="s">
        <v>5302</v>
      </c>
      <c r="H1531" s="9">
        <v>3000000</v>
      </c>
      <c r="I1531" s="9">
        <f>[1]!Tabel1[[#This Row],[Honorar]]*[1]!Tabel1[[#This Row],[Sandsynlighed]]</f>
        <v>0</v>
      </c>
      <c r="J1531" s="10" t="s">
        <v>1062</v>
      </c>
      <c r="K1531" s="1" t="s">
        <v>2039</v>
      </c>
      <c r="L1531" s="17" t="s">
        <v>5299</v>
      </c>
      <c r="M1531" s="11">
        <v>0.01</v>
      </c>
      <c r="N1531" s="1" t="s">
        <v>2782</v>
      </c>
      <c r="O1531" s="10">
        <v>46279.621504629627</v>
      </c>
      <c r="P1531" s="10" t="s">
        <v>72</v>
      </c>
      <c r="Q1531" s="1" t="s">
        <v>72</v>
      </c>
      <c r="R1531" s="8" t="s">
        <v>343</v>
      </c>
      <c r="S153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3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3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3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3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3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3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3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3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3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3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3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3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31" s="12">
        <f ca="1">[1]!Tabel1[[#This Row],[Vægtet Honorar]]*([1]!Tabel1[[#This Row],[Sidst redigeret]]&gt;TODAY()-40)*([1]!Tabel1[[#This Row],[Er i resplan?]]&lt;&gt;"Ja")*([1]!Tabel1[[#This Row],[Status]]="Pågår")</f>
        <v>0</v>
      </c>
      <c r="AG1531" s="12">
        <f ca="1">[1]!Tabel1[[#This Row],[Vægtet Honorar]]*([1]!Tabel1[[#This Row],[Sidst redigeret]]&gt;TODAY()-40)*([1]!Tabel1[[#This Row],[Status]]="Pågår")</f>
        <v>0</v>
      </c>
      <c r="AH1531" s="13"/>
      <c r="AI1531" s="12"/>
      <c r="AJ1531" s="12" t="s">
        <v>2107</v>
      </c>
      <c r="AK1531" s="12"/>
      <c r="AL1531" s="12"/>
      <c r="AM1531" s="12"/>
      <c r="AN1531" s="12"/>
      <c r="AO1531" s="12"/>
      <c r="AP1531" s="12"/>
    </row>
    <row r="1532" spans="1:42" ht="45">
      <c r="A1532" t="s">
        <v>5303</v>
      </c>
      <c r="B1532" s="8"/>
      <c r="C1532" s="8" t="s">
        <v>5304</v>
      </c>
      <c r="D1532" s="8" t="s">
        <v>1771</v>
      </c>
      <c r="E1532" s="8" t="s">
        <v>167</v>
      </c>
      <c r="F1532" s="8" t="s">
        <v>5305</v>
      </c>
      <c r="G1532" s="8" t="s">
        <v>5306</v>
      </c>
      <c r="H1532" s="9">
        <v>4000000</v>
      </c>
      <c r="I1532" s="9">
        <f>[1]!Tabel1[[#This Row],[Honorar]]*[1]!Tabel1[[#This Row],[Sandsynlighed]]</f>
        <v>750000</v>
      </c>
      <c r="J1532" s="10" t="s">
        <v>1310</v>
      </c>
      <c r="K1532" s="1" t="s">
        <v>1861</v>
      </c>
      <c r="L1532" s="17" t="s">
        <v>5307</v>
      </c>
      <c r="M1532" s="11">
        <v>0.01</v>
      </c>
      <c r="N1532" s="1" t="s">
        <v>5308</v>
      </c>
      <c r="O1532" s="10">
        <v>46279.621504629627</v>
      </c>
      <c r="P1532" s="10" t="s">
        <v>4507</v>
      </c>
      <c r="Q1532" s="1" t="s">
        <v>72</v>
      </c>
      <c r="R1532" s="8" t="s">
        <v>343</v>
      </c>
      <c r="S153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3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3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3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3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3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3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3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3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3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3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3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3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32" s="12">
        <f ca="1">[1]!Tabel1[[#This Row],[Vægtet Honorar]]*([1]!Tabel1[[#This Row],[Sidst redigeret]]&gt;TODAY()-40)*([1]!Tabel1[[#This Row],[Er i resplan?]]&lt;&gt;"Ja")*([1]!Tabel1[[#This Row],[Status]]="Pågår")</f>
        <v>0</v>
      </c>
      <c r="AG1532" s="12">
        <f ca="1">[1]!Tabel1[[#This Row],[Vægtet Honorar]]*([1]!Tabel1[[#This Row],[Sidst redigeret]]&gt;TODAY()-40)*([1]!Tabel1[[#This Row],[Status]]="Pågår")</f>
        <v>0</v>
      </c>
      <c r="AH1532" s="13"/>
      <c r="AI1532" s="12"/>
      <c r="AJ1532" s="12" t="s">
        <v>5309</v>
      </c>
      <c r="AK1532" s="12"/>
      <c r="AL1532" s="12"/>
      <c r="AM1532" s="12"/>
      <c r="AN1532" s="12"/>
      <c r="AO1532" s="12"/>
      <c r="AP1532" s="12"/>
    </row>
    <row r="1533" spans="1:42">
      <c r="A1533" t="s">
        <v>5310</v>
      </c>
      <c r="B1533" s="8"/>
      <c r="C1533" s="8" t="s">
        <v>5311</v>
      </c>
      <c r="D1533" s="8" t="s">
        <v>4254</v>
      </c>
      <c r="E1533" s="8" t="s">
        <v>71</v>
      </c>
      <c r="F1533" s="8" t="s">
        <v>788</v>
      </c>
      <c r="G1533" s="8" t="s">
        <v>788</v>
      </c>
      <c r="H1533" s="9">
        <v>200000</v>
      </c>
      <c r="I1533" s="9">
        <f>[1]!Tabel1[[#This Row],[Honorar]]*[1]!Tabel1[[#This Row],[Sandsynlighed]]</f>
        <v>0</v>
      </c>
      <c r="J1533" s="10" t="s">
        <v>1310</v>
      </c>
      <c r="K1533" s="1" t="s">
        <v>2405</v>
      </c>
      <c r="L1533" s="17"/>
      <c r="M1533" s="11">
        <v>0.35</v>
      </c>
      <c r="N1533" s="1"/>
      <c r="O1533" s="10">
        <v>46279.621504629627</v>
      </c>
      <c r="P1533" s="10" t="s">
        <v>4507</v>
      </c>
      <c r="Q1533" s="1" t="s">
        <v>72</v>
      </c>
      <c r="R1533" s="8" t="s">
        <v>343</v>
      </c>
      <c r="S153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3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3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3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3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3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3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3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3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3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3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3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3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33" s="12">
        <f ca="1">[1]!Tabel1[[#This Row],[Vægtet Honorar]]*([1]!Tabel1[[#This Row],[Sidst redigeret]]&gt;TODAY()-40)*([1]!Tabel1[[#This Row],[Er i resplan?]]&lt;&gt;"Ja")*([1]!Tabel1[[#This Row],[Status]]="Pågår")</f>
        <v>0</v>
      </c>
      <c r="AG1533" s="12">
        <f ca="1">[1]!Tabel1[[#This Row],[Vægtet Honorar]]*([1]!Tabel1[[#This Row],[Sidst redigeret]]&gt;TODAY()-40)*([1]!Tabel1[[#This Row],[Status]]="Pågår")</f>
        <v>0</v>
      </c>
      <c r="AH1533" s="13"/>
      <c r="AI1533" s="12"/>
      <c r="AJ1533" s="12"/>
      <c r="AK1533" s="12"/>
      <c r="AL1533" s="12"/>
      <c r="AM1533" s="12"/>
      <c r="AN1533" s="12"/>
      <c r="AO1533" s="12"/>
      <c r="AP1533" s="12"/>
    </row>
    <row r="1534" spans="1:42" ht="60">
      <c r="A1534" t="s">
        <v>5312</v>
      </c>
      <c r="B1534" s="8"/>
      <c r="C1534" s="8" t="s">
        <v>5313</v>
      </c>
      <c r="D1534" s="8" t="s">
        <v>1037</v>
      </c>
      <c r="E1534" s="8" t="s">
        <v>71</v>
      </c>
      <c r="F1534" s="8" t="s">
        <v>1152</v>
      </c>
      <c r="G1534" s="8" t="s">
        <v>3668</v>
      </c>
      <c r="H1534" s="9">
        <v>200000</v>
      </c>
      <c r="I1534" s="9">
        <f>[1]!Tabel1[[#This Row],[Honorar]]*[1]!Tabel1[[#This Row],[Sandsynlighed]]</f>
        <v>25000</v>
      </c>
      <c r="J1534" s="10" t="s">
        <v>341</v>
      </c>
      <c r="K1534" s="1" t="s">
        <v>342</v>
      </c>
      <c r="L1534" s="17" t="s">
        <v>5314</v>
      </c>
      <c r="M1534" s="11">
        <v>0.1</v>
      </c>
      <c r="N1534" s="1"/>
      <c r="O1534" s="10">
        <v>46279.621504629627</v>
      </c>
      <c r="P1534" s="10" t="s">
        <v>4507</v>
      </c>
      <c r="Q1534" s="1" t="s">
        <v>4507</v>
      </c>
      <c r="R1534" s="8" t="s">
        <v>343</v>
      </c>
      <c r="S153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3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3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3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3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3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3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3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3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3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3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3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3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34" s="12">
        <f ca="1">[1]!Tabel1[[#This Row],[Vægtet Honorar]]*([1]!Tabel1[[#This Row],[Sidst redigeret]]&gt;TODAY()-40)*([1]!Tabel1[[#This Row],[Er i resplan?]]&lt;&gt;"Ja")*([1]!Tabel1[[#This Row],[Status]]="Pågår")</f>
        <v>25000</v>
      </c>
      <c r="AG1534" s="12">
        <f ca="1">[1]!Tabel1[[#This Row],[Vægtet Honorar]]*([1]!Tabel1[[#This Row],[Sidst redigeret]]&gt;TODAY()-40)*([1]!Tabel1[[#This Row],[Status]]="Pågår")</f>
        <v>25000</v>
      </c>
      <c r="AH1534" s="13"/>
      <c r="AI1534" s="12"/>
      <c r="AJ1534" s="12"/>
      <c r="AK1534" s="12"/>
      <c r="AL1534" s="12"/>
      <c r="AM1534" s="12"/>
      <c r="AN1534" s="12"/>
      <c r="AO1534" s="12"/>
      <c r="AP1534" s="12"/>
    </row>
    <row r="1535" spans="1:42" ht="60">
      <c r="A1535" t="s">
        <v>5315</v>
      </c>
      <c r="B1535" s="8"/>
      <c r="C1535" s="8" t="s">
        <v>5316</v>
      </c>
      <c r="D1535" s="8" t="s">
        <v>896</v>
      </c>
      <c r="E1535" s="8" t="s">
        <v>94</v>
      </c>
      <c r="F1535" s="8" t="s">
        <v>808</v>
      </c>
      <c r="G1535" s="8" t="s">
        <v>6427</v>
      </c>
      <c r="H1535" s="9">
        <v>2000000</v>
      </c>
      <c r="I1535" s="9">
        <f>[1]!Tabel1[[#This Row],[Honorar]]*[1]!Tabel1[[#This Row],[Sandsynlighed]]</f>
        <v>50000</v>
      </c>
      <c r="J1535" s="10" t="s">
        <v>585</v>
      </c>
      <c r="K1535" s="1" t="s">
        <v>1323</v>
      </c>
      <c r="L1535" s="17" t="s">
        <v>5317</v>
      </c>
      <c r="M1535" s="11">
        <v>0.01</v>
      </c>
      <c r="N1535" s="1"/>
      <c r="O1535" s="10">
        <v>46279.621504629627</v>
      </c>
      <c r="P1535" s="10" t="s">
        <v>4507</v>
      </c>
      <c r="Q1535" s="1" t="s">
        <v>72</v>
      </c>
      <c r="R1535" s="8" t="s">
        <v>343</v>
      </c>
      <c r="S153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3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3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3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3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3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3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3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3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3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3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3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3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35" s="12">
        <f ca="1">[1]!Tabel1[[#This Row],[Vægtet Honorar]]*([1]!Tabel1[[#This Row],[Sidst redigeret]]&gt;TODAY()-40)*([1]!Tabel1[[#This Row],[Er i resplan?]]&lt;&gt;"Ja")*([1]!Tabel1[[#This Row],[Status]]="Pågår")</f>
        <v>50000</v>
      </c>
      <c r="AG1535" s="12">
        <f ca="1">[1]!Tabel1[[#This Row],[Vægtet Honorar]]*([1]!Tabel1[[#This Row],[Sidst redigeret]]&gt;TODAY()-40)*([1]!Tabel1[[#This Row],[Status]]="Pågår")</f>
        <v>50000</v>
      </c>
      <c r="AH1535" s="13"/>
      <c r="AI1535" s="12"/>
      <c r="AJ1535" s="12" t="s">
        <v>5318</v>
      </c>
      <c r="AK1535" s="12"/>
      <c r="AL1535" s="12"/>
      <c r="AM1535" s="12"/>
      <c r="AN1535" s="12"/>
      <c r="AO1535" s="12"/>
      <c r="AP1535" s="12"/>
    </row>
    <row r="1536" spans="1:42">
      <c r="A1536" t="s">
        <v>5319</v>
      </c>
      <c r="B1536" s="8"/>
      <c r="C1536" s="8" t="s">
        <v>5320</v>
      </c>
      <c r="D1536" s="8" t="s">
        <v>358</v>
      </c>
      <c r="E1536" s="8" t="s">
        <v>102</v>
      </c>
      <c r="F1536" s="8" t="s">
        <v>5321</v>
      </c>
      <c r="G1536" s="8" t="s">
        <v>5322</v>
      </c>
      <c r="H1536" s="9">
        <v>41875</v>
      </c>
      <c r="I1536" s="9">
        <f>[1]!Tabel1[[#This Row],[Honorar]]*[1]!Tabel1[[#This Row],[Sandsynlighed]]</f>
        <v>30000</v>
      </c>
      <c r="J1536" s="10" t="s">
        <v>1257</v>
      </c>
      <c r="K1536" s="1" t="s">
        <v>1310</v>
      </c>
      <c r="L1536" s="17"/>
      <c r="M1536" s="11">
        <v>0.75</v>
      </c>
      <c r="N1536" s="1"/>
      <c r="O1536" s="10">
        <v>46279.621504629627</v>
      </c>
      <c r="P1536" s="10" t="s">
        <v>72</v>
      </c>
      <c r="Q1536" s="1" t="s">
        <v>72</v>
      </c>
      <c r="R1536" s="8" t="s">
        <v>343</v>
      </c>
      <c r="S153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3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3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3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3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3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3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3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3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3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3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3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3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36" s="12">
        <f ca="1">[1]!Tabel1[[#This Row],[Vægtet Honorar]]*([1]!Tabel1[[#This Row],[Sidst redigeret]]&gt;TODAY()-40)*([1]!Tabel1[[#This Row],[Er i resplan?]]&lt;&gt;"Ja")*([1]!Tabel1[[#This Row],[Status]]="Pågår")</f>
        <v>30000</v>
      </c>
      <c r="AG1536" s="12">
        <f ca="1">[1]!Tabel1[[#This Row],[Vægtet Honorar]]*([1]!Tabel1[[#This Row],[Sidst redigeret]]&gt;TODAY()-40)*([1]!Tabel1[[#This Row],[Status]]="Pågår")</f>
        <v>30000</v>
      </c>
      <c r="AH1536" s="13"/>
      <c r="AI1536" s="12"/>
      <c r="AJ1536" s="12"/>
      <c r="AK1536" s="12"/>
      <c r="AL1536" s="12"/>
      <c r="AM1536" s="12"/>
      <c r="AN1536" s="12"/>
      <c r="AO1536" s="12"/>
      <c r="AP1536" s="12"/>
    </row>
    <row r="1537" spans="1:42">
      <c r="A1537" t="s">
        <v>5323</v>
      </c>
      <c r="B1537" s="8"/>
      <c r="C1537" s="8" t="s">
        <v>5324</v>
      </c>
      <c r="D1537" s="8" t="s">
        <v>720</v>
      </c>
      <c r="E1537" s="8" t="s">
        <v>71</v>
      </c>
      <c r="F1537" s="8" t="s">
        <v>1012</v>
      </c>
      <c r="G1537" s="8" t="s">
        <v>1012</v>
      </c>
      <c r="H1537" s="9">
        <v>100000</v>
      </c>
      <c r="I1537" s="9">
        <f>[1]!Tabel1[[#This Row],[Honorar]]*[1]!Tabel1[[#This Row],[Sandsynlighed]]</f>
        <v>40000</v>
      </c>
      <c r="J1537" s="10" t="s">
        <v>341</v>
      </c>
      <c r="K1537" s="1" t="s">
        <v>1310</v>
      </c>
      <c r="L1537" s="17"/>
      <c r="M1537" s="11">
        <v>0.95</v>
      </c>
      <c r="N1537" s="1"/>
      <c r="O1537" s="10">
        <v>46279.621504629627</v>
      </c>
      <c r="P1537" s="10" t="s">
        <v>46</v>
      </c>
      <c r="Q1537" s="1" t="s">
        <v>46</v>
      </c>
      <c r="R1537" s="8" t="s">
        <v>343</v>
      </c>
      <c r="S153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3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3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3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3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3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3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3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3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3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3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3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3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37" s="12">
        <f ca="1">[1]!Tabel1[[#This Row],[Vægtet Honorar]]*([1]!Tabel1[[#This Row],[Sidst redigeret]]&gt;TODAY()-40)*([1]!Tabel1[[#This Row],[Er i resplan?]]&lt;&gt;"Ja")*([1]!Tabel1[[#This Row],[Status]]="Pågår")</f>
        <v>40000</v>
      </c>
      <c r="AG1537" s="12">
        <f ca="1">[1]!Tabel1[[#This Row],[Vægtet Honorar]]*([1]!Tabel1[[#This Row],[Sidst redigeret]]&gt;TODAY()-40)*([1]!Tabel1[[#This Row],[Status]]="Pågår")</f>
        <v>40000</v>
      </c>
      <c r="AH1537" s="13"/>
      <c r="AI1537" s="12"/>
      <c r="AJ1537" s="12"/>
      <c r="AK1537" s="12"/>
      <c r="AL1537" s="12"/>
      <c r="AM1537" s="12"/>
      <c r="AN1537" s="12"/>
      <c r="AO1537" s="12"/>
      <c r="AP1537" s="12"/>
    </row>
    <row r="1538" spans="1:42">
      <c r="A1538" t="s">
        <v>5325</v>
      </c>
      <c r="B1538" s="8"/>
      <c r="C1538" s="8" t="s">
        <v>5326</v>
      </c>
      <c r="D1538" s="8" t="s">
        <v>720</v>
      </c>
      <c r="E1538" s="8" t="s">
        <v>71</v>
      </c>
      <c r="F1538" s="8" t="s">
        <v>1012</v>
      </c>
      <c r="G1538" s="8" t="s">
        <v>1012</v>
      </c>
      <c r="H1538" s="9">
        <v>500000</v>
      </c>
      <c r="I1538" s="9">
        <f>[1]!Tabel1[[#This Row],[Honorar]]*[1]!Tabel1[[#This Row],[Sandsynlighed]]</f>
        <v>70000</v>
      </c>
      <c r="J1538" s="10" t="s">
        <v>341</v>
      </c>
      <c r="K1538" s="1" t="s">
        <v>1310</v>
      </c>
      <c r="L1538" s="17"/>
      <c r="M1538" s="11">
        <v>0.95</v>
      </c>
      <c r="N1538" s="1"/>
      <c r="O1538" s="10">
        <v>46279.621504629627</v>
      </c>
      <c r="P1538" s="10" t="s">
        <v>72</v>
      </c>
      <c r="Q1538" s="1" t="s">
        <v>4507</v>
      </c>
      <c r="R1538" s="8" t="s">
        <v>343</v>
      </c>
      <c r="S153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3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3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3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3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3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3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3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3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3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3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3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3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38" s="12">
        <f ca="1">[1]!Tabel1[[#This Row],[Vægtet Honorar]]*([1]!Tabel1[[#This Row],[Sidst redigeret]]&gt;TODAY()-40)*([1]!Tabel1[[#This Row],[Er i resplan?]]&lt;&gt;"Ja")*([1]!Tabel1[[#This Row],[Status]]="Pågår")</f>
        <v>70000</v>
      </c>
      <c r="AG1538" s="12">
        <f ca="1">[1]!Tabel1[[#This Row],[Vægtet Honorar]]*([1]!Tabel1[[#This Row],[Sidst redigeret]]&gt;TODAY()-40)*([1]!Tabel1[[#This Row],[Status]]="Pågår")</f>
        <v>70000</v>
      </c>
      <c r="AH1538" s="13"/>
      <c r="AI1538" s="12"/>
      <c r="AJ1538" s="12"/>
      <c r="AK1538" s="12"/>
      <c r="AL1538" s="12"/>
      <c r="AM1538" s="12"/>
      <c r="AN1538" s="12"/>
      <c r="AO1538" s="12"/>
      <c r="AP1538" s="12"/>
    </row>
    <row r="1539" spans="1:42">
      <c r="A1539" t="s">
        <v>5327</v>
      </c>
      <c r="B1539" s="8"/>
      <c r="C1539" s="8" t="s">
        <v>5328</v>
      </c>
      <c r="D1539" s="8" t="s">
        <v>720</v>
      </c>
      <c r="E1539" s="8" t="s">
        <v>71</v>
      </c>
      <c r="F1539" s="8" t="s">
        <v>940</v>
      </c>
      <c r="G1539" s="8" t="s">
        <v>5000</v>
      </c>
      <c r="H1539" s="9">
        <v>600000</v>
      </c>
      <c r="I1539" s="9">
        <f>[1]!Tabel1[[#This Row],[Honorar]]*[1]!Tabel1[[#This Row],[Sandsynlighed]]</f>
        <v>20000</v>
      </c>
      <c r="J1539" s="10" t="s">
        <v>341</v>
      </c>
      <c r="K1539" s="1" t="s">
        <v>342</v>
      </c>
      <c r="L1539" s="17"/>
      <c r="M1539" s="11">
        <v>0.9</v>
      </c>
      <c r="N1539" s="1"/>
      <c r="O1539" s="10">
        <v>46279.621504629627</v>
      </c>
      <c r="P1539" s="10" t="s">
        <v>46</v>
      </c>
      <c r="Q1539" s="1" t="s">
        <v>4507</v>
      </c>
      <c r="R1539" s="8" t="s">
        <v>343</v>
      </c>
      <c r="S153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3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3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3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3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3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3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3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3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3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3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3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3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39" s="12">
        <f ca="1">[1]!Tabel1[[#This Row],[Vægtet Honorar]]*([1]!Tabel1[[#This Row],[Sidst redigeret]]&gt;TODAY()-40)*([1]!Tabel1[[#This Row],[Er i resplan?]]&lt;&gt;"Ja")*([1]!Tabel1[[#This Row],[Status]]="Pågår")</f>
        <v>0</v>
      </c>
      <c r="AG1539" s="12">
        <f ca="1">[1]!Tabel1[[#This Row],[Vægtet Honorar]]*([1]!Tabel1[[#This Row],[Sidst redigeret]]&gt;TODAY()-40)*([1]!Tabel1[[#This Row],[Status]]="Pågår")</f>
        <v>20000</v>
      </c>
      <c r="AH1539" s="13"/>
      <c r="AI1539" s="12"/>
      <c r="AJ1539" s="12"/>
      <c r="AK1539" s="12"/>
      <c r="AL1539" s="12"/>
      <c r="AM1539" s="12"/>
      <c r="AN1539" s="12"/>
      <c r="AO1539" s="12"/>
      <c r="AP1539" s="12"/>
    </row>
    <row r="1540" spans="1:42" ht="60">
      <c r="A1540" t="s">
        <v>5329</v>
      </c>
      <c r="B1540" s="8"/>
      <c r="C1540" s="8" t="s">
        <v>5330</v>
      </c>
      <c r="D1540" s="8" t="s">
        <v>896</v>
      </c>
      <c r="E1540" s="8" t="s">
        <v>94</v>
      </c>
      <c r="F1540" s="8" t="s">
        <v>4155</v>
      </c>
      <c r="G1540" s="8" t="s">
        <v>1864</v>
      </c>
      <c r="H1540" s="9">
        <v>2600000</v>
      </c>
      <c r="I1540" s="9">
        <f>[1]!Tabel1[[#This Row],[Honorar]]*[1]!Tabel1[[#This Row],[Sandsynlighed]]</f>
        <v>20000</v>
      </c>
      <c r="J1540" s="10" t="s">
        <v>585</v>
      </c>
      <c r="K1540" s="1" t="s">
        <v>1323</v>
      </c>
      <c r="L1540" s="17" t="s">
        <v>4790</v>
      </c>
      <c r="M1540" s="11">
        <v>0.01</v>
      </c>
      <c r="N1540" s="1">
        <v>2200</v>
      </c>
      <c r="O1540" s="10">
        <v>46279.621504629627</v>
      </c>
      <c r="P1540" s="10" t="s">
        <v>46</v>
      </c>
      <c r="Q1540" s="1" t="s">
        <v>72</v>
      </c>
      <c r="R1540" s="8" t="s">
        <v>343</v>
      </c>
      <c r="S154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4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4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4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4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4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4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4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4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4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4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4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4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40" s="12">
        <f ca="1">[1]!Tabel1[[#This Row],[Vægtet Honorar]]*([1]!Tabel1[[#This Row],[Sidst redigeret]]&gt;TODAY()-40)*([1]!Tabel1[[#This Row],[Er i resplan?]]&lt;&gt;"Ja")*([1]!Tabel1[[#This Row],[Status]]="Pågår")</f>
        <v>20000</v>
      </c>
      <c r="AG1540" s="12">
        <f ca="1">[1]!Tabel1[[#This Row],[Vægtet Honorar]]*([1]!Tabel1[[#This Row],[Sidst redigeret]]&gt;TODAY()-40)*([1]!Tabel1[[#This Row],[Status]]="Pågår")</f>
        <v>20000</v>
      </c>
      <c r="AH1540" s="13"/>
      <c r="AI1540" s="12"/>
      <c r="AJ1540" s="12" t="s">
        <v>1864</v>
      </c>
      <c r="AK1540" s="12"/>
      <c r="AL1540" s="12"/>
      <c r="AM1540" s="12"/>
      <c r="AN1540" s="12"/>
      <c r="AO1540" s="12"/>
      <c r="AP1540" s="12"/>
    </row>
    <row r="1541" spans="1:42" ht="60">
      <c r="A1541" t="s">
        <v>5331</v>
      </c>
      <c r="B1541" s="8"/>
      <c r="C1541" s="8" t="s">
        <v>5332</v>
      </c>
      <c r="D1541" s="8" t="s">
        <v>896</v>
      </c>
      <c r="E1541" s="8" t="s">
        <v>94</v>
      </c>
      <c r="F1541" s="8" t="s">
        <v>3915</v>
      </c>
      <c r="G1541" s="8" t="s">
        <v>1864</v>
      </c>
      <c r="H1541" s="9">
        <v>2600000</v>
      </c>
      <c r="I1541" s="9">
        <f>[1]!Tabel1[[#This Row],[Honorar]]*[1]!Tabel1[[#This Row],[Sandsynlighed]]</f>
        <v>31406.25</v>
      </c>
      <c r="J1541" s="10" t="s">
        <v>585</v>
      </c>
      <c r="K1541" s="1" t="s">
        <v>1323</v>
      </c>
      <c r="L1541" s="17" t="s">
        <v>4790</v>
      </c>
      <c r="M1541" s="11">
        <v>0.01</v>
      </c>
      <c r="N1541" s="1">
        <v>11843</v>
      </c>
      <c r="O1541" s="10">
        <v>46279.621504629627</v>
      </c>
      <c r="P1541" s="10" t="s">
        <v>46</v>
      </c>
      <c r="Q1541" s="1" t="s">
        <v>72</v>
      </c>
      <c r="R1541" s="8" t="s">
        <v>343</v>
      </c>
      <c r="S154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4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4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4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4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4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4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4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4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4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4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4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4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41" s="12">
        <f ca="1">[1]!Tabel1[[#This Row],[Vægtet Honorar]]*([1]!Tabel1[[#This Row],[Sidst redigeret]]&gt;TODAY()-40)*([1]!Tabel1[[#This Row],[Er i resplan?]]&lt;&gt;"Ja")*([1]!Tabel1[[#This Row],[Status]]="Pågår")</f>
        <v>31406.25</v>
      </c>
      <c r="AG1541" s="12">
        <f ca="1">[1]!Tabel1[[#This Row],[Vægtet Honorar]]*([1]!Tabel1[[#This Row],[Sidst redigeret]]&gt;TODAY()-40)*([1]!Tabel1[[#This Row],[Status]]="Pågår")</f>
        <v>31406.25</v>
      </c>
      <c r="AH1541" s="13"/>
      <c r="AI1541" s="12"/>
      <c r="AJ1541" s="12" t="s">
        <v>1864</v>
      </c>
      <c r="AK1541" s="12"/>
      <c r="AL1541" s="12"/>
      <c r="AM1541" s="12"/>
      <c r="AN1541" s="12"/>
      <c r="AO1541" s="12"/>
      <c r="AP1541" s="12"/>
    </row>
    <row r="1542" spans="1:42">
      <c r="A1542" t="s">
        <v>5333</v>
      </c>
      <c r="B1542" s="8"/>
      <c r="C1542" s="8" t="s">
        <v>5334</v>
      </c>
      <c r="D1542" s="8" t="s">
        <v>3836</v>
      </c>
      <c r="E1542" s="8" t="s">
        <v>167</v>
      </c>
      <c r="F1542" s="8" t="s">
        <v>5335</v>
      </c>
      <c r="G1542" s="8" t="s">
        <v>5335</v>
      </c>
      <c r="H1542" s="9">
        <v>100000</v>
      </c>
      <c r="I1542" s="9">
        <f>[1]!Tabel1[[#This Row],[Honorar]]*[1]!Tabel1[[#This Row],[Sandsynlighed]]</f>
        <v>95000</v>
      </c>
      <c r="J1542" s="10" t="s">
        <v>341</v>
      </c>
      <c r="K1542" s="1" t="s">
        <v>1310</v>
      </c>
      <c r="L1542" s="17"/>
      <c r="M1542" s="11">
        <v>1</v>
      </c>
      <c r="N1542" s="1"/>
      <c r="O1542" s="10">
        <v>46279.621504629627</v>
      </c>
      <c r="P1542" s="10" t="s">
        <v>4507</v>
      </c>
      <c r="Q1542" s="1" t="s">
        <v>72</v>
      </c>
      <c r="R1542" s="8" t="s">
        <v>343</v>
      </c>
      <c r="S154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4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4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4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4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4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4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4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4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4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4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4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4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42" s="12">
        <f ca="1">[1]!Tabel1[[#This Row],[Vægtet Honorar]]*([1]!Tabel1[[#This Row],[Sidst redigeret]]&gt;TODAY()-40)*([1]!Tabel1[[#This Row],[Er i resplan?]]&lt;&gt;"Ja")*([1]!Tabel1[[#This Row],[Status]]="Pågår")</f>
        <v>0</v>
      </c>
      <c r="AG1542" s="12">
        <f ca="1">[1]!Tabel1[[#This Row],[Vægtet Honorar]]*([1]!Tabel1[[#This Row],[Sidst redigeret]]&gt;TODAY()-40)*([1]!Tabel1[[#This Row],[Status]]="Pågår")</f>
        <v>95000</v>
      </c>
      <c r="AH1542" s="13"/>
      <c r="AI1542" s="12"/>
      <c r="AJ1542" s="12"/>
      <c r="AK1542" s="12"/>
      <c r="AL1542" s="12"/>
      <c r="AM1542" s="12"/>
      <c r="AN1542" s="12"/>
      <c r="AO1542" s="12"/>
      <c r="AP1542" s="12"/>
    </row>
    <row r="1543" spans="1:42" ht="75">
      <c r="A1543" t="s">
        <v>5336</v>
      </c>
      <c r="B1543" s="8"/>
      <c r="C1543" s="8" t="s">
        <v>5337</v>
      </c>
      <c r="D1543" s="8" t="s">
        <v>896</v>
      </c>
      <c r="E1543" s="8" t="s">
        <v>94</v>
      </c>
      <c r="F1543" s="8" t="s">
        <v>3386</v>
      </c>
      <c r="G1543" s="8" t="s">
        <v>2967</v>
      </c>
      <c r="H1543" s="9">
        <v>3500000</v>
      </c>
      <c r="I1543" s="9">
        <f>[1]!Tabel1[[#This Row],[Honorar]]*[1]!Tabel1[[#This Row],[Sandsynlighed]]</f>
        <v>475000</v>
      </c>
      <c r="J1543" s="10" t="s">
        <v>342</v>
      </c>
      <c r="K1543" s="1" t="s">
        <v>2405</v>
      </c>
      <c r="L1543" s="17" t="s">
        <v>5338</v>
      </c>
      <c r="M1543" s="11">
        <v>0.01</v>
      </c>
      <c r="N1543" s="1"/>
      <c r="O1543" s="10">
        <v>46279.621504629627</v>
      </c>
      <c r="P1543" s="10" t="s">
        <v>4507</v>
      </c>
      <c r="Q1543" s="1" t="s">
        <v>72</v>
      </c>
      <c r="R1543" s="8" t="s">
        <v>343</v>
      </c>
      <c r="S154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4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4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4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4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4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4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4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4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4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4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4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4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43" s="12">
        <f ca="1">[1]!Tabel1[[#This Row],[Vægtet Honorar]]*([1]!Tabel1[[#This Row],[Sidst redigeret]]&gt;TODAY()-40)*([1]!Tabel1[[#This Row],[Er i resplan?]]&lt;&gt;"Ja")*([1]!Tabel1[[#This Row],[Status]]="Pågår")</f>
        <v>0</v>
      </c>
      <c r="AG1543" s="12">
        <f ca="1">[1]!Tabel1[[#This Row],[Vægtet Honorar]]*([1]!Tabel1[[#This Row],[Sidst redigeret]]&gt;TODAY()-40)*([1]!Tabel1[[#This Row],[Status]]="Pågår")</f>
        <v>475000</v>
      </c>
      <c r="AH1543" s="13"/>
      <c r="AI1543" s="12"/>
      <c r="AJ1543" s="12" t="s">
        <v>5339</v>
      </c>
      <c r="AK1543" s="12"/>
      <c r="AL1543" s="12"/>
      <c r="AM1543" s="12"/>
      <c r="AN1543" s="12"/>
      <c r="AO1543" s="12"/>
      <c r="AP1543" s="12"/>
    </row>
    <row r="1544" spans="1:42">
      <c r="A1544" t="s">
        <v>5340</v>
      </c>
      <c r="B1544" s="8"/>
      <c r="C1544" s="8" t="s">
        <v>5341</v>
      </c>
      <c r="D1544" s="8" t="s">
        <v>3790</v>
      </c>
      <c r="E1544" s="8" t="s">
        <v>71</v>
      </c>
      <c r="F1544" s="8" t="s">
        <v>5342</v>
      </c>
      <c r="G1544" s="8" t="s">
        <v>5343</v>
      </c>
      <c r="H1544" s="9">
        <v>35000</v>
      </c>
      <c r="I1544" s="9">
        <f>[1]!Tabel1[[#This Row],[Honorar]]*[1]!Tabel1[[#This Row],[Sandsynlighed]]</f>
        <v>540000</v>
      </c>
      <c r="J1544" s="10" t="s">
        <v>341</v>
      </c>
      <c r="K1544" s="1" t="s">
        <v>341</v>
      </c>
      <c r="L1544" s="17"/>
      <c r="M1544" s="11">
        <v>1</v>
      </c>
      <c r="N1544" s="1"/>
      <c r="O1544" s="10">
        <v>46279.621504629627</v>
      </c>
      <c r="P1544" s="10" t="s">
        <v>4507</v>
      </c>
      <c r="Q1544" s="1" t="s">
        <v>46</v>
      </c>
      <c r="R1544" s="8" t="s">
        <v>47</v>
      </c>
      <c r="S154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4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4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4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4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4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4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4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4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4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4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4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4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44" s="12">
        <f ca="1">[1]!Tabel1[[#This Row],[Vægtet Honorar]]*([1]!Tabel1[[#This Row],[Sidst redigeret]]&gt;TODAY()-40)*([1]!Tabel1[[#This Row],[Er i resplan?]]&lt;&gt;"Ja")*([1]!Tabel1[[#This Row],[Status]]="Pågår")</f>
        <v>0</v>
      </c>
      <c r="AG1544" s="12">
        <f ca="1">[1]!Tabel1[[#This Row],[Vægtet Honorar]]*([1]!Tabel1[[#This Row],[Sidst redigeret]]&gt;TODAY()-40)*([1]!Tabel1[[#This Row],[Status]]="Pågår")</f>
        <v>540000</v>
      </c>
      <c r="AH1544" s="13">
        <v>46078.555231481485</v>
      </c>
      <c r="AI1544" s="12"/>
      <c r="AJ1544" s="12" t="s">
        <v>5344</v>
      </c>
      <c r="AK1544" s="12"/>
      <c r="AL1544" s="12"/>
      <c r="AM1544" s="12"/>
      <c r="AN1544" s="12"/>
      <c r="AO1544" s="12"/>
      <c r="AP1544" s="12"/>
    </row>
    <row r="1545" spans="1:42">
      <c r="A1545" t="s">
        <v>5345</v>
      </c>
      <c r="B1545" s="8"/>
      <c r="C1545" s="8" t="s">
        <v>5346</v>
      </c>
      <c r="D1545" s="8" t="s">
        <v>720</v>
      </c>
      <c r="E1545" s="8" t="s">
        <v>71</v>
      </c>
      <c r="F1545" s="8" t="s">
        <v>902</v>
      </c>
      <c r="G1545" s="8" t="s">
        <v>1693</v>
      </c>
      <c r="H1545" s="9">
        <v>2000000</v>
      </c>
      <c r="I1545" s="9">
        <f>[1]!Tabel1[[#This Row],[Honorar]]*[1]!Tabel1[[#This Row],[Sandsynlighed]]</f>
        <v>26000</v>
      </c>
      <c r="J1545" s="10" t="s">
        <v>585</v>
      </c>
      <c r="K1545" s="1" t="s">
        <v>898</v>
      </c>
      <c r="L1545" s="17"/>
      <c r="M1545" s="11">
        <v>0.05</v>
      </c>
      <c r="N1545" s="1"/>
      <c r="O1545" s="10">
        <v>46279.621504629627</v>
      </c>
      <c r="P1545" s="10" t="s">
        <v>4507</v>
      </c>
      <c r="Q1545" s="1" t="s">
        <v>72</v>
      </c>
      <c r="R1545" s="8" t="s">
        <v>343</v>
      </c>
      <c r="S154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4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4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4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4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4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4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4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4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4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4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4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4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45" s="12">
        <f ca="1">[1]!Tabel1[[#This Row],[Vægtet Honorar]]*([1]!Tabel1[[#This Row],[Sidst redigeret]]&gt;TODAY()-40)*([1]!Tabel1[[#This Row],[Er i resplan?]]&lt;&gt;"Ja")*([1]!Tabel1[[#This Row],[Status]]="Pågår")</f>
        <v>26000</v>
      </c>
      <c r="AG1545" s="12">
        <f ca="1">[1]!Tabel1[[#This Row],[Vægtet Honorar]]*([1]!Tabel1[[#This Row],[Sidst redigeret]]&gt;TODAY()-40)*([1]!Tabel1[[#This Row],[Status]]="Pågår")</f>
        <v>26000</v>
      </c>
      <c r="AH1545" s="13"/>
      <c r="AI1545" s="12"/>
      <c r="AJ1545" s="12" t="s">
        <v>1693</v>
      </c>
      <c r="AK1545" s="12"/>
      <c r="AL1545" s="12"/>
      <c r="AM1545" s="12"/>
      <c r="AN1545" s="12"/>
      <c r="AO1545" s="12"/>
      <c r="AP1545" s="12"/>
    </row>
    <row r="1546" spans="1:42">
      <c r="A1546" t="s">
        <v>5347</v>
      </c>
      <c r="B1546" s="8"/>
      <c r="C1546" s="8" t="s">
        <v>5348</v>
      </c>
      <c r="D1546" s="8" t="s">
        <v>1886</v>
      </c>
      <c r="E1546" s="8" t="s">
        <v>94</v>
      </c>
      <c r="F1546" s="8" t="s">
        <v>5349</v>
      </c>
      <c r="G1546" s="8" t="s">
        <v>5350</v>
      </c>
      <c r="H1546" s="9">
        <v>60000</v>
      </c>
      <c r="I1546" s="9">
        <f>[1]!Tabel1[[#This Row],[Honorar]]*[1]!Tabel1[[#This Row],[Sandsynlighed]]</f>
        <v>26000</v>
      </c>
      <c r="J1546" s="10" t="s">
        <v>341</v>
      </c>
      <c r="K1546" s="1" t="s">
        <v>1310</v>
      </c>
      <c r="L1546" s="17"/>
      <c r="M1546" s="11">
        <v>0.9</v>
      </c>
      <c r="N1546" s="1"/>
      <c r="O1546" s="10">
        <v>46279.621504629627</v>
      </c>
      <c r="P1546" s="10" t="s">
        <v>4507</v>
      </c>
      <c r="Q1546" s="1" t="s">
        <v>72</v>
      </c>
      <c r="R1546" s="8" t="s">
        <v>343</v>
      </c>
      <c r="S154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4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4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4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4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4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4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4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4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4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4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4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4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46" s="12">
        <f ca="1">[1]!Tabel1[[#This Row],[Vægtet Honorar]]*([1]!Tabel1[[#This Row],[Sidst redigeret]]&gt;TODAY()-40)*([1]!Tabel1[[#This Row],[Er i resplan?]]&lt;&gt;"Ja")*([1]!Tabel1[[#This Row],[Status]]="Pågår")</f>
        <v>26000</v>
      </c>
      <c r="AG1546" s="12">
        <f ca="1">[1]!Tabel1[[#This Row],[Vægtet Honorar]]*([1]!Tabel1[[#This Row],[Sidst redigeret]]&gt;TODAY()-40)*([1]!Tabel1[[#This Row],[Status]]="Pågår")</f>
        <v>26000</v>
      </c>
      <c r="AH1546" s="13"/>
      <c r="AI1546" s="12"/>
      <c r="AJ1546" s="12"/>
      <c r="AK1546" s="12"/>
      <c r="AL1546" s="12"/>
      <c r="AM1546" s="12"/>
      <c r="AN1546" s="12"/>
      <c r="AO1546" s="12"/>
      <c r="AP1546" s="12"/>
    </row>
    <row r="1547" spans="1:42">
      <c r="A1547" t="s">
        <v>5351</v>
      </c>
      <c r="B1547" s="8"/>
      <c r="C1547" s="8" t="s">
        <v>5352</v>
      </c>
      <c r="D1547" s="8" t="s">
        <v>2886</v>
      </c>
      <c r="E1547" s="8" t="s">
        <v>120</v>
      </c>
      <c r="F1547" s="8" t="s">
        <v>691</v>
      </c>
      <c r="G1547" s="8" t="s">
        <v>691</v>
      </c>
      <c r="H1547" s="9">
        <v>1500000</v>
      </c>
      <c r="I1547" s="9">
        <f>[1]!Tabel1[[#This Row],[Honorar]]*[1]!Tabel1[[#This Row],[Sandsynlighed]]</f>
        <v>100000</v>
      </c>
      <c r="J1547" s="10" t="s">
        <v>1062</v>
      </c>
      <c r="K1547" s="1" t="s">
        <v>2105</v>
      </c>
      <c r="L1547" s="17"/>
      <c r="M1547" s="11">
        <v>0.05</v>
      </c>
      <c r="N1547" s="1"/>
      <c r="O1547" s="10">
        <v>46279.621504629627</v>
      </c>
      <c r="P1547" s="10" t="s">
        <v>4507</v>
      </c>
      <c r="Q1547" s="1" t="s">
        <v>72</v>
      </c>
      <c r="R1547" s="8" t="s">
        <v>1265</v>
      </c>
      <c r="S154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4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4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4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4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4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4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4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4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4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4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4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4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47" s="12">
        <f ca="1">[1]!Tabel1[[#This Row],[Vægtet Honorar]]*([1]!Tabel1[[#This Row],[Sidst redigeret]]&gt;TODAY()-40)*([1]!Tabel1[[#This Row],[Er i resplan?]]&lt;&gt;"Ja")*([1]!Tabel1[[#This Row],[Status]]="Pågår")</f>
        <v>100000</v>
      </c>
      <c r="AG1547" s="12">
        <f ca="1">[1]!Tabel1[[#This Row],[Vægtet Honorar]]*([1]!Tabel1[[#This Row],[Sidst redigeret]]&gt;TODAY()-40)*([1]!Tabel1[[#This Row],[Status]]="Pågår")</f>
        <v>100000</v>
      </c>
      <c r="AH1547" s="13"/>
      <c r="AI1547" s="12"/>
      <c r="AJ1547" s="12" t="s">
        <v>2917</v>
      </c>
      <c r="AK1547" s="12" t="s">
        <v>5353</v>
      </c>
      <c r="AL1547" s="12"/>
      <c r="AM1547" s="12"/>
      <c r="AN1547" s="12"/>
      <c r="AO1547" s="12"/>
      <c r="AP1547" s="12"/>
    </row>
    <row r="1548" spans="1:42" ht="60">
      <c r="A1548" t="s">
        <v>5354</v>
      </c>
      <c r="B1548" s="8"/>
      <c r="C1548" s="8" t="s">
        <v>5355</v>
      </c>
      <c r="D1548" s="8" t="s">
        <v>720</v>
      </c>
      <c r="E1548" s="8" t="s">
        <v>71</v>
      </c>
      <c r="F1548" s="8" t="s">
        <v>5355</v>
      </c>
      <c r="G1548" s="8" t="s">
        <v>5356</v>
      </c>
      <c r="H1548" s="9">
        <v>2000000</v>
      </c>
      <c r="I1548" s="9">
        <f>[1]!Tabel1[[#This Row],[Honorar]]*[1]!Tabel1[[#This Row],[Sandsynlighed]]</f>
        <v>35000</v>
      </c>
      <c r="J1548" s="10" t="s">
        <v>1062</v>
      </c>
      <c r="K1548" s="1" t="s">
        <v>2105</v>
      </c>
      <c r="L1548" s="17" t="s">
        <v>5357</v>
      </c>
      <c r="M1548" s="11">
        <v>0.02</v>
      </c>
      <c r="N1548" s="1"/>
      <c r="O1548" s="10">
        <v>46279.621504629627</v>
      </c>
      <c r="P1548" s="10" t="s">
        <v>4507</v>
      </c>
      <c r="Q1548" s="1" t="s">
        <v>72</v>
      </c>
      <c r="R1548" s="8" t="s">
        <v>343</v>
      </c>
      <c r="S154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4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4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4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4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4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4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4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4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4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4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4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4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48" s="12">
        <f ca="1">[1]!Tabel1[[#This Row],[Vægtet Honorar]]*([1]!Tabel1[[#This Row],[Sidst redigeret]]&gt;TODAY()-40)*([1]!Tabel1[[#This Row],[Er i resplan?]]&lt;&gt;"Ja")*([1]!Tabel1[[#This Row],[Status]]="Pågår")</f>
        <v>35000</v>
      </c>
      <c r="AG1548" s="12">
        <f ca="1">[1]!Tabel1[[#This Row],[Vægtet Honorar]]*([1]!Tabel1[[#This Row],[Sidst redigeret]]&gt;TODAY()-40)*([1]!Tabel1[[#This Row],[Status]]="Pågår")</f>
        <v>35000</v>
      </c>
      <c r="AH1548" s="13"/>
      <c r="AI1548" s="12"/>
      <c r="AJ1548" s="12" t="s">
        <v>5356</v>
      </c>
      <c r="AK1548" s="12"/>
      <c r="AL1548" s="12"/>
      <c r="AM1548" s="12"/>
      <c r="AN1548" s="12"/>
      <c r="AO1548" s="12"/>
      <c r="AP1548" s="12"/>
    </row>
    <row r="1549" spans="1:42" ht="60">
      <c r="A1549" t="s">
        <v>5358</v>
      </c>
      <c r="B1549" s="8"/>
      <c r="C1549" s="8" t="s">
        <v>5359</v>
      </c>
      <c r="D1549" s="8" t="s">
        <v>720</v>
      </c>
      <c r="E1549" s="8" t="s">
        <v>71</v>
      </c>
      <c r="F1549" s="8" t="s">
        <v>5359</v>
      </c>
      <c r="G1549" s="8" t="s">
        <v>5356</v>
      </c>
      <c r="H1549" s="9">
        <v>2000000</v>
      </c>
      <c r="I1549" s="9">
        <f>[1]!Tabel1[[#This Row],[Honorar]]*[1]!Tabel1[[#This Row],[Sandsynlighed]]</f>
        <v>35000</v>
      </c>
      <c r="J1549" s="10" t="s">
        <v>1062</v>
      </c>
      <c r="K1549" s="1" t="s">
        <v>2105</v>
      </c>
      <c r="L1549" s="17" t="s">
        <v>5360</v>
      </c>
      <c r="M1549" s="11">
        <v>0.02</v>
      </c>
      <c r="N1549" s="1"/>
      <c r="O1549" s="10">
        <v>46279.621504629627</v>
      </c>
      <c r="P1549" s="10" t="s">
        <v>4507</v>
      </c>
      <c r="Q1549" s="1" t="s">
        <v>72</v>
      </c>
      <c r="R1549" s="8" t="s">
        <v>343</v>
      </c>
      <c r="S154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4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4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4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4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4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4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4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4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4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4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4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4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49" s="12">
        <f ca="1">[1]!Tabel1[[#This Row],[Vægtet Honorar]]*([1]!Tabel1[[#This Row],[Sidst redigeret]]&gt;TODAY()-40)*([1]!Tabel1[[#This Row],[Er i resplan?]]&lt;&gt;"Ja")*([1]!Tabel1[[#This Row],[Status]]="Pågår")</f>
        <v>0</v>
      </c>
      <c r="AG1549" s="12">
        <f ca="1">[1]!Tabel1[[#This Row],[Vægtet Honorar]]*([1]!Tabel1[[#This Row],[Sidst redigeret]]&gt;TODAY()-40)*([1]!Tabel1[[#This Row],[Status]]="Pågår")</f>
        <v>0</v>
      </c>
      <c r="AH1549" s="13"/>
      <c r="AI1549" s="12"/>
      <c r="AJ1549" s="12" t="s">
        <v>5356</v>
      </c>
      <c r="AK1549" s="12"/>
      <c r="AL1549" s="12"/>
      <c r="AM1549" s="12"/>
      <c r="AN1549" s="12"/>
      <c r="AO1549" s="12"/>
      <c r="AP1549" s="12"/>
    </row>
    <row r="1550" spans="1:42" ht="60">
      <c r="A1550" t="s">
        <v>5361</v>
      </c>
      <c r="B1550" s="8"/>
      <c r="C1550" s="8" t="s">
        <v>5362</v>
      </c>
      <c r="D1550" s="8" t="s">
        <v>720</v>
      </c>
      <c r="E1550" s="8" t="s">
        <v>71</v>
      </c>
      <c r="F1550" s="8" t="s">
        <v>5362</v>
      </c>
      <c r="G1550" s="8" t="s">
        <v>5356</v>
      </c>
      <c r="H1550" s="9">
        <v>1000000</v>
      </c>
      <c r="I1550" s="9">
        <f>[1]!Tabel1[[#This Row],[Honorar]]*[1]!Tabel1[[#This Row],[Sandsynlighed]]</f>
        <v>100000</v>
      </c>
      <c r="J1550" s="10" t="s">
        <v>1062</v>
      </c>
      <c r="K1550" s="1" t="s">
        <v>2105</v>
      </c>
      <c r="L1550" s="17" t="s">
        <v>5363</v>
      </c>
      <c r="M1550" s="11">
        <v>0.02</v>
      </c>
      <c r="N1550" s="1"/>
      <c r="O1550" s="10">
        <v>46279.621504629627</v>
      </c>
      <c r="P1550" s="10" t="s">
        <v>4507</v>
      </c>
      <c r="Q1550" s="1" t="s">
        <v>72</v>
      </c>
      <c r="R1550" s="8" t="s">
        <v>343</v>
      </c>
      <c r="S155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5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5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5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5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5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5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5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5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5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5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5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5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50" s="12">
        <f ca="1">[1]!Tabel1[[#This Row],[Vægtet Honorar]]*([1]!Tabel1[[#This Row],[Sidst redigeret]]&gt;TODAY()-40)*([1]!Tabel1[[#This Row],[Er i resplan?]]&lt;&gt;"Ja")*([1]!Tabel1[[#This Row],[Status]]="Pågår")</f>
        <v>100000</v>
      </c>
      <c r="AG1550" s="12">
        <f ca="1">[1]!Tabel1[[#This Row],[Vægtet Honorar]]*([1]!Tabel1[[#This Row],[Sidst redigeret]]&gt;TODAY()-40)*([1]!Tabel1[[#This Row],[Status]]="Pågår")</f>
        <v>100000</v>
      </c>
      <c r="AH1550" s="13"/>
      <c r="AI1550" s="12"/>
      <c r="AJ1550" s="12" t="s">
        <v>5356</v>
      </c>
      <c r="AK1550" s="12"/>
      <c r="AL1550" s="12"/>
      <c r="AM1550" s="12"/>
      <c r="AN1550" s="12"/>
      <c r="AO1550" s="12"/>
      <c r="AP1550" s="12"/>
    </row>
    <row r="1551" spans="1:42" ht="45">
      <c r="A1551" t="s">
        <v>5364</v>
      </c>
      <c r="B1551" s="8"/>
      <c r="C1551" s="8" t="s">
        <v>5365</v>
      </c>
      <c r="D1551" s="8" t="s">
        <v>896</v>
      </c>
      <c r="E1551" s="8" t="s">
        <v>94</v>
      </c>
      <c r="F1551" s="8" t="s">
        <v>4060</v>
      </c>
      <c r="G1551" s="8" t="s">
        <v>4517</v>
      </c>
      <c r="H1551" s="9">
        <v>450000</v>
      </c>
      <c r="I1551" s="9">
        <f>[1]!Tabel1[[#This Row],[Honorar]]*[1]!Tabel1[[#This Row],[Sandsynlighed]]</f>
        <v>54000</v>
      </c>
      <c r="J1551" s="10" t="s">
        <v>1062</v>
      </c>
      <c r="K1551" s="1" t="s">
        <v>2105</v>
      </c>
      <c r="L1551" s="17" t="s">
        <v>5366</v>
      </c>
      <c r="M1551" s="11">
        <v>0.5</v>
      </c>
      <c r="N1551" s="1"/>
      <c r="O1551" s="10">
        <v>46279.621516203704</v>
      </c>
      <c r="P1551" s="10" t="s">
        <v>4507</v>
      </c>
      <c r="Q1551" s="1" t="s">
        <v>72</v>
      </c>
      <c r="R1551" s="8" t="s">
        <v>49</v>
      </c>
      <c r="S155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5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5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5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5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5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5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5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5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5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5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5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5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51" s="12">
        <f ca="1">[1]!Tabel1[[#This Row],[Vægtet Honorar]]*([1]!Tabel1[[#This Row],[Sidst redigeret]]&gt;TODAY()-40)*([1]!Tabel1[[#This Row],[Er i resplan?]]&lt;&gt;"Ja")*([1]!Tabel1[[#This Row],[Status]]="Pågår")</f>
        <v>54000</v>
      </c>
      <c r="AG1551" s="12">
        <f ca="1">[1]!Tabel1[[#This Row],[Vægtet Honorar]]*([1]!Tabel1[[#This Row],[Sidst redigeret]]&gt;TODAY()-40)*([1]!Tabel1[[#This Row],[Status]]="Pågår")</f>
        <v>54000</v>
      </c>
      <c r="AH1551" s="13"/>
      <c r="AI1551" s="12"/>
      <c r="AJ1551" s="12" t="s">
        <v>4517</v>
      </c>
      <c r="AK1551" s="12"/>
      <c r="AL1551" s="12"/>
      <c r="AM1551" s="12"/>
      <c r="AN1551" s="12"/>
      <c r="AO1551" s="12"/>
      <c r="AP1551" s="12"/>
    </row>
    <row r="1552" spans="1:42" ht="45">
      <c r="A1552" t="s">
        <v>5367</v>
      </c>
      <c r="B1552" s="8"/>
      <c r="C1552" s="8" t="s">
        <v>5368</v>
      </c>
      <c r="D1552" s="8" t="s">
        <v>2886</v>
      </c>
      <c r="E1552" s="8" t="s">
        <v>120</v>
      </c>
      <c r="F1552" s="8" t="s">
        <v>5369</v>
      </c>
      <c r="G1552" s="8" t="s">
        <v>5369</v>
      </c>
      <c r="H1552" s="9">
        <v>300000</v>
      </c>
      <c r="I1552" s="9">
        <f>[1]!Tabel1[[#This Row],[Honorar]]*[1]!Tabel1[[#This Row],[Sandsynlighed]]</f>
        <v>75000</v>
      </c>
      <c r="J1552" s="10" t="s">
        <v>341</v>
      </c>
      <c r="K1552" s="1" t="s">
        <v>585</v>
      </c>
      <c r="L1552" s="17" t="s">
        <v>5370</v>
      </c>
      <c r="M1552" s="11">
        <v>0.5</v>
      </c>
      <c r="N1552" s="1"/>
      <c r="O1552" s="10">
        <v>46279.621516203704</v>
      </c>
      <c r="P1552" s="10" t="s">
        <v>4507</v>
      </c>
      <c r="Q1552" s="1" t="s">
        <v>72</v>
      </c>
      <c r="R1552" s="8" t="s">
        <v>4031</v>
      </c>
      <c r="S155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5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5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5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5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5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5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5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5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5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5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5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5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52" s="12">
        <f ca="1">[1]!Tabel1[[#This Row],[Vægtet Honorar]]*([1]!Tabel1[[#This Row],[Sidst redigeret]]&gt;TODAY()-40)*([1]!Tabel1[[#This Row],[Er i resplan?]]&lt;&gt;"Ja")*([1]!Tabel1[[#This Row],[Status]]="Pågår")</f>
        <v>0</v>
      </c>
      <c r="AG1552" s="12">
        <f ca="1">[1]!Tabel1[[#This Row],[Vægtet Honorar]]*([1]!Tabel1[[#This Row],[Sidst redigeret]]&gt;TODAY()-40)*([1]!Tabel1[[#This Row],[Status]]="Pågår")</f>
        <v>0</v>
      </c>
      <c r="AH1552" s="13">
        <v>46269.499699074076</v>
      </c>
      <c r="AI1552" s="12"/>
      <c r="AJ1552" s="12"/>
      <c r="AK1552" s="12"/>
      <c r="AL1552" s="12"/>
      <c r="AM1552" s="12"/>
      <c r="AN1552" s="12"/>
      <c r="AO1552" s="12"/>
      <c r="AP1552" s="12"/>
    </row>
    <row r="1553" spans="1:42" ht="30">
      <c r="A1553" t="s">
        <v>5371</v>
      </c>
      <c r="B1553" s="8"/>
      <c r="C1553" s="8" t="s">
        <v>5372</v>
      </c>
      <c r="D1553" s="8" t="s">
        <v>1771</v>
      </c>
      <c r="E1553" s="8" t="s">
        <v>167</v>
      </c>
      <c r="F1553" s="8" t="s">
        <v>5373</v>
      </c>
      <c r="G1553" s="8" t="s">
        <v>5374</v>
      </c>
      <c r="H1553" s="9">
        <v>800000</v>
      </c>
      <c r="I1553" s="9">
        <f>[1]!Tabel1[[#This Row],[Honorar]]*[1]!Tabel1[[#This Row],[Sandsynlighed]]</f>
        <v>40000</v>
      </c>
      <c r="J1553" s="10" t="s">
        <v>341</v>
      </c>
      <c r="K1553" s="1" t="s">
        <v>342</v>
      </c>
      <c r="L1553" s="17" t="s">
        <v>5275</v>
      </c>
      <c r="M1553" s="11">
        <v>0</v>
      </c>
      <c r="N1553" s="1" t="s">
        <v>5375</v>
      </c>
      <c r="O1553" s="10">
        <v>46279.621516203704</v>
      </c>
      <c r="P1553" s="10" t="s">
        <v>4507</v>
      </c>
      <c r="Q1553" s="1" t="s">
        <v>46</v>
      </c>
      <c r="R1553" s="8" t="s">
        <v>1265</v>
      </c>
      <c r="S155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5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5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5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5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5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5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5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5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5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5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5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5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53" s="12">
        <f ca="1">[1]!Tabel1[[#This Row],[Vægtet Honorar]]*([1]!Tabel1[[#This Row],[Sidst redigeret]]&gt;TODAY()-40)*([1]!Tabel1[[#This Row],[Er i resplan?]]&lt;&gt;"Ja")*([1]!Tabel1[[#This Row],[Status]]="Pågår")</f>
        <v>40000</v>
      </c>
      <c r="AG1553" s="12">
        <f ca="1">[1]!Tabel1[[#This Row],[Vægtet Honorar]]*([1]!Tabel1[[#This Row],[Sidst redigeret]]&gt;TODAY()-40)*([1]!Tabel1[[#This Row],[Status]]="Pågår")</f>
        <v>40000</v>
      </c>
      <c r="AH1553" s="13"/>
      <c r="AI1553" s="12"/>
      <c r="AJ1553" s="12"/>
      <c r="AK1553" s="12"/>
      <c r="AL1553" s="12"/>
      <c r="AM1553" s="12"/>
      <c r="AN1553" s="12"/>
      <c r="AO1553" s="12"/>
      <c r="AP1553" s="12"/>
    </row>
    <row r="1554" spans="1:42" ht="60">
      <c r="A1554" t="s">
        <v>5376</v>
      </c>
      <c r="B1554" s="8"/>
      <c r="C1554" s="8" t="s">
        <v>5377</v>
      </c>
      <c r="D1554" s="8" t="s">
        <v>896</v>
      </c>
      <c r="E1554" s="8" t="s">
        <v>94</v>
      </c>
      <c r="F1554" s="8" t="s">
        <v>4646</v>
      </c>
      <c r="G1554" s="8" t="s">
        <v>1864</v>
      </c>
      <c r="H1554" s="9">
        <v>800000</v>
      </c>
      <c r="I1554" s="9">
        <f>[1]!Tabel1[[#This Row],[Honorar]]*[1]!Tabel1[[#This Row],[Sandsynlighed]]</f>
        <v>40000</v>
      </c>
      <c r="J1554" s="10" t="s">
        <v>585</v>
      </c>
      <c r="K1554" s="1" t="s">
        <v>1323</v>
      </c>
      <c r="L1554" s="17" t="s">
        <v>4790</v>
      </c>
      <c r="M1554" s="11">
        <v>0.01</v>
      </c>
      <c r="N1554" s="1"/>
      <c r="O1554" s="10">
        <v>46279.621516203704</v>
      </c>
      <c r="P1554" s="10" t="s">
        <v>4507</v>
      </c>
      <c r="Q1554" s="1" t="s">
        <v>72</v>
      </c>
      <c r="R1554" s="8" t="s">
        <v>343</v>
      </c>
      <c r="S155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5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5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5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5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5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5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5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5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5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5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5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5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54" s="12">
        <f ca="1">[1]!Tabel1[[#This Row],[Vægtet Honorar]]*([1]!Tabel1[[#This Row],[Sidst redigeret]]&gt;TODAY()-40)*([1]!Tabel1[[#This Row],[Er i resplan?]]&lt;&gt;"Ja")*([1]!Tabel1[[#This Row],[Status]]="Pågår")</f>
        <v>40000</v>
      </c>
      <c r="AG1554" s="12">
        <f ca="1">[1]!Tabel1[[#This Row],[Vægtet Honorar]]*([1]!Tabel1[[#This Row],[Sidst redigeret]]&gt;TODAY()-40)*([1]!Tabel1[[#This Row],[Status]]="Pågår")</f>
        <v>40000</v>
      </c>
      <c r="AH1554" s="13"/>
      <c r="AI1554" s="12"/>
      <c r="AJ1554" s="12" t="s">
        <v>1864</v>
      </c>
      <c r="AK1554" s="12"/>
      <c r="AL1554" s="12"/>
      <c r="AM1554" s="12"/>
      <c r="AN1554" s="12"/>
      <c r="AO1554" s="12"/>
      <c r="AP1554" s="12"/>
    </row>
    <row r="1555" spans="1:42" ht="60">
      <c r="A1555" t="s">
        <v>5378</v>
      </c>
      <c r="B1555" s="8"/>
      <c r="C1555" s="8" t="s">
        <v>5379</v>
      </c>
      <c r="D1555" s="8" t="s">
        <v>896</v>
      </c>
      <c r="E1555" s="8" t="s">
        <v>94</v>
      </c>
      <c r="F1555" s="8" t="s">
        <v>4646</v>
      </c>
      <c r="G1555" s="8" t="s">
        <v>1864</v>
      </c>
      <c r="H1555" s="9">
        <v>2800000</v>
      </c>
      <c r="I1555" s="9">
        <f>[1]!Tabel1[[#This Row],[Honorar]]*[1]!Tabel1[[#This Row],[Sandsynlighed]]</f>
        <v>20000</v>
      </c>
      <c r="J1555" s="10" t="s">
        <v>585</v>
      </c>
      <c r="K1555" s="1" t="s">
        <v>1323</v>
      </c>
      <c r="L1555" s="17" t="s">
        <v>4790</v>
      </c>
      <c r="M1555" s="11">
        <v>0.01</v>
      </c>
      <c r="N1555" s="1"/>
      <c r="O1555" s="10">
        <v>46279.621516203704</v>
      </c>
      <c r="P1555" s="10" t="s">
        <v>4507</v>
      </c>
      <c r="Q1555" s="1" t="s">
        <v>72</v>
      </c>
      <c r="R1555" s="8" t="s">
        <v>343</v>
      </c>
      <c r="S155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5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5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5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5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5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5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5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5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5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5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5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5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55" s="12">
        <f ca="1">[1]!Tabel1[[#This Row],[Vægtet Honorar]]*([1]!Tabel1[[#This Row],[Sidst redigeret]]&gt;TODAY()-40)*([1]!Tabel1[[#This Row],[Er i resplan?]]&lt;&gt;"Ja")*([1]!Tabel1[[#This Row],[Status]]="Pågår")</f>
        <v>20000</v>
      </c>
      <c r="AG1555" s="12">
        <f ca="1">[1]!Tabel1[[#This Row],[Vægtet Honorar]]*([1]!Tabel1[[#This Row],[Sidst redigeret]]&gt;TODAY()-40)*([1]!Tabel1[[#This Row],[Status]]="Pågår")</f>
        <v>20000</v>
      </c>
      <c r="AH1555" s="13"/>
      <c r="AI1555" s="12"/>
      <c r="AJ1555" s="12" t="s">
        <v>1864</v>
      </c>
      <c r="AK1555" s="12"/>
      <c r="AL1555" s="12"/>
      <c r="AM1555" s="12"/>
      <c r="AN1555" s="12"/>
      <c r="AO1555" s="12"/>
      <c r="AP1555" s="12"/>
    </row>
    <row r="1556" spans="1:42">
      <c r="A1556" t="s">
        <v>5380</v>
      </c>
      <c r="B1556" s="8"/>
      <c r="C1556" s="8" t="s">
        <v>5381</v>
      </c>
      <c r="D1556" s="8" t="s">
        <v>2368</v>
      </c>
      <c r="E1556" s="8" t="s">
        <v>94</v>
      </c>
      <c r="F1556" s="8" t="s">
        <v>5382</v>
      </c>
      <c r="G1556" s="8" t="s">
        <v>5382</v>
      </c>
      <c r="H1556" s="9">
        <v>850000</v>
      </c>
      <c r="I1556" s="9">
        <f>[1]!Tabel1[[#This Row],[Honorar]]*[1]!Tabel1[[#This Row],[Sandsynlighed]]</f>
        <v>225000</v>
      </c>
      <c r="J1556" s="10" t="s">
        <v>341</v>
      </c>
      <c r="K1556" s="1" t="s">
        <v>898</v>
      </c>
      <c r="L1556" s="17"/>
      <c r="M1556" s="11">
        <v>0.01</v>
      </c>
      <c r="N1556" s="1" t="s">
        <v>5383</v>
      </c>
      <c r="O1556" s="10">
        <v>46279.621516203704</v>
      </c>
      <c r="P1556" s="10" t="s">
        <v>4507</v>
      </c>
      <c r="Q1556" s="1" t="s">
        <v>72</v>
      </c>
      <c r="R1556" s="8" t="s">
        <v>75</v>
      </c>
      <c r="S155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5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5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5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5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5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5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5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5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5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5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5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5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56" s="12">
        <f ca="1">[1]!Tabel1[[#This Row],[Vægtet Honorar]]*([1]!Tabel1[[#This Row],[Sidst redigeret]]&gt;TODAY()-40)*([1]!Tabel1[[#This Row],[Er i resplan?]]&lt;&gt;"Ja")*([1]!Tabel1[[#This Row],[Status]]="Pågår")</f>
        <v>0</v>
      </c>
      <c r="AG1556" s="12">
        <f ca="1">[1]!Tabel1[[#This Row],[Vægtet Honorar]]*([1]!Tabel1[[#This Row],[Sidst redigeret]]&gt;TODAY()-40)*([1]!Tabel1[[#This Row],[Status]]="Pågår")</f>
        <v>0</v>
      </c>
      <c r="AH1556" s="13"/>
      <c r="AI1556" s="12"/>
      <c r="AJ1556" s="12"/>
      <c r="AK1556" s="12"/>
      <c r="AL1556" s="12"/>
      <c r="AM1556" s="12"/>
      <c r="AN1556" s="12"/>
      <c r="AO1556" s="12"/>
      <c r="AP1556" s="12"/>
    </row>
    <row r="1557" spans="1:42" ht="30">
      <c r="A1557" t="s">
        <v>5384</v>
      </c>
      <c r="B1557" s="8"/>
      <c r="C1557" s="8" t="s">
        <v>5385</v>
      </c>
      <c r="D1557" s="8" t="s">
        <v>1771</v>
      </c>
      <c r="E1557" s="8" t="s">
        <v>167</v>
      </c>
      <c r="F1557" s="8" t="s">
        <v>1705</v>
      </c>
      <c r="G1557" s="8" t="s">
        <v>671</v>
      </c>
      <c r="H1557" s="9">
        <v>800000</v>
      </c>
      <c r="I1557" s="9">
        <f>[1]!Tabel1[[#This Row],[Honorar]]*[1]!Tabel1[[#This Row],[Sandsynlighed]]</f>
        <v>150000</v>
      </c>
      <c r="J1557" s="10" t="s">
        <v>341</v>
      </c>
      <c r="K1557" s="1" t="s">
        <v>1861</v>
      </c>
      <c r="L1557" s="17" t="s">
        <v>5386</v>
      </c>
      <c r="M1557" s="11">
        <v>0</v>
      </c>
      <c r="N1557" s="1" t="s">
        <v>5387</v>
      </c>
      <c r="O1557" s="10">
        <v>46279.621516203704</v>
      </c>
      <c r="P1557" s="10" t="s">
        <v>4507</v>
      </c>
      <c r="Q1557" s="1" t="s">
        <v>72</v>
      </c>
      <c r="R1557" s="8" t="s">
        <v>49</v>
      </c>
      <c r="S155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5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5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5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5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5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5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5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5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5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5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5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5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57" s="12">
        <f ca="1">[1]!Tabel1[[#This Row],[Vægtet Honorar]]*([1]!Tabel1[[#This Row],[Sidst redigeret]]&gt;TODAY()-40)*([1]!Tabel1[[#This Row],[Er i resplan?]]&lt;&gt;"Ja")*([1]!Tabel1[[#This Row],[Status]]="Pågår")</f>
        <v>0</v>
      </c>
      <c r="AG1557" s="12">
        <f ca="1">[1]!Tabel1[[#This Row],[Vægtet Honorar]]*([1]!Tabel1[[#This Row],[Sidst redigeret]]&gt;TODAY()-40)*([1]!Tabel1[[#This Row],[Status]]="Pågår")</f>
        <v>0</v>
      </c>
      <c r="AH1557" s="13">
        <v>46062</v>
      </c>
      <c r="AI1557" s="12"/>
      <c r="AJ1557" s="12"/>
      <c r="AK1557" s="12"/>
      <c r="AL1557" s="12"/>
      <c r="AM1557" s="12"/>
      <c r="AN1557" s="12"/>
      <c r="AO1557" s="12"/>
      <c r="AP1557" s="12"/>
    </row>
    <row r="1558" spans="1:42" ht="60">
      <c r="A1558" t="s">
        <v>5388</v>
      </c>
      <c r="B1558" s="8"/>
      <c r="C1558" s="8" t="s">
        <v>5389</v>
      </c>
      <c r="D1558" s="8" t="s">
        <v>1468</v>
      </c>
      <c r="E1558" s="8" t="s">
        <v>167</v>
      </c>
      <c r="F1558" s="8" t="s">
        <v>2183</v>
      </c>
      <c r="G1558" s="8" t="s">
        <v>2183</v>
      </c>
      <c r="H1558" s="9">
        <v>1000000</v>
      </c>
      <c r="I1558" s="9">
        <f>[1]!Tabel1[[#This Row],[Honorar]]*[1]!Tabel1[[#This Row],[Sandsynlighed]]</f>
        <v>0</v>
      </c>
      <c r="J1558" s="10" t="s">
        <v>1310</v>
      </c>
      <c r="K1558" s="1" t="s">
        <v>1861</v>
      </c>
      <c r="L1558" s="17" t="s">
        <v>5390</v>
      </c>
      <c r="M1558" s="11">
        <v>0.05</v>
      </c>
      <c r="N1558" s="1"/>
      <c r="O1558" s="10">
        <v>46279.621516203704</v>
      </c>
      <c r="P1558" s="10" t="s">
        <v>72</v>
      </c>
      <c r="Q1558" s="1" t="s">
        <v>72</v>
      </c>
      <c r="R1558" s="8" t="s">
        <v>49</v>
      </c>
      <c r="S155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5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5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5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5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5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5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5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5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5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5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5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5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58" s="12">
        <f ca="1">[1]!Tabel1[[#This Row],[Vægtet Honorar]]*([1]!Tabel1[[#This Row],[Sidst redigeret]]&gt;TODAY()-40)*([1]!Tabel1[[#This Row],[Er i resplan?]]&lt;&gt;"Ja")*([1]!Tabel1[[#This Row],[Status]]="Pågår")</f>
        <v>0</v>
      </c>
      <c r="AG1558" s="12">
        <f ca="1">[1]!Tabel1[[#This Row],[Vægtet Honorar]]*([1]!Tabel1[[#This Row],[Sidst redigeret]]&gt;TODAY()-40)*([1]!Tabel1[[#This Row],[Status]]="Pågår")</f>
        <v>0</v>
      </c>
      <c r="AH1558" s="13"/>
      <c r="AI1558" s="12"/>
      <c r="AJ1558" s="12"/>
      <c r="AK1558" s="12"/>
      <c r="AL1558" s="12"/>
      <c r="AM1558" s="12"/>
      <c r="AN1558" s="12"/>
      <c r="AO1558" s="12"/>
      <c r="AP1558" s="12"/>
    </row>
    <row r="1559" spans="1:42">
      <c r="A1559" t="s">
        <v>5391</v>
      </c>
      <c r="B1559" s="8"/>
      <c r="C1559" s="8" t="s">
        <v>5392</v>
      </c>
      <c r="D1559" s="8" t="s">
        <v>896</v>
      </c>
      <c r="E1559" s="8" t="s">
        <v>94</v>
      </c>
      <c r="F1559" s="8" t="s">
        <v>5393</v>
      </c>
      <c r="G1559" s="8" t="s">
        <v>5393</v>
      </c>
      <c r="H1559" s="9">
        <v>10000000</v>
      </c>
      <c r="I1559" s="9">
        <f>[1]!Tabel1[[#This Row],[Honorar]]*[1]!Tabel1[[#This Row],[Sandsynlighed]]</f>
        <v>8000</v>
      </c>
      <c r="J1559" s="10" t="s">
        <v>1310</v>
      </c>
      <c r="K1559" s="1" t="s">
        <v>1861</v>
      </c>
      <c r="L1559" s="17" t="s">
        <v>5394</v>
      </c>
      <c r="M1559" s="11">
        <v>0.01</v>
      </c>
      <c r="N1559" s="1"/>
      <c r="O1559" s="10">
        <v>46279.621516203704</v>
      </c>
      <c r="P1559" s="10" t="s">
        <v>72</v>
      </c>
      <c r="Q1559" s="1" t="s">
        <v>72</v>
      </c>
      <c r="R1559" s="8" t="s">
        <v>49</v>
      </c>
      <c r="S155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5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5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5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5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5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5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5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5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5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5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5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5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59" s="12">
        <f ca="1">[1]!Tabel1[[#This Row],[Vægtet Honorar]]*([1]!Tabel1[[#This Row],[Sidst redigeret]]&gt;TODAY()-40)*([1]!Tabel1[[#This Row],[Er i resplan?]]&lt;&gt;"Ja")*([1]!Tabel1[[#This Row],[Status]]="Pågår")</f>
        <v>8000</v>
      </c>
      <c r="AG1559" s="12">
        <f ca="1">[1]!Tabel1[[#This Row],[Vægtet Honorar]]*([1]!Tabel1[[#This Row],[Sidst redigeret]]&gt;TODAY()-40)*([1]!Tabel1[[#This Row],[Status]]="Pågår")</f>
        <v>8000</v>
      </c>
      <c r="AH1559" s="13"/>
      <c r="AI1559" s="12"/>
      <c r="AJ1559" s="12" t="s">
        <v>767</v>
      </c>
      <c r="AK1559" s="12"/>
      <c r="AL1559" s="12"/>
      <c r="AM1559" s="12"/>
      <c r="AN1559" s="12"/>
      <c r="AO1559" s="12"/>
      <c r="AP1559" s="12"/>
    </row>
    <row r="1560" spans="1:42" ht="60">
      <c r="A1560" t="s">
        <v>5395</v>
      </c>
      <c r="B1560" s="8"/>
      <c r="C1560" s="8" t="s">
        <v>5396</v>
      </c>
      <c r="D1560" s="8" t="s">
        <v>203</v>
      </c>
      <c r="E1560" s="8" t="s">
        <v>167</v>
      </c>
      <c r="F1560" s="8" t="s">
        <v>4496</v>
      </c>
      <c r="G1560" s="8" t="s">
        <v>5397</v>
      </c>
      <c r="H1560" s="9">
        <v>8500000</v>
      </c>
      <c r="I1560" s="9">
        <f>[1]!Tabel1[[#This Row],[Honorar]]*[1]!Tabel1[[#This Row],[Sandsynlighed]]</f>
        <v>28000</v>
      </c>
      <c r="J1560" s="10" t="s">
        <v>1310</v>
      </c>
      <c r="K1560" s="1" t="s">
        <v>1861</v>
      </c>
      <c r="L1560" s="17" t="s">
        <v>5398</v>
      </c>
      <c r="M1560" s="11">
        <v>1</v>
      </c>
      <c r="N1560" s="1" t="s">
        <v>5399</v>
      </c>
      <c r="O1560" s="10">
        <v>46279.621516203704</v>
      </c>
      <c r="P1560" s="10" t="s">
        <v>1557</v>
      </c>
      <c r="Q1560" s="1" t="s">
        <v>4507</v>
      </c>
      <c r="R1560" s="8" t="s">
        <v>47</v>
      </c>
      <c r="S156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6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6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6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6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6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6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6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6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6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6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6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6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60" s="12">
        <f ca="1">[1]!Tabel1[[#This Row],[Vægtet Honorar]]*([1]!Tabel1[[#This Row],[Sidst redigeret]]&gt;TODAY()-40)*([1]!Tabel1[[#This Row],[Er i resplan?]]&lt;&gt;"Ja")*([1]!Tabel1[[#This Row],[Status]]="Pågår")</f>
        <v>28000</v>
      </c>
      <c r="AG1560" s="12">
        <f ca="1">[1]!Tabel1[[#This Row],[Vægtet Honorar]]*([1]!Tabel1[[#This Row],[Sidst redigeret]]&gt;TODAY()-40)*([1]!Tabel1[[#This Row],[Status]]="Pågår")</f>
        <v>28000</v>
      </c>
      <c r="AH1560" s="13">
        <v>46183.345381944448</v>
      </c>
      <c r="AI1560" s="12"/>
      <c r="AJ1560" s="12"/>
      <c r="AK1560" s="12"/>
      <c r="AL1560" s="12"/>
      <c r="AM1560" s="12"/>
      <c r="AN1560" s="12"/>
      <c r="AO1560" s="12"/>
      <c r="AP1560" s="12"/>
    </row>
    <row r="1561" spans="1:42" ht="60">
      <c r="A1561" t="s">
        <v>5400</v>
      </c>
      <c r="B1561" s="8"/>
      <c r="C1561" s="8" t="s">
        <v>5401</v>
      </c>
      <c r="D1561" s="8" t="s">
        <v>203</v>
      </c>
      <c r="E1561" s="8" t="s">
        <v>167</v>
      </c>
      <c r="F1561" s="8" t="s">
        <v>5402</v>
      </c>
      <c r="G1561" s="8" t="s">
        <v>5402</v>
      </c>
      <c r="H1561" s="9">
        <v>5000000</v>
      </c>
      <c r="I1561" s="9">
        <f>[1]!Tabel1[[#This Row],[Honorar]]*[1]!Tabel1[[#This Row],[Sandsynlighed]]</f>
        <v>8500</v>
      </c>
      <c r="J1561" s="10" t="s">
        <v>1310</v>
      </c>
      <c r="K1561" s="1" t="s">
        <v>1861</v>
      </c>
      <c r="L1561" s="17" t="s">
        <v>5403</v>
      </c>
      <c r="M1561" s="11">
        <v>0.5</v>
      </c>
      <c r="N1561" s="1" t="s">
        <v>5404</v>
      </c>
      <c r="O1561" s="10">
        <v>46279.621516203704</v>
      </c>
      <c r="P1561" s="10" t="s">
        <v>1557</v>
      </c>
      <c r="Q1561" s="1" t="s">
        <v>72</v>
      </c>
      <c r="R1561" s="8" t="s">
        <v>49</v>
      </c>
      <c r="S156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6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6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6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6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6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6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6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6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6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6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6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6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61" s="12">
        <f ca="1">[1]!Tabel1[[#This Row],[Vægtet Honorar]]*([1]!Tabel1[[#This Row],[Sidst redigeret]]&gt;TODAY()-40)*([1]!Tabel1[[#This Row],[Er i resplan?]]&lt;&gt;"Ja")*([1]!Tabel1[[#This Row],[Status]]="Pågår")</f>
        <v>0</v>
      </c>
      <c r="AG1561" s="12">
        <f ca="1">[1]!Tabel1[[#This Row],[Vægtet Honorar]]*([1]!Tabel1[[#This Row],[Sidst redigeret]]&gt;TODAY()-40)*([1]!Tabel1[[#This Row],[Status]]="Pågår")</f>
        <v>0</v>
      </c>
      <c r="AH1561" s="13"/>
      <c r="AI1561" s="12"/>
      <c r="AJ1561" s="12"/>
      <c r="AK1561" s="12"/>
      <c r="AL1561" s="12"/>
      <c r="AM1561" s="12"/>
      <c r="AN1561" s="12"/>
      <c r="AO1561" s="12"/>
      <c r="AP1561" s="12"/>
    </row>
    <row r="1562" spans="1:42" ht="60">
      <c r="A1562" t="s">
        <v>5405</v>
      </c>
      <c r="B1562" s="8"/>
      <c r="C1562" s="8" t="s">
        <v>5406</v>
      </c>
      <c r="D1562" s="8" t="s">
        <v>358</v>
      </c>
      <c r="E1562" s="8" t="s">
        <v>102</v>
      </c>
      <c r="F1562" s="8" t="s">
        <v>5407</v>
      </c>
      <c r="G1562" s="8" t="s">
        <v>111</v>
      </c>
      <c r="H1562" s="9">
        <v>500000</v>
      </c>
      <c r="I1562" s="9">
        <f>[1]!Tabel1[[#This Row],[Honorar]]*[1]!Tabel1[[#This Row],[Sandsynlighed]]</f>
        <v>0</v>
      </c>
      <c r="J1562" s="10" t="s">
        <v>1310</v>
      </c>
      <c r="K1562" s="1" t="s">
        <v>1062</v>
      </c>
      <c r="L1562" s="17" t="s">
        <v>5403</v>
      </c>
      <c r="M1562" s="11">
        <v>0.5</v>
      </c>
      <c r="N1562" s="1">
        <v>3000</v>
      </c>
      <c r="O1562" s="10">
        <v>46279.621516203704</v>
      </c>
      <c r="P1562" s="10" t="s">
        <v>1557</v>
      </c>
      <c r="Q1562" s="1" t="s">
        <v>72</v>
      </c>
      <c r="R1562" s="8" t="s">
        <v>343</v>
      </c>
      <c r="S156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6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6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6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6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6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6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6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6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6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6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6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6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62" s="12">
        <f ca="1">[1]!Tabel1[[#This Row],[Vægtet Honorar]]*([1]!Tabel1[[#This Row],[Sidst redigeret]]&gt;TODAY()-40)*([1]!Tabel1[[#This Row],[Er i resplan?]]&lt;&gt;"Ja")*([1]!Tabel1[[#This Row],[Status]]="Pågår")</f>
        <v>0</v>
      </c>
      <c r="AG1562" s="12">
        <f ca="1">[1]!Tabel1[[#This Row],[Vægtet Honorar]]*([1]!Tabel1[[#This Row],[Sidst redigeret]]&gt;TODAY()-40)*([1]!Tabel1[[#This Row],[Status]]="Pågår")</f>
        <v>0</v>
      </c>
      <c r="AH1562" s="13"/>
      <c r="AI1562" s="12"/>
      <c r="AJ1562" s="12"/>
      <c r="AK1562" s="12"/>
      <c r="AL1562" s="12"/>
      <c r="AM1562" s="12"/>
      <c r="AN1562" s="12"/>
      <c r="AO1562" s="12"/>
      <c r="AP1562" s="12"/>
    </row>
    <row r="1563" spans="1:42" ht="45">
      <c r="A1563" t="s">
        <v>5408</v>
      </c>
      <c r="B1563" s="8"/>
      <c r="C1563" s="8" t="s">
        <v>5409</v>
      </c>
      <c r="D1563" s="8" t="s">
        <v>720</v>
      </c>
      <c r="E1563" s="8" t="s">
        <v>71</v>
      </c>
      <c r="F1563" s="8" t="s">
        <v>5410</v>
      </c>
      <c r="G1563" s="8"/>
      <c r="H1563" s="9">
        <v>500000</v>
      </c>
      <c r="I1563" s="9">
        <f>[1]!Tabel1[[#This Row],[Honorar]]*[1]!Tabel1[[#This Row],[Sandsynlighed]]</f>
        <v>50000</v>
      </c>
      <c r="J1563" s="10" t="s">
        <v>1310</v>
      </c>
      <c r="K1563" s="1" t="s">
        <v>1062</v>
      </c>
      <c r="L1563" s="17" t="s">
        <v>5411</v>
      </c>
      <c r="M1563" s="11">
        <v>0.02</v>
      </c>
      <c r="N1563" s="1">
        <v>32000</v>
      </c>
      <c r="O1563" s="10">
        <v>46279.621516203704</v>
      </c>
      <c r="P1563" s="10" t="s">
        <v>1557</v>
      </c>
      <c r="Q1563" s="1" t="s">
        <v>72</v>
      </c>
      <c r="R1563" s="8" t="s">
        <v>343</v>
      </c>
      <c r="S156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6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6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6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6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6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6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6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6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6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6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6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6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63" s="12">
        <f ca="1">[1]!Tabel1[[#This Row],[Vægtet Honorar]]*([1]!Tabel1[[#This Row],[Sidst redigeret]]&gt;TODAY()-40)*([1]!Tabel1[[#This Row],[Er i resplan?]]&lt;&gt;"Ja")*([1]!Tabel1[[#This Row],[Status]]="Pågår")</f>
        <v>0</v>
      </c>
      <c r="AG1563" s="12">
        <f ca="1">[1]!Tabel1[[#This Row],[Vægtet Honorar]]*([1]!Tabel1[[#This Row],[Sidst redigeret]]&gt;TODAY()-40)*([1]!Tabel1[[#This Row],[Status]]="Pågår")</f>
        <v>0</v>
      </c>
      <c r="AH1563" s="13"/>
      <c r="AI1563" s="12"/>
      <c r="AJ1563" s="12" t="s">
        <v>5412</v>
      </c>
      <c r="AK1563" s="12"/>
      <c r="AL1563" s="12"/>
      <c r="AM1563" s="12"/>
      <c r="AN1563" s="12"/>
      <c r="AO1563" s="12"/>
      <c r="AP1563" s="12"/>
    </row>
    <row r="1564" spans="1:42" ht="45">
      <c r="A1564" t="s">
        <v>5413</v>
      </c>
      <c r="B1564" s="8"/>
      <c r="C1564" s="8" t="s">
        <v>5409</v>
      </c>
      <c r="D1564" s="8" t="s">
        <v>720</v>
      </c>
      <c r="E1564" s="8" t="s">
        <v>71</v>
      </c>
      <c r="F1564" s="8" t="s">
        <v>5410</v>
      </c>
      <c r="G1564" s="8"/>
      <c r="H1564" s="9">
        <v>500000</v>
      </c>
      <c r="I1564" s="9">
        <f>[1]!Tabel1[[#This Row],[Honorar]]*[1]!Tabel1[[#This Row],[Sandsynlighed]]</f>
        <v>100000</v>
      </c>
      <c r="J1564" s="10" t="s">
        <v>1310</v>
      </c>
      <c r="K1564" s="1" t="s">
        <v>1062</v>
      </c>
      <c r="L1564" s="17" t="s">
        <v>5411</v>
      </c>
      <c r="M1564" s="11">
        <v>0.02</v>
      </c>
      <c r="N1564" s="1">
        <v>32000</v>
      </c>
      <c r="O1564" s="10">
        <v>46279.621516203704</v>
      </c>
      <c r="P1564" s="10" t="s">
        <v>1557</v>
      </c>
      <c r="Q1564" s="1" t="s">
        <v>72</v>
      </c>
      <c r="R1564" s="8" t="s">
        <v>343</v>
      </c>
      <c r="S156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6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6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6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6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6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6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6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6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6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6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6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6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64" s="12">
        <f ca="1">[1]!Tabel1[[#This Row],[Vægtet Honorar]]*([1]!Tabel1[[#This Row],[Sidst redigeret]]&gt;TODAY()-40)*([1]!Tabel1[[#This Row],[Er i resplan?]]&lt;&gt;"Ja")*([1]!Tabel1[[#This Row],[Status]]="Pågår")</f>
        <v>0</v>
      </c>
      <c r="AG1564" s="12">
        <f ca="1">[1]!Tabel1[[#This Row],[Vægtet Honorar]]*([1]!Tabel1[[#This Row],[Sidst redigeret]]&gt;TODAY()-40)*([1]!Tabel1[[#This Row],[Status]]="Pågår")</f>
        <v>0</v>
      </c>
      <c r="AH1564" s="13"/>
      <c r="AI1564" s="12"/>
      <c r="AJ1564" s="12" t="s">
        <v>5412</v>
      </c>
      <c r="AK1564" s="12"/>
      <c r="AL1564" s="12"/>
      <c r="AM1564" s="12"/>
      <c r="AN1564" s="12"/>
      <c r="AO1564" s="12"/>
      <c r="AP1564" s="12"/>
    </row>
    <row r="1565" spans="1:42" ht="60">
      <c r="A1565" t="s">
        <v>5414</v>
      </c>
      <c r="B1565" s="8"/>
      <c r="C1565" s="8" t="s">
        <v>5415</v>
      </c>
      <c r="D1565" s="8" t="s">
        <v>896</v>
      </c>
      <c r="E1565" s="8" t="s">
        <v>94</v>
      </c>
      <c r="F1565" s="8" t="s">
        <v>589</v>
      </c>
      <c r="G1565" s="8" t="s">
        <v>1864</v>
      </c>
      <c r="H1565" s="9">
        <v>5000000</v>
      </c>
      <c r="I1565" s="9">
        <f>[1]!Tabel1[[#This Row],[Honorar]]*[1]!Tabel1[[#This Row],[Sandsynlighed]]</f>
        <v>8500000</v>
      </c>
      <c r="J1565" s="10" t="s">
        <v>1310</v>
      </c>
      <c r="K1565" s="1" t="s">
        <v>1062</v>
      </c>
      <c r="L1565" s="17" t="s">
        <v>4790</v>
      </c>
      <c r="M1565" s="11">
        <v>0.01</v>
      </c>
      <c r="N1565" s="1">
        <v>2350</v>
      </c>
      <c r="O1565" s="10">
        <v>46279.621516203704</v>
      </c>
      <c r="P1565" s="10" t="s">
        <v>1557</v>
      </c>
      <c r="Q1565" s="1" t="s">
        <v>72</v>
      </c>
      <c r="R1565" s="8" t="s">
        <v>343</v>
      </c>
      <c r="S156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6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6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6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6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6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6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6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6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6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6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6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6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65" s="12">
        <f ca="1">[1]!Tabel1[[#This Row],[Vægtet Honorar]]*([1]!Tabel1[[#This Row],[Sidst redigeret]]&gt;TODAY()-40)*([1]!Tabel1[[#This Row],[Er i resplan?]]&lt;&gt;"Ja")*([1]!Tabel1[[#This Row],[Status]]="Pågår")</f>
        <v>0</v>
      </c>
      <c r="AG1565" s="12">
        <f ca="1">[1]!Tabel1[[#This Row],[Vægtet Honorar]]*([1]!Tabel1[[#This Row],[Sidst redigeret]]&gt;TODAY()-40)*([1]!Tabel1[[#This Row],[Status]]="Pågår")</f>
        <v>0</v>
      </c>
      <c r="AH1565" s="13"/>
      <c r="AI1565" s="12"/>
      <c r="AJ1565" s="12" t="s">
        <v>1864</v>
      </c>
      <c r="AK1565" s="12" t="s">
        <v>5416</v>
      </c>
      <c r="AL1565" s="12"/>
      <c r="AM1565" s="12"/>
      <c r="AN1565" s="12"/>
      <c r="AO1565" s="12"/>
      <c r="AP1565" s="12"/>
    </row>
    <row r="1566" spans="1:42">
      <c r="A1566" t="s">
        <v>5417</v>
      </c>
      <c r="B1566" s="8"/>
      <c r="C1566" s="8" t="s">
        <v>5418</v>
      </c>
      <c r="D1566" s="8" t="s">
        <v>720</v>
      </c>
      <c r="E1566" s="8" t="s">
        <v>71</v>
      </c>
      <c r="F1566" s="8" t="s">
        <v>5418</v>
      </c>
      <c r="G1566" s="8" t="s">
        <v>1100</v>
      </c>
      <c r="H1566" s="9">
        <v>6000000</v>
      </c>
      <c r="I1566" s="9">
        <f>[1]!Tabel1[[#This Row],[Honorar]]*[1]!Tabel1[[#This Row],[Sandsynlighed]]</f>
        <v>2500000</v>
      </c>
      <c r="J1566" s="10" t="s">
        <v>342</v>
      </c>
      <c r="K1566" s="1" t="s">
        <v>1323</v>
      </c>
      <c r="L1566" s="17" t="s">
        <v>4591</v>
      </c>
      <c r="M1566" s="11">
        <v>0.01</v>
      </c>
      <c r="N1566" s="1">
        <v>20000</v>
      </c>
      <c r="O1566" s="10">
        <v>46279.621516203704</v>
      </c>
      <c r="P1566" s="10" t="s">
        <v>1557</v>
      </c>
      <c r="Q1566" s="1" t="s">
        <v>72</v>
      </c>
      <c r="R1566" s="8" t="s">
        <v>343</v>
      </c>
      <c r="S156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6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6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6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6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6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6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6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6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6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6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6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6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66" s="12">
        <f ca="1">[1]!Tabel1[[#This Row],[Vægtet Honorar]]*([1]!Tabel1[[#This Row],[Sidst redigeret]]&gt;TODAY()-40)*([1]!Tabel1[[#This Row],[Er i resplan?]]&lt;&gt;"Ja")*([1]!Tabel1[[#This Row],[Status]]="Pågår")</f>
        <v>0</v>
      </c>
      <c r="AG1566" s="12">
        <f ca="1">[1]!Tabel1[[#This Row],[Vægtet Honorar]]*([1]!Tabel1[[#This Row],[Sidst redigeret]]&gt;TODAY()-40)*([1]!Tabel1[[#This Row],[Status]]="Pågår")</f>
        <v>0</v>
      </c>
      <c r="AH1566" s="13"/>
      <c r="AI1566" s="12"/>
      <c r="AJ1566" s="12" t="s">
        <v>1128</v>
      </c>
      <c r="AK1566" s="12" t="s">
        <v>5419</v>
      </c>
      <c r="AL1566" s="12"/>
      <c r="AM1566" s="12"/>
      <c r="AN1566" s="12"/>
      <c r="AO1566" s="12"/>
      <c r="AP1566" s="12"/>
    </row>
    <row r="1567" spans="1:42">
      <c r="A1567" t="s">
        <v>5420</v>
      </c>
      <c r="B1567" s="8"/>
      <c r="C1567" s="8" t="s">
        <v>5421</v>
      </c>
      <c r="D1567" s="8" t="s">
        <v>720</v>
      </c>
      <c r="E1567" s="8" t="s">
        <v>71</v>
      </c>
      <c r="F1567" s="8" t="s">
        <v>788</v>
      </c>
      <c r="G1567" s="8" t="s">
        <v>1166</v>
      </c>
      <c r="H1567" s="9">
        <v>1600000</v>
      </c>
      <c r="I1567" s="9">
        <f>[1]!Tabel1[[#This Row],[Honorar]]*[1]!Tabel1[[#This Row],[Sandsynlighed]]</f>
        <v>250000</v>
      </c>
      <c r="J1567" s="10" t="s">
        <v>342</v>
      </c>
      <c r="K1567" s="1" t="s">
        <v>1323</v>
      </c>
      <c r="L1567" s="17" t="s">
        <v>4591</v>
      </c>
      <c r="M1567" s="11">
        <v>0.05</v>
      </c>
      <c r="N1567" s="1">
        <v>1400</v>
      </c>
      <c r="O1567" s="10">
        <v>46279.621516203704</v>
      </c>
      <c r="P1567" s="10" t="s">
        <v>1557</v>
      </c>
      <c r="Q1567" s="1" t="s">
        <v>72</v>
      </c>
      <c r="R1567" s="8" t="s">
        <v>343</v>
      </c>
      <c r="S156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6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6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6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6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6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6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6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6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6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6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6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6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67" s="12">
        <f ca="1">[1]!Tabel1[[#This Row],[Vægtet Honorar]]*([1]!Tabel1[[#This Row],[Sidst redigeret]]&gt;TODAY()-40)*([1]!Tabel1[[#This Row],[Er i resplan?]]&lt;&gt;"Ja")*([1]!Tabel1[[#This Row],[Status]]="Pågår")</f>
        <v>250000</v>
      </c>
      <c r="AG1567" s="12">
        <f ca="1">[1]!Tabel1[[#This Row],[Vægtet Honorar]]*([1]!Tabel1[[#This Row],[Sidst redigeret]]&gt;TODAY()-40)*([1]!Tabel1[[#This Row],[Status]]="Pågår")</f>
        <v>250000</v>
      </c>
      <c r="AH1567" s="13"/>
      <c r="AI1567" s="12"/>
      <c r="AJ1567" s="12" t="s">
        <v>1693</v>
      </c>
      <c r="AK1567" s="12" t="s">
        <v>1015</v>
      </c>
      <c r="AL1567" s="12"/>
      <c r="AM1567" s="12"/>
      <c r="AN1567" s="12"/>
      <c r="AO1567" s="12"/>
      <c r="AP1567" s="12"/>
    </row>
    <row r="1568" spans="1:42" ht="60">
      <c r="A1568" t="s">
        <v>5422</v>
      </c>
      <c r="B1568" s="8"/>
      <c r="C1568" s="8" t="s">
        <v>5423</v>
      </c>
      <c r="D1568" s="8" t="s">
        <v>896</v>
      </c>
      <c r="E1568" s="8" t="s">
        <v>94</v>
      </c>
      <c r="F1568" s="8" t="s">
        <v>5424</v>
      </c>
      <c r="G1568" s="8" t="s">
        <v>5425</v>
      </c>
      <c r="H1568" s="9">
        <v>1600000</v>
      </c>
      <c r="I1568" s="9">
        <f>[1]!Tabel1[[#This Row],[Honorar]]*[1]!Tabel1[[#This Row],[Sandsynlighed]]</f>
        <v>10000</v>
      </c>
      <c r="J1568" s="10" t="s">
        <v>342</v>
      </c>
      <c r="K1568" s="1" t="s">
        <v>1323</v>
      </c>
      <c r="L1568" s="17" t="s">
        <v>5426</v>
      </c>
      <c r="M1568" s="11">
        <v>0.01</v>
      </c>
      <c r="N1568" s="1"/>
      <c r="O1568" s="10">
        <v>46279.621516203704</v>
      </c>
      <c r="P1568" s="10" t="s">
        <v>1557</v>
      </c>
      <c r="Q1568" s="1" t="s">
        <v>72</v>
      </c>
      <c r="R1568" s="8" t="s">
        <v>1265</v>
      </c>
      <c r="S156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6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6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6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6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6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6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6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6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6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6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6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6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68" s="12">
        <f ca="1">[1]!Tabel1[[#This Row],[Vægtet Honorar]]*([1]!Tabel1[[#This Row],[Sidst redigeret]]&gt;TODAY()-40)*([1]!Tabel1[[#This Row],[Er i resplan?]]&lt;&gt;"Ja")*([1]!Tabel1[[#This Row],[Status]]="Pågår")</f>
        <v>10000</v>
      </c>
      <c r="AG1568" s="12">
        <f ca="1">[1]!Tabel1[[#This Row],[Vægtet Honorar]]*([1]!Tabel1[[#This Row],[Sidst redigeret]]&gt;TODAY()-40)*([1]!Tabel1[[#This Row],[Status]]="Pågår")</f>
        <v>10000</v>
      </c>
      <c r="AH1568" s="13"/>
      <c r="AI1568" s="12"/>
      <c r="AJ1568" s="12" t="s">
        <v>2393</v>
      </c>
      <c r="AK1568" s="12" t="s">
        <v>1015</v>
      </c>
      <c r="AL1568" s="12"/>
      <c r="AM1568" s="12"/>
      <c r="AN1568" s="12"/>
      <c r="AO1568" s="12"/>
      <c r="AP1568" s="12"/>
    </row>
    <row r="1569" spans="1:42">
      <c r="A1569" t="s">
        <v>5427</v>
      </c>
      <c r="B1569" s="8"/>
      <c r="C1569" s="8" t="s">
        <v>5175</v>
      </c>
      <c r="D1569" s="8" t="s">
        <v>896</v>
      </c>
      <c r="E1569" s="8" t="s">
        <v>94</v>
      </c>
      <c r="F1569" s="8" t="s">
        <v>589</v>
      </c>
      <c r="G1569" s="8" t="s">
        <v>589</v>
      </c>
      <c r="H1569" s="9">
        <v>1600000</v>
      </c>
      <c r="I1569" s="9">
        <f>[1]!Tabel1[[#This Row],[Honorar]]*[1]!Tabel1[[#This Row],[Sandsynlighed]]</f>
        <v>10000</v>
      </c>
      <c r="J1569" s="10" t="s">
        <v>342</v>
      </c>
      <c r="K1569" s="1" t="s">
        <v>1323</v>
      </c>
      <c r="L1569" s="17"/>
      <c r="M1569" s="11">
        <v>0.01</v>
      </c>
      <c r="N1569" s="1"/>
      <c r="O1569" s="10">
        <v>46279.621516203704</v>
      </c>
      <c r="P1569" s="10" t="s">
        <v>1557</v>
      </c>
      <c r="Q1569" s="1" t="s">
        <v>72</v>
      </c>
      <c r="R1569" s="8" t="s">
        <v>49</v>
      </c>
      <c r="S156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6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6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6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6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6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6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6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6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6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6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6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6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69" s="12">
        <f ca="1">[1]!Tabel1[[#This Row],[Vægtet Honorar]]*([1]!Tabel1[[#This Row],[Sidst redigeret]]&gt;TODAY()-40)*([1]!Tabel1[[#This Row],[Er i resplan?]]&lt;&gt;"Ja")*([1]!Tabel1[[#This Row],[Status]]="Pågår")</f>
        <v>10000</v>
      </c>
      <c r="AG1569" s="12">
        <f ca="1">[1]!Tabel1[[#This Row],[Vægtet Honorar]]*([1]!Tabel1[[#This Row],[Sidst redigeret]]&gt;TODAY()-40)*([1]!Tabel1[[#This Row],[Status]]="Pågår")</f>
        <v>10000</v>
      </c>
      <c r="AH1569" s="13"/>
      <c r="AI1569" s="12"/>
      <c r="AJ1569" s="12" t="s">
        <v>1864</v>
      </c>
      <c r="AK1569" s="12" t="s">
        <v>1015</v>
      </c>
      <c r="AL1569" s="12"/>
      <c r="AM1569" s="12"/>
      <c r="AN1569" s="12"/>
      <c r="AO1569" s="12"/>
      <c r="AP1569" s="12"/>
    </row>
    <row r="1570" spans="1:42">
      <c r="A1570" t="s">
        <v>5428</v>
      </c>
      <c r="B1570" s="8"/>
      <c r="C1570" s="8" t="s">
        <v>5429</v>
      </c>
      <c r="D1570" s="8" t="s">
        <v>203</v>
      </c>
      <c r="E1570" s="8" t="s">
        <v>167</v>
      </c>
      <c r="F1570" s="8" t="s">
        <v>5187</v>
      </c>
      <c r="G1570" s="8" t="s">
        <v>5397</v>
      </c>
      <c r="H1570" s="9">
        <v>2000000</v>
      </c>
      <c r="I1570" s="9">
        <f>[1]!Tabel1[[#This Row],[Honorar]]*[1]!Tabel1[[#This Row],[Sandsynlighed]]</f>
        <v>50000</v>
      </c>
      <c r="J1570" s="10" t="s">
        <v>1310</v>
      </c>
      <c r="K1570" s="1" t="s">
        <v>2405</v>
      </c>
      <c r="L1570" s="17"/>
      <c r="M1570" s="11">
        <v>0</v>
      </c>
      <c r="N1570" s="1"/>
      <c r="O1570" s="10">
        <v>46279.621516203704</v>
      </c>
      <c r="P1570" s="10" t="s">
        <v>1557</v>
      </c>
      <c r="Q1570" s="1" t="s">
        <v>4507</v>
      </c>
      <c r="R1570" s="8" t="s">
        <v>75</v>
      </c>
      <c r="S157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7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7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7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7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7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7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7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7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7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7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7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7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70" s="12">
        <f ca="1">[1]!Tabel1[[#This Row],[Vægtet Honorar]]*([1]!Tabel1[[#This Row],[Sidst redigeret]]&gt;TODAY()-40)*([1]!Tabel1[[#This Row],[Er i resplan?]]&lt;&gt;"Ja")*([1]!Tabel1[[#This Row],[Status]]="Pågår")</f>
        <v>50000</v>
      </c>
      <c r="AG1570" s="12">
        <f ca="1">[1]!Tabel1[[#This Row],[Vægtet Honorar]]*([1]!Tabel1[[#This Row],[Sidst redigeret]]&gt;TODAY()-40)*([1]!Tabel1[[#This Row],[Status]]="Pågår")</f>
        <v>50000</v>
      </c>
      <c r="AH1570" s="13">
        <v>46099</v>
      </c>
      <c r="AI1570" s="12"/>
      <c r="AJ1570" s="12"/>
      <c r="AK1570" s="12" t="s">
        <v>1015</v>
      </c>
      <c r="AL1570" s="12"/>
      <c r="AM1570" s="12"/>
      <c r="AN1570" s="12"/>
      <c r="AO1570" s="12"/>
      <c r="AP1570" s="12"/>
    </row>
    <row r="1571" spans="1:42" ht="60">
      <c r="A1571" t="s">
        <v>5430</v>
      </c>
      <c r="B1571" s="8"/>
      <c r="C1571" s="8" t="s">
        <v>5431</v>
      </c>
      <c r="D1571" s="8" t="s">
        <v>896</v>
      </c>
      <c r="E1571" s="8" t="s">
        <v>94</v>
      </c>
      <c r="F1571" s="8" t="s">
        <v>5119</v>
      </c>
      <c r="G1571" s="8" t="s">
        <v>1864</v>
      </c>
      <c r="H1571" s="9">
        <v>2000000</v>
      </c>
      <c r="I1571" s="9">
        <f>[1]!Tabel1[[#This Row],[Honorar]]*[1]!Tabel1[[#This Row],[Sandsynlighed]]</f>
        <v>60000</v>
      </c>
      <c r="J1571" s="10" t="s">
        <v>1310</v>
      </c>
      <c r="K1571" s="1" t="s">
        <v>2405</v>
      </c>
      <c r="L1571" s="17" t="s">
        <v>4790</v>
      </c>
      <c r="M1571" s="11">
        <v>0.01</v>
      </c>
      <c r="N1571" s="1"/>
      <c r="O1571" s="10">
        <v>46279.621516203704</v>
      </c>
      <c r="P1571" s="10" t="s">
        <v>1557</v>
      </c>
      <c r="Q1571" s="1" t="s">
        <v>72</v>
      </c>
      <c r="R1571" s="8" t="s">
        <v>343</v>
      </c>
      <c r="S157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7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7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7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7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7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7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7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7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7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7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7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7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71" s="12">
        <f ca="1">[1]!Tabel1[[#This Row],[Vægtet Honorar]]*([1]!Tabel1[[#This Row],[Sidst redigeret]]&gt;TODAY()-40)*([1]!Tabel1[[#This Row],[Er i resplan?]]&lt;&gt;"Ja")*([1]!Tabel1[[#This Row],[Status]]="Pågår")</f>
        <v>60000</v>
      </c>
      <c r="AG1571" s="12">
        <f ca="1">[1]!Tabel1[[#This Row],[Vægtet Honorar]]*([1]!Tabel1[[#This Row],[Sidst redigeret]]&gt;TODAY()-40)*([1]!Tabel1[[#This Row],[Status]]="Pågår")</f>
        <v>60000</v>
      </c>
      <c r="AH1571" s="13"/>
      <c r="AI1571" s="12"/>
      <c r="AJ1571" s="12" t="s">
        <v>1864</v>
      </c>
      <c r="AK1571" s="12" t="s">
        <v>1015</v>
      </c>
      <c r="AL1571" s="12"/>
      <c r="AM1571" s="12"/>
      <c r="AN1571" s="12"/>
      <c r="AO1571" s="12"/>
      <c r="AP1571" s="12"/>
    </row>
    <row r="1572" spans="1:42" ht="30">
      <c r="A1572" t="s">
        <v>5432</v>
      </c>
      <c r="B1572" s="8"/>
      <c r="C1572" s="8" t="s">
        <v>5433</v>
      </c>
      <c r="D1572" s="8" t="s">
        <v>134</v>
      </c>
      <c r="E1572" s="8" t="s">
        <v>94</v>
      </c>
      <c r="F1572" s="8" t="s">
        <v>5434</v>
      </c>
      <c r="G1572" s="8" t="s">
        <v>5434</v>
      </c>
      <c r="H1572" s="9">
        <v>15000</v>
      </c>
      <c r="I1572" s="9">
        <f>[1]!Tabel1[[#This Row],[Honorar]]*[1]!Tabel1[[#This Row],[Sandsynlighed]]</f>
        <v>80000</v>
      </c>
      <c r="J1572" s="10" t="s">
        <v>341</v>
      </c>
      <c r="K1572" s="1" t="s">
        <v>1310</v>
      </c>
      <c r="L1572" s="17" t="s">
        <v>5435</v>
      </c>
      <c r="M1572" s="11">
        <v>0.5</v>
      </c>
      <c r="N1572" s="1" t="s">
        <v>777</v>
      </c>
      <c r="O1572" s="10">
        <v>46279.621516203704</v>
      </c>
      <c r="P1572" s="10" t="s">
        <v>1557</v>
      </c>
      <c r="Q1572" s="1" t="s">
        <v>46</v>
      </c>
      <c r="R1572" s="8" t="s">
        <v>47</v>
      </c>
      <c r="S157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7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7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7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7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7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7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7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7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7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7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7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7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72" s="12">
        <f ca="1">[1]!Tabel1[[#This Row],[Vægtet Honorar]]*([1]!Tabel1[[#This Row],[Sidst redigeret]]&gt;TODAY()-40)*([1]!Tabel1[[#This Row],[Er i resplan?]]&lt;&gt;"Ja")*([1]!Tabel1[[#This Row],[Status]]="Pågår")</f>
        <v>80000</v>
      </c>
      <c r="AG1572" s="12">
        <f ca="1">[1]!Tabel1[[#This Row],[Vægtet Honorar]]*([1]!Tabel1[[#This Row],[Sidst redigeret]]&gt;TODAY()-40)*([1]!Tabel1[[#This Row],[Status]]="Pågår")</f>
        <v>80000</v>
      </c>
      <c r="AH1572" s="13">
        <v>46266.405624999999</v>
      </c>
      <c r="AI1572" s="12"/>
      <c r="AJ1572" s="12"/>
      <c r="AK1572" s="12"/>
      <c r="AL1572" s="12"/>
      <c r="AM1572" s="12"/>
      <c r="AN1572" s="12"/>
      <c r="AO1572" s="12"/>
      <c r="AP1572" s="12"/>
    </row>
    <row r="1573" spans="1:42" ht="60">
      <c r="A1573" t="s">
        <v>5436</v>
      </c>
      <c r="B1573" s="8"/>
      <c r="C1573" s="8" t="s">
        <v>2678</v>
      </c>
      <c r="D1573" s="8" t="s">
        <v>896</v>
      </c>
      <c r="E1573" s="8" t="s">
        <v>94</v>
      </c>
      <c r="F1573" s="8" t="s">
        <v>2679</v>
      </c>
      <c r="G1573" s="8" t="s">
        <v>5437</v>
      </c>
      <c r="H1573" s="9">
        <v>1500000</v>
      </c>
      <c r="I1573" s="9">
        <f>[1]!Tabel1[[#This Row],[Honorar]]*[1]!Tabel1[[#This Row],[Sandsynlighed]]</f>
        <v>16000</v>
      </c>
      <c r="J1573" s="10" t="s">
        <v>585</v>
      </c>
      <c r="K1573" s="1" t="s">
        <v>1323</v>
      </c>
      <c r="L1573" s="17" t="s">
        <v>5438</v>
      </c>
      <c r="M1573" s="11">
        <v>0.01</v>
      </c>
      <c r="N1573" s="1"/>
      <c r="O1573" s="10">
        <v>46279.621516203704</v>
      </c>
      <c r="P1573" s="10" t="s">
        <v>1557</v>
      </c>
      <c r="Q1573" s="1" t="s">
        <v>72</v>
      </c>
      <c r="R1573" s="8" t="s">
        <v>343</v>
      </c>
      <c r="S157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7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7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7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7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7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7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7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7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7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7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7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7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73" s="12">
        <f ca="1">[1]!Tabel1[[#This Row],[Vægtet Honorar]]*([1]!Tabel1[[#This Row],[Sidst redigeret]]&gt;TODAY()-40)*([1]!Tabel1[[#This Row],[Er i resplan?]]&lt;&gt;"Ja")*([1]!Tabel1[[#This Row],[Status]]="Pågår")</f>
        <v>0</v>
      </c>
      <c r="AG1573" s="12">
        <f ca="1">[1]!Tabel1[[#This Row],[Vægtet Honorar]]*([1]!Tabel1[[#This Row],[Sidst redigeret]]&gt;TODAY()-40)*([1]!Tabel1[[#This Row],[Status]]="Pågår")</f>
        <v>0</v>
      </c>
      <c r="AH1573" s="13"/>
      <c r="AI1573" s="12"/>
      <c r="AJ1573" s="12" t="s">
        <v>5437</v>
      </c>
      <c r="AK1573" s="12" t="s">
        <v>1015</v>
      </c>
      <c r="AL1573" s="12"/>
      <c r="AM1573" s="12"/>
      <c r="AN1573" s="12"/>
      <c r="AO1573" s="12"/>
      <c r="AP1573" s="12"/>
    </row>
    <row r="1574" spans="1:42">
      <c r="A1574" t="s">
        <v>5439</v>
      </c>
      <c r="B1574" s="8"/>
      <c r="C1574" s="8" t="s">
        <v>5440</v>
      </c>
      <c r="D1574" s="8" t="s">
        <v>720</v>
      </c>
      <c r="E1574" s="8" t="s">
        <v>71</v>
      </c>
      <c r="F1574" s="8" t="s">
        <v>5441</v>
      </c>
      <c r="G1574" s="8" t="s">
        <v>5000</v>
      </c>
      <c r="H1574" s="9">
        <v>850000</v>
      </c>
      <c r="I1574" s="9">
        <f>[1]!Tabel1[[#This Row],[Honorar]]*[1]!Tabel1[[#This Row],[Sandsynlighed]]</f>
        <v>16000</v>
      </c>
      <c r="J1574" s="10" t="s">
        <v>341</v>
      </c>
      <c r="K1574" s="1" t="s">
        <v>342</v>
      </c>
      <c r="L1574" s="17"/>
      <c r="M1574" s="11">
        <v>0.5</v>
      </c>
      <c r="N1574" s="1">
        <v>2850</v>
      </c>
      <c r="O1574" s="10">
        <v>46279.621516203704</v>
      </c>
      <c r="P1574" s="10" t="s">
        <v>1557</v>
      </c>
      <c r="Q1574" s="1" t="s">
        <v>4507</v>
      </c>
      <c r="R1574" s="8" t="s">
        <v>343</v>
      </c>
      <c r="S157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7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7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7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7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7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7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7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7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7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7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7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7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74" s="12">
        <f ca="1">[1]!Tabel1[[#This Row],[Vægtet Honorar]]*([1]!Tabel1[[#This Row],[Sidst redigeret]]&gt;TODAY()-40)*([1]!Tabel1[[#This Row],[Er i resplan?]]&lt;&gt;"Ja")*([1]!Tabel1[[#This Row],[Status]]="Pågår")</f>
        <v>0</v>
      </c>
      <c r="AG1574" s="12">
        <f ca="1">[1]!Tabel1[[#This Row],[Vægtet Honorar]]*([1]!Tabel1[[#This Row],[Sidst redigeret]]&gt;TODAY()-40)*([1]!Tabel1[[#This Row],[Status]]="Pågår")</f>
        <v>0</v>
      </c>
      <c r="AH1574" s="13"/>
      <c r="AI1574" s="12"/>
      <c r="AJ1574" s="12"/>
      <c r="AK1574" s="12"/>
      <c r="AL1574" s="12"/>
      <c r="AM1574" s="12"/>
      <c r="AN1574" s="12"/>
      <c r="AO1574" s="12"/>
      <c r="AP1574" s="12"/>
    </row>
    <row r="1575" spans="1:42" ht="60">
      <c r="A1575" t="s">
        <v>5442</v>
      </c>
      <c r="B1575" s="8"/>
      <c r="C1575" s="8" t="s">
        <v>5443</v>
      </c>
      <c r="D1575" s="8" t="s">
        <v>1771</v>
      </c>
      <c r="E1575" s="8" t="s">
        <v>167</v>
      </c>
      <c r="F1575" s="8" t="s">
        <v>5444</v>
      </c>
      <c r="G1575" s="8" t="s">
        <v>5444</v>
      </c>
      <c r="H1575" s="9">
        <v>200000</v>
      </c>
      <c r="I1575" s="9">
        <f>[1]!Tabel1[[#This Row],[Honorar]]*[1]!Tabel1[[#This Row],[Sandsynlighed]]</f>
        <v>0</v>
      </c>
      <c r="J1575" s="10" t="s">
        <v>341</v>
      </c>
      <c r="K1575" s="1" t="s">
        <v>342</v>
      </c>
      <c r="L1575" s="17" t="s">
        <v>5445</v>
      </c>
      <c r="M1575" s="11">
        <v>0.8</v>
      </c>
      <c r="N1575" s="1"/>
      <c r="O1575" s="10">
        <v>46279.621516203704</v>
      </c>
      <c r="P1575" s="10" t="s">
        <v>1557</v>
      </c>
      <c r="Q1575" s="1" t="s">
        <v>72</v>
      </c>
      <c r="R1575" s="8" t="s">
        <v>343</v>
      </c>
      <c r="S157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7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7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7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7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7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7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7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7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7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7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7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7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75" s="12">
        <f ca="1">[1]!Tabel1[[#This Row],[Vægtet Honorar]]*([1]!Tabel1[[#This Row],[Sidst redigeret]]&gt;TODAY()-40)*([1]!Tabel1[[#This Row],[Er i resplan?]]&lt;&gt;"Ja")*([1]!Tabel1[[#This Row],[Status]]="Pågår")</f>
        <v>0</v>
      </c>
      <c r="AG1575" s="12">
        <f ca="1">[1]!Tabel1[[#This Row],[Vægtet Honorar]]*([1]!Tabel1[[#This Row],[Sidst redigeret]]&gt;TODAY()-40)*([1]!Tabel1[[#This Row],[Status]]="Pågår")</f>
        <v>0</v>
      </c>
      <c r="AH1575" s="13"/>
      <c r="AI1575" s="12"/>
      <c r="AJ1575" s="12"/>
      <c r="AK1575" s="12"/>
      <c r="AL1575" s="12"/>
      <c r="AM1575" s="12"/>
      <c r="AN1575" s="12"/>
      <c r="AO1575" s="12"/>
      <c r="AP1575" s="12"/>
    </row>
    <row r="1576" spans="1:42" ht="60">
      <c r="A1576" t="s">
        <v>5446</v>
      </c>
      <c r="B1576" s="8"/>
      <c r="C1576" s="8" t="s">
        <v>5447</v>
      </c>
      <c r="D1576" s="8" t="s">
        <v>896</v>
      </c>
      <c r="E1576" s="8" t="s">
        <v>94</v>
      </c>
      <c r="F1576" s="8" t="s">
        <v>4526</v>
      </c>
      <c r="G1576" s="8" t="s">
        <v>1864</v>
      </c>
      <c r="H1576" s="9">
        <v>2000000</v>
      </c>
      <c r="I1576" s="9">
        <f>[1]!Tabel1[[#This Row],[Honorar]]*[1]!Tabel1[[#This Row],[Sandsynlighed]]</f>
        <v>20000</v>
      </c>
      <c r="J1576" s="10" t="s">
        <v>585</v>
      </c>
      <c r="K1576" s="1" t="s">
        <v>2105</v>
      </c>
      <c r="L1576" s="17" t="s">
        <v>4790</v>
      </c>
      <c r="M1576" s="11">
        <v>0.01</v>
      </c>
      <c r="N1576" s="1"/>
      <c r="O1576" s="10">
        <v>46279.621516203704</v>
      </c>
      <c r="P1576" s="10" t="s">
        <v>1557</v>
      </c>
      <c r="Q1576" s="1" t="s">
        <v>72</v>
      </c>
      <c r="R1576" s="8" t="s">
        <v>343</v>
      </c>
      <c r="S157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7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7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7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7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7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7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7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7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7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7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7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7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76" s="12">
        <f ca="1">[1]!Tabel1[[#This Row],[Vægtet Honorar]]*([1]!Tabel1[[#This Row],[Sidst redigeret]]&gt;TODAY()-40)*([1]!Tabel1[[#This Row],[Er i resplan?]]&lt;&gt;"Ja")*([1]!Tabel1[[#This Row],[Status]]="Pågår")</f>
        <v>20000</v>
      </c>
      <c r="AG1576" s="12">
        <f ca="1">[1]!Tabel1[[#This Row],[Vægtet Honorar]]*([1]!Tabel1[[#This Row],[Sidst redigeret]]&gt;TODAY()-40)*([1]!Tabel1[[#This Row],[Status]]="Pågår")</f>
        <v>20000</v>
      </c>
      <c r="AH1576" s="13"/>
      <c r="AI1576" s="12"/>
      <c r="AJ1576" s="12" t="s">
        <v>1864</v>
      </c>
      <c r="AK1576" s="12" t="s">
        <v>1015</v>
      </c>
      <c r="AL1576" s="12"/>
      <c r="AM1576" s="12"/>
      <c r="AN1576" s="12"/>
      <c r="AO1576" s="12"/>
      <c r="AP1576" s="12"/>
    </row>
    <row r="1577" spans="1:42" ht="60">
      <c r="A1577" t="s">
        <v>5448</v>
      </c>
      <c r="B1577" s="8"/>
      <c r="C1577" s="8" t="s">
        <v>5449</v>
      </c>
      <c r="D1577" s="8" t="s">
        <v>896</v>
      </c>
      <c r="E1577" s="8" t="s">
        <v>94</v>
      </c>
      <c r="F1577" s="8" t="s">
        <v>5450</v>
      </c>
      <c r="G1577" s="8" t="s">
        <v>2868</v>
      </c>
      <c r="H1577" s="9">
        <v>2000000</v>
      </c>
      <c r="I1577" s="9">
        <f>[1]!Tabel1[[#This Row],[Honorar]]*[1]!Tabel1[[#This Row],[Sandsynlighed]]</f>
        <v>7500</v>
      </c>
      <c r="J1577" s="10" t="s">
        <v>585</v>
      </c>
      <c r="K1577" s="1" t="s">
        <v>2105</v>
      </c>
      <c r="L1577" s="17" t="s">
        <v>5451</v>
      </c>
      <c r="M1577" s="11">
        <v>0.01</v>
      </c>
      <c r="N1577" s="1"/>
      <c r="O1577" s="10">
        <v>46279.621516203704</v>
      </c>
      <c r="P1577" s="10" t="s">
        <v>1557</v>
      </c>
      <c r="Q1577" s="1" t="s">
        <v>72</v>
      </c>
      <c r="R1577" s="8" t="s">
        <v>49</v>
      </c>
      <c r="S157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7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7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7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7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7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7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7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7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7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7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7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7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77" s="12">
        <f ca="1">[1]!Tabel1[[#This Row],[Vægtet Honorar]]*([1]!Tabel1[[#This Row],[Sidst redigeret]]&gt;TODAY()-40)*([1]!Tabel1[[#This Row],[Er i resplan?]]&lt;&gt;"Ja")*([1]!Tabel1[[#This Row],[Status]]="Pågår")</f>
        <v>0</v>
      </c>
      <c r="AG1577" s="12">
        <f ca="1">[1]!Tabel1[[#This Row],[Vægtet Honorar]]*([1]!Tabel1[[#This Row],[Sidst redigeret]]&gt;TODAY()-40)*([1]!Tabel1[[#This Row],[Status]]="Pågår")</f>
        <v>0</v>
      </c>
      <c r="AH1577" s="13"/>
      <c r="AI1577" s="12"/>
      <c r="AJ1577" s="12" t="s">
        <v>2868</v>
      </c>
      <c r="AK1577" s="12" t="s">
        <v>1015</v>
      </c>
      <c r="AL1577" s="12"/>
      <c r="AM1577" s="12"/>
      <c r="AN1577" s="12"/>
      <c r="AO1577" s="12"/>
      <c r="AP1577" s="12"/>
    </row>
    <row r="1578" spans="1:42">
      <c r="A1578" t="s">
        <v>5452</v>
      </c>
      <c r="B1578" s="8"/>
      <c r="C1578" s="8" t="s">
        <v>5453</v>
      </c>
      <c r="D1578" s="8" t="s">
        <v>2368</v>
      </c>
      <c r="E1578" s="8" t="s">
        <v>94</v>
      </c>
      <c r="F1578" s="8" t="s">
        <v>5454</v>
      </c>
      <c r="G1578" s="8" t="s">
        <v>5454</v>
      </c>
      <c r="H1578" s="9">
        <v>2000000</v>
      </c>
      <c r="I1578" s="9">
        <f>[1]!Tabel1[[#This Row],[Honorar]]*[1]!Tabel1[[#This Row],[Sandsynlighed]]</f>
        <v>15000</v>
      </c>
      <c r="J1578" s="10" t="s">
        <v>1310</v>
      </c>
      <c r="K1578" s="1" t="s">
        <v>2105</v>
      </c>
      <c r="L1578" s="17" t="s">
        <v>5455</v>
      </c>
      <c r="M1578" s="11">
        <v>0.5</v>
      </c>
      <c r="N1578" s="1">
        <v>10000</v>
      </c>
      <c r="O1578" s="10">
        <v>46279.621516203704</v>
      </c>
      <c r="P1578" s="10" t="s">
        <v>1557</v>
      </c>
      <c r="Q1578" s="1" t="s">
        <v>72</v>
      </c>
      <c r="R1578" s="8" t="s">
        <v>47</v>
      </c>
      <c r="S157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7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7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7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7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7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7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7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7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7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7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7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7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78" s="12">
        <f ca="1">[1]!Tabel1[[#This Row],[Vægtet Honorar]]*([1]!Tabel1[[#This Row],[Sidst redigeret]]&gt;TODAY()-40)*([1]!Tabel1[[#This Row],[Er i resplan?]]&lt;&gt;"Ja")*([1]!Tabel1[[#This Row],[Status]]="Pågår")</f>
        <v>15000</v>
      </c>
      <c r="AG1578" s="12">
        <f ca="1">[1]!Tabel1[[#This Row],[Vægtet Honorar]]*([1]!Tabel1[[#This Row],[Sidst redigeret]]&gt;TODAY()-40)*([1]!Tabel1[[#This Row],[Status]]="Pågår")</f>
        <v>15000</v>
      </c>
      <c r="AH1578" s="13">
        <v>46266.4059837963</v>
      </c>
      <c r="AI1578" s="12"/>
      <c r="AJ1578" s="12" t="s">
        <v>1352</v>
      </c>
      <c r="AK1578" s="12"/>
      <c r="AL1578" s="12"/>
      <c r="AM1578" s="12"/>
      <c r="AN1578" s="12"/>
      <c r="AO1578" s="12"/>
      <c r="AP1578" s="12"/>
    </row>
    <row r="1579" spans="1:42">
      <c r="A1579" t="s">
        <v>5456</v>
      </c>
      <c r="B1579" s="8"/>
      <c r="C1579" s="8" t="s">
        <v>5457</v>
      </c>
      <c r="D1579" s="8" t="s">
        <v>2886</v>
      </c>
      <c r="E1579" s="8" t="s">
        <v>120</v>
      </c>
      <c r="F1579" s="8" t="s">
        <v>383</v>
      </c>
      <c r="G1579" s="8" t="s">
        <v>383</v>
      </c>
      <c r="H1579" s="9">
        <v>8000000</v>
      </c>
      <c r="I1579" s="9">
        <f>[1]!Tabel1[[#This Row],[Honorar]]*[1]!Tabel1[[#This Row],[Sandsynlighed]]</f>
        <v>425000</v>
      </c>
      <c r="J1579" s="10" t="s">
        <v>2405</v>
      </c>
      <c r="K1579" s="1" t="s">
        <v>1709</v>
      </c>
      <c r="L1579" s="17" t="s">
        <v>5455</v>
      </c>
      <c r="M1579" s="11">
        <v>0.2</v>
      </c>
      <c r="N1579" s="1">
        <v>10000</v>
      </c>
      <c r="O1579" s="10">
        <v>46279.621516203704</v>
      </c>
      <c r="P1579" s="10" t="s">
        <v>1557</v>
      </c>
      <c r="Q1579" s="1" t="s">
        <v>72</v>
      </c>
      <c r="R1579" s="8" t="s">
        <v>343</v>
      </c>
      <c r="S157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7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7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7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7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7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7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7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7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7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7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7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7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79" s="12">
        <f ca="1">[1]!Tabel1[[#This Row],[Vægtet Honorar]]*([1]!Tabel1[[#This Row],[Sidst redigeret]]&gt;TODAY()-40)*([1]!Tabel1[[#This Row],[Er i resplan?]]&lt;&gt;"Ja")*([1]!Tabel1[[#This Row],[Status]]="Pågår")</f>
        <v>0</v>
      </c>
      <c r="AG1579" s="12">
        <f ca="1">[1]!Tabel1[[#This Row],[Vægtet Honorar]]*([1]!Tabel1[[#This Row],[Sidst redigeret]]&gt;TODAY()-40)*([1]!Tabel1[[#This Row],[Status]]="Pågår")</f>
        <v>425000</v>
      </c>
      <c r="AH1579" s="13"/>
      <c r="AI1579" s="12"/>
      <c r="AJ1579" s="12"/>
      <c r="AK1579" s="12"/>
      <c r="AL1579" s="12"/>
      <c r="AM1579" s="12"/>
      <c r="AN1579" s="12"/>
      <c r="AO1579" s="12"/>
      <c r="AP1579" s="12"/>
    </row>
    <row r="1580" spans="1:42">
      <c r="A1580" t="s">
        <v>5458</v>
      </c>
      <c r="B1580" s="8"/>
      <c r="C1580" s="8" t="s">
        <v>5459</v>
      </c>
      <c r="D1580" s="8" t="s">
        <v>134</v>
      </c>
      <c r="E1580" s="8" t="s">
        <v>94</v>
      </c>
      <c r="F1580" s="8" t="s">
        <v>2341</v>
      </c>
      <c r="G1580" s="8" t="s">
        <v>2341</v>
      </c>
      <c r="H1580" s="9">
        <v>40000</v>
      </c>
      <c r="I1580" s="9">
        <f>[1]!Tabel1[[#This Row],[Honorar]]*[1]!Tabel1[[#This Row],[Sandsynlighed]]</f>
        <v>160000</v>
      </c>
      <c r="J1580" s="10" t="s">
        <v>341</v>
      </c>
      <c r="K1580" s="1" t="s">
        <v>341</v>
      </c>
      <c r="L1580" s="17" t="s">
        <v>5460</v>
      </c>
      <c r="M1580" s="11">
        <v>1</v>
      </c>
      <c r="N1580" s="1" t="s">
        <v>777</v>
      </c>
      <c r="O1580" s="10">
        <v>46279.621516203704</v>
      </c>
      <c r="P1580" s="10" t="s">
        <v>1557</v>
      </c>
      <c r="Q1580" s="1" t="s">
        <v>46</v>
      </c>
      <c r="R1580" s="8" t="s">
        <v>47</v>
      </c>
      <c r="S158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8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8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8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8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8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8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8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8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8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8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8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8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80" s="12">
        <f ca="1">[1]!Tabel1[[#This Row],[Vægtet Honorar]]*([1]!Tabel1[[#This Row],[Sidst redigeret]]&gt;TODAY()-40)*([1]!Tabel1[[#This Row],[Er i resplan?]]&lt;&gt;"Ja")*([1]!Tabel1[[#This Row],[Status]]="Pågår")</f>
        <v>160000</v>
      </c>
      <c r="AG1580" s="12">
        <f ca="1">[1]!Tabel1[[#This Row],[Vægtet Honorar]]*([1]!Tabel1[[#This Row],[Sidst redigeret]]&gt;TODAY()-40)*([1]!Tabel1[[#This Row],[Status]]="Pågår")</f>
        <v>160000</v>
      </c>
      <c r="AH1580" s="13">
        <v>46062.424664351849</v>
      </c>
      <c r="AI1580" s="12"/>
      <c r="AJ1580" s="12"/>
      <c r="AK1580" s="12"/>
      <c r="AL1580" s="12"/>
      <c r="AM1580" s="12"/>
      <c r="AN1580" s="12"/>
      <c r="AO1580" s="12"/>
      <c r="AP1580" s="12"/>
    </row>
    <row r="1581" spans="1:42">
      <c r="A1581" t="s">
        <v>5461</v>
      </c>
      <c r="B1581" s="8"/>
      <c r="C1581" s="8" t="s">
        <v>5462</v>
      </c>
      <c r="D1581" s="8" t="s">
        <v>134</v>
      </c>
      <c r="E1581" s="8" t="s">
        <v>94</v>
      </c>
      <c r="F1581" s="8" t="s">
        <v>5462</v>
      </c>
      <c r="G1581" s="8" t="s">
        <v>5462</v>
      </c>
      <c r="H1581" s="9">
        <v>100000</v>
      </c>
      <c r="I1581" s="9">
        <f>[1]!Tabel1[[#This Row],[Honorar]]*[1]!Tabel1[[#This Row],[Sandsynlighed]]</f>
        <v>20000</v>
      </c>
      <c r="J1581" s="10" t="s">
        <v>1062</v>
      </c>
      <c r="K1581" s="1" t="s">
        <v>2405</v>
      </c>
      <c r="L1581" s="17" t="s">
        <v>5460</v>
      </c>
      <c r="M1581" s="11">
        <v>0.25</v>
      </c>
      <c r="N1581" s="1" t="s">
        <v>777</v>
      </c>
      <c r="O1581" s="10">
        <v>46279.621516203704</v>
      </c>
      <c r="P1581" s="10" t="s">
        <v>1557</v>
      </c>
      <c r="Q1581" s="1" t="s">
        <v>72</v>
      </c>
      <c r="R1581" s="8" t="s">
        <v>343</v>
      </c>
      <c r="S158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8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8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8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8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8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8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8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8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8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8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8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8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81" s="12">
        <f ca="1">[1]!Tabel1[[#This Row],[Vægtet Honorar]]*([1]!Tabel1[[#This Row],[Sidst redigeret]]&gt;TODAY()-40)*([1]!Tabel1[[#This Row],[Er i resplan?]]&lt;&gt;"Ja")*([1]!Tabel1[[#This Row],[Status]]="Pågår")</f>
        <v>20000</v>
      </c>
      <c r="AG1581" s="12">
        <f ca="1">[1]!Tabel1[[#This Row],[Vægtet Honorar]]*([1]!Tabel1[[#This Row],[Sidst redigeret]]&gt;TODAY()-40)*([1]!Tabel1[[#This Row],[Status]]="Pågår")</f>
        <v>20000</v>
      </c>
      <c r="AH1581" s="13"/>
      <c r="AI1581" s="12"/>
      <c r="AJ1581" s="12"/>
      <c r="AK1581" s="12"/>
      <c r="AL1581" s="12"/>
      <c r="AM1581" s="12"/>
      <c r="AN1581" s="12"/>
      <c r="AO1581" s="12"/>
      <c r="AP1581" s="12"/>
    </row>
    <row r="1582" spans="1:42" ht="45">
      <c r="A1582" t="s">
        <v>5463</v>
      </c>
      <c r="B1582" s="8"/>
      <c r="C1582" s="8" t="s">
        <v>5464</v>
      </c>
      <c r="D1582" s="8" t="s">
        <v>134</v>
      </c>
      <c r="E1582" s="8" t="s">
        <v>94</v>
      </c>
      <c r="F1582" s="8" t="s">
        <v>5464</v>
      </c>
      <c r="G1582" s="8" t="s">
        <v>2295</v>
      </c>
      <c r="H1582" s="9">
        <v>10000</v>
      </c>
      <c r="I1582" s="9">
        <f>[1]!Tabel1[[#This Row],[Honorar]]*[1]!Tabel1[[#This Row],[Sandsynlighed]]</f>
        <v>20000</v>
      </c>
      <c r="J1582" s="10" t="s">
        <v>341</v>
      </c>
      <c r="K1582" s="1" t="s">
        <v>341</v>
      </c>
      <c r="L1582" s="17" t="s">
        <v>5465</v>
      </c>
      <c r="M1582" s="11">
        <v>0.5</v>
      </c>
      <c r="N1582" s="1" t="s">
        <v>777</v>
      </c>
      <c r="O1582" s="10">
        <v>46279.621516203704</v>
      </c>
      <c r="P1582" s="10" t="s">
        <v>1557</v>
      </c>
      <c r="Q1582" s="1" t="s">
        <v>72</v>
      </c>
      <c r="R1582" s="8" t="s">
        <v>47</v>
      </c>
      <c r="S158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8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8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8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8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8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8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8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8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8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8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8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8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82" s="12">
        <f ca="1">[1]!Tabel1[[#This Row],[Vægtet Honorar]]*([1]!Tabel1[[#This Row],[Sidst redigeret]]&gt;TODAY()-40)*([1]!Tabel1[[#This Row],[Er i resplan?]]&lt;&gt;"Ja")*([1]!Tabel1[[#This Row],[Status]]="Pågår")</f>
        <v>0</v>
      </c>
      <c r="AG1582" s="12">
        <f ca="1">[1]!Tabel1[[#This Row],[Vægtet Honorar]]*([1]!Tabel1[[#This Row],[Sidst redigeret]]&gt;TODAY()-40)*([1]!Tabel1[[#This Row],[Status]]="Pågår")</f>
        <v>0</v>
      </c>
      <c r="AH1582" s="13">
        <v>46266.406504629631</v>
      </c>
      <c r="AI1582" s="12"/>
      <c r="AJ1582" s="12"/>
      <c r="AK1582" s="12"/>
      <c r="AL1582" s="12"/>
      <c r="AM1582" s="12"/>
      <c r="AN1582" s="12"/>
      <c r="AO1582" s="12"/>
      <c r="AP1582" s="12"/>
    </row>
    <row r="1583" spans="1:42">
      <c r="A1583" t="s">
        <v>5466</v>
      </c>
      <c r="B1583" s="8"/>
      <c r="C1583" s="8" t="s">
        <v>5467</v>
      </c>
      <c r="D1583" s="8" t="s">
        <v>134</v>
      </c>
      <c r="E1583" s="8" t="s">
        <v>94</v>
      </c>
      <c r="F1583" s="8" t="s">
        <v>5468</v>
      </c>
      <c r="G1583" s="8" t="s">
        <v>5469</v>
      </c>
      <c r="H1583" s="9">
        <v>25000</v>
      </c>
      <c r="I1583" s="9">
        <f>[1]!Tabel1[[#This Row],[Honorar]]*[1]!Tabel1[[#This Row],[Sandsynlighed]]</f>
        <v>1000000</v>
      </c>
      <c r="J1583" s="10" t="s">
        <v>341</v>
      </c>
      <c r="K1583" s="1" t="s">
        <v>341</v>
      </c>
      <c r="L1583" s="17" t="s">
        <v>5460</v>
      </c>
      <c r="M1583" s="11">
        <v>1</v>
      </c>
      <c r="N1583" s="1" t="s">
        <v>777</v>
      </c>
      <c r="O1583" s="10">
        <v>46279.621516203704</v>
      </c>
      <c r="P1583" s="10" t="s">
        <v>1557</v>
      </c>
      <c r="Q1583" s="1" t="s">
        <v>72</v>
      </c>
      <c r="R1583" s="8" t="s">
        <v>47</v>
      </c>
      <c r="S158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8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8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8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8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8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8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8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8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8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8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8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8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83" s="12">
        <f ca="1">[1]!Tabel1[[#This Row],[Vægtet Honorar]]*([1]!Tabel1[[#This Row],[Sidst redigeret]]&gt;TODAY()-40)*([1]!Tabel1[[#This Row],[Er i resplan?]]&lt;&gt;"Ja")*([1]!Tabel1[[#This Row],[Status]]="Pågår")</f>
        <v>0</v>
      </c>
      <c r="AG1583" s="12">
        <f ca="1">[1]!Tabel1[[#This Row],[Vægtet Honorar]]*([1]!Tabel1[[#This Row],[Sidst redigeret]]&gt;TODAY()-40)*([1]!Tabel1[[#This Row],[Status]]="Pågår")</f>
        <v>0</v>
      </c>
      <c r="AH1583" s="13">
        <v>46063.566446759258</v>
      </c>
      <c r="AI1583" s="12"/>
      <c r="AJ1583" s="12"/>
      <c r="AK1583" s="12"/>
      <c r="AL1583" s="12"/>
      <c r="AM1583" s="12"/>
      <c r="AN1583" s="12"/>
      <c r="AO1583" s="12"/>
      <c r="AP1583" s="12"/>
    </row>
    <row r="1584" spans="1:42" ht="60">
      <c r="A1584" t="s">
        <v>5470</v>
      </c>
      <c r="B1584" s="8"/>
      <c r="C1584" s="8" t="s">
        <v>5471</v>
      </c>
      <c r="D1584" s="8" t="s">
        <v>896</v>
      </c>
      <c r="E1584" s="8" t="s">
        <v>94</v>
      </c>
      <c r="F1584" s="8" t="s">
        <v>1735</v>
      </c>
      <c r="G1584" s="8" t="s">
        <v>2775</v>
      </c>
      <c r="H1584" s="9">
        <v>3000000</v>
      </c>
      <c r="I1584" s="9">
        <f>[1]!Tabel1[[#This Row],[Honorar]]*[1]!Tabel1[[#This Row],[Sandsynlighed]]</f>
        <v>1600000</v>
      </c>
      <c r="J1584" s="10" t="s">
        <v>1310</v>
      </c>
      <c r="K1584" s="1" t="s">
        <v>1861</v>
      </c>
      <c r="L1584" s="17" t="s">
        <v>4843</v>
      </c>
      <c r="M1584" s="11">
        <v>0.01</v>
      </c>
      <c r="N1584" s="1">
        <v>2000</v>
      </c>
      <c r="O1584" s="10">
        <v>46279.621516203704</v>
      </c>
      <c r="P1584" s="10" t="s">
        <v>1557</v>
      </c>
      <c r="Q1584" s="1" t="s">
        <v>72</v>
      </c>
      <c r="R1584" s="8" t="s">
        <v>343</v>
      </c>
      <c r="S158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8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8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8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8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8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8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8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8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8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8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8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8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84" s="12">
        <f ca="1">[1]!Tabel1[[#This Row],[Vægtet Honorar]]*([1]!Tabel1[[#This Row],[Sidst redigeret]]&gt;TODAY()-40)*([1]!Tabel1[[#This Row],[Er i resplan?]]&lt;&gt;"Ja")*([1]!Tabel1[[#This Row],[Status]]="Pågår")</f>
        <v>1600000</v>
      </c>
      <c r="AG1584" s="12">
        <f ca="1">[1]!Tabel1[[#This Row],[Vægtet Honorar]]*([1]!Tabel1[[#This Row],[Sidst redigeret]]&gt;TODAY()-40)*([1]!Tabel1[[#This Row],[Status]]="Pågår")</f>
        <v>1600000</v>
      </c>
      <c r="AH1584" s="13"/>
      <c r="AI1584" s="12"/>
      <c r="AJ1584" s="12" t="s">
        <v>3720</v>
      </c>
      <c r="AK1584" s="12"/>
      <c r="AL1584" s="12"/>
      <c r="AM1584" s="12"/>
      <c r="AN1584" s="12"/>
      <c r="AO1584" s="12"/>
      <c r="AP1584" s="12"/>
    </row>
    <row r="1585" spans="1:42">
      <c r="A1585" t="s">
        <v>5472</v>
      </c>
      <c r="B1585" s="8"/>
      <c r="C1585" s="8" t="s">
        <v>5473</v>
      </c>
      <c r="D1585" s="8" t="s">
        <v>896</v>
      </c>
      <c r="E1585" s="8" t="s">
        <v>94</v>
      </c>
      <c r="F1585" s="8" t="s">
        <v>2773</v>
      </c>
      <c r="G1585" s="8" t="s">
        <v>2773</v>
      </c>
      <c r="H1585" s="9">
        <v>15000000</v>
      </c>
      <c r="I1585" s="9">
        <f>[1]!Tabel1[[#This Row],[Honorar]]*[1]!Tabel1[[#This Row],[Sandsynlighed]]</f>
        <v>40000</v>
      </c>
      <c r="J1585" s="10" t="s">
        <v>1062</v>
      </c>
      <c r="K1585" s="1" t="s">
        <v>3601</v>
      </c>
      <c r="L1585" s="17"/>
      <c r="M1585" s="11">
        <v>0.01</v>
      </c>
      <c r="N1585" s="1">
        <v>15000</v>
      </c>
      <c r="O1585" s="10">
        <v>46279.621516203704</v>
      </c>
      <c r="P1585" s="10" t="s">
        <v>1557</v>
      </c>
      <c r="Q1585" s="1" t="s">
        <v>72</v>
      </c>
      <c r="R1585" s="8" t="s">
        <v>1052</v>
      </c>
      <c r="S158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8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8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8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8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8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8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8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8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8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8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8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8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85" s="12">
        <f ca="1">[1]!Tabel1[[#This Row],[Vægtet Honorar]]*([1]!Tabel1[[#This Row],[Sidst redigeret]]&gt;TODAY()-40)*([1]!Tabel1[[#This Row],[Er i resplan?]]&lt;&gt;"Ja")*([1]!Tabel1[[#This Row],[Status]]="Pågår")</f>
        <v>0</v>
      </c>
      <c r="AG1585" s="12">
        <f ca="1">[1]!Tabel1[[#This Row],[Vægtet Honorar]]*([1]!Tabel1[[#This Row],[Sidst redigeret]]&gt;TODAY()-40)*([1]!Tabel1[[#This Row],[Status]]="Pågår")</f>
        <v>0</v>
      </c>
      <c r="AH1585" s="13"/>
      <c r="AI1585" s="12"/>
      <c r="AJ1585" s="12" t="s">
        <v>3720</v>
      </c>
      <c r="AK1585" s="12"/>
      <c r="AL1585" s="12"/>
      <c r="AM1585" s="12"/>
      <c r="AN1585" s="12"/>
      <c r="AO1585" s="12"/>
      <c r="AP1585" s="12"/>
    </row>
    <row r="1586" spans="1:42">
      <c r="A1586" t="s">
        <v>5474</v>
      </c>
      <c r="B1586" s="8"/>
      <c r="C1586" s="8" t="s">
        <v>5475</v>
      </c>
      <c r="D1586" s="8" t="s">
        <v>1623</v>
      </c>
      <c r="E1586" s="8" t="s">
        <v>102</v>
      </c>
      <c r="F1586" s="8" t="s">
        <v>5476</v>
      </c>
      <c r="G1586" s="8" t="s">
        <v>5476</v>
      </c>
      <c r="H1586" s="9">
        <v>2000000</v>
      </c>
      <c r="I1586" s="9">
        <f>[1]!Tabel1[[#This Row],[Honorar]]*[1]!Tabel1[[#This Row],[Sandsynlighed]]</f>
        <v>25000</v>
      </c>
      <c r="J1586" s="10" t="s">
        <v>341</v>
      </c>
      <c r="K1586" s="1" t="s">
        <v>2405</v>
      </c>
      <c r="L1586" s="17"/>
      <c r="M1586" s="11">
        <v>0.6</v>
      </c>
      <c r="N1586" s="1">
        <v>3500</v>
      </c>
      <c r="O1586" s="10">
        <v>46279.621516203704</v>
      </c>
      <c r="P1586" s="10" t="s">
        <v>1557</v>
      </c>
      <c r="Q1586" s="1" t="s">
        <v>46</v>
      </c>
      <c r="R1586" s="8" t="s">
        <v>343</v>
      </c>
      <c r="S158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8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8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8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8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8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8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8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8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8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8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8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8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86" s="12">
        <f ca="1">[1]!Tabel1[[#This Row],[Vægtet Honorar]]*([1]!Tabel1[[#This Row],[Sidst redigeret]]&gt;TODAY()-40)*([1]!Tabel1[[#This Row],[Er i resplan?]]&lt;&gt;"Ja")*([1]!Tabel1[[#This Row],[Status]]="Pågår")</f>
        <v>25000</v>
      </c>
      <c r="AG1586" s="12">
        <f ca="1">[1]!Tabel1[[#This Row],[Vægtet Honorar]]*([1]!Tabel1[[#This Row],[Sidst redigeret]]&gt;TODAY()-40)*([1]!Tabel1[[#This Row],[Status]]="Pågår")</f>
        <v>25000</v>
      </c>
      <c r="AH1586" s="13"/>
      <c r="AI1586" s="12"/>
      <c r="AJ1586" s="12"/>
      <c r="AK1586" s="12"/>
      <c r="AL1586" s="12"/>
      <c r="AM1586" s="12"/>
      <c r="AN1586" s="12"/>
      <c r="AO1586" s="12"/>
      <c r="AP1586" s="12"/>
    </row>
    <row r="1587" spans="1:42" ht="60">
      <c r="A1587" t="s">
        <v>5477</v>
      </c>
      <c r="B1587" s="8"/>
      <c r="C1587" s="8" t="s">
        <v>5478</v>
      </c>
      <c r="D1587" s="8" t="s">
        <v>896</v>
      </c>
      <c r="E1587" s="8" t="s">
        <v>94</v>
      </c>
      <c r="F1587" s="8" t="s">
        <v>1954</v>
      </c>
      <c r="G1587" s="8" t="s">
        <v>2917</v>
      </c>
      <c r="H1587" s="9">
        <v>2000000</v>
      </c>
      <c r="I1587" s="9">
        <f>[1]!Tabel1[[#This Row],[Honorar]]*[1]!Tabel1[[#This Row],[Sandsynlighed]]</f>
        <v>5000</v>
      </c>
      <c r="J1587" s="10" t="s">
        <v>1310</v>
      </c>
      <c r="K1587" s="1" t="s">
        <v>2405</v>
      </c>
      <c r="L1587" s="17" t="s">
        <v>5479</v>
      </c>
      <c r="M1587" s="11">
        <v>0.01</v>
      </c>
      <c r="N1587" s="1"/>
      <c r="O1587" s="10">
        <v>46279.621516203704</v>
      </c>
      <c r="P1587" s="10" t="s">
        <v>1557</v>
      </c>
      <c r="Q1587" s="1" t="s">
        <v>46</v>
      </c>
      <c r="R1587" s="8" t="s">
        <v>343</v>
      </c>
      <c r="S158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8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8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8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8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8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8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8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8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8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8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8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8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87" s="12">
        <f ca="1">[1]!Tabel1[[#This Row],[Vægtet Honorar]]*([1]!Tabel1[[#This Row],[Sidst redigeret]]&gt;TODAY()-40)*([1]!Tabel1[[#This Row],[Er i resplan?]]&lt;&gt;"Ja")*([1]!Tabel1[[#This Row],[Status]]="Pågår")</f>
        <v>0</v>
      </c>
      <c r="AG1587" s="12">
        <f ca="1">[1]!Tabel1[[#This Row],[Vægtet Honorar]]*([1]!Tabel1[[#This Row],[Sidst redigeret]]&gt;TODAY()-40)*([1]!Tabel1[[#This Row],[Status]]="Pågår")</f>
        <v>0</v>
      </c>
      <c r="AH1587" s="13"/>
      <c r="AI1587" s="12"/>
      <c r="AJ1587" s="12" t="s">
        <v>2005</v>
      </c>
      <c r="AK1587" s="12"/>
      <c r="AL1587" s="12"/>
      <c r="AM1587" s="12"/>
      <c r="AN1587" s="12"/>
      <c r="AO1587" s="12"/>
      <c r="AP1587" s="12"/>
    </row>
    <row r="1588" spans="1:42" ht="165">
      <c r="A1588" t="s">
        <v>5480</v>
      </c>
      <c r="B1588" s="8"/>
      <c r="C1588" s="8" t="s">
        <v>5481</v>
      </c>
      <c r="D1588" s="8" t="s">
        <v>896</v>
      </c>
      <c r="E1588" s="8" t="s">
        <v>94</v>
      </c>
      <c r="F1588" s="8" t="s">
        <v>589</v>
      </c>
      <c r="G1588" s="8" t="s">
        <v>589</v>
      </c>
      <c r="H1588" s="9">
        <v>21000000</v>
      </c>
      <c r="I1588" s="9">
        <f>[1]!Tabel1[[#This Row],[Honorar]]*[1]!Tabel1[[#This Row],[Sandsynlighed]]</f>
        <v>25000</v>
      </c>
      <c r="J1588" s="10" t="s">
        <v>1310</v>
      </c>
      <c r="K1588" s="1" t="s">
        <v>2405</v>
      </c>
      <c r="L1588" s="17" t="s">
        <v>5482</v>
      </c>
      <c r="M1588" s="11">
        <v>1</v>
      </c>
      <c r="N1588" s="1"/>
      <c r="O1588" s="10">
        <v>46279.621516203704</v>
      </c>
      <c r="P1588" s="10" t="s">
        <v>1557</v>
      </c>
      <c r="Q1588" s="1" t="s">
        <v>46</v>
      </c>
      <c r="R1588" s="8" t="s">
        <v>47</v>
      </c>
      <c r="S158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8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8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8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8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8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8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8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8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8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8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8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8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88" s="12">
        <f ca="1">[1]!Tabel1[[#This Row],[Vægtet Honorar]]*([1]!Tabel1[[#This Row],[Sidst redigeret]]&gt;TODAY()-40)*([1]!Tabel1[[#This Row],[Er i resplan?]]&lt;&gt;"Ja")*([1]!Tabel1[[#This Row],[Status]]="Pågår")</f>
        <v>0</v>
      </c>
      <c r="AG1588" s="12">
        <f ca="1">[1]!Tabel1[[#This Row],[Vægtet Honorar]]*([1]!Tabel1[[#This Row],[Sidst redigeret]]&gt;TODAY()-40)*([1]!Tabel1[[#This Row],[Status]]="Pågår")</f>
        <v>0</v>
      </c>
      <c r="AH1588" s="13">
        <v>46266.435266203705</v>
      </c>
      <c r="AI1588" s="12"/>
      <c r="AJ1588" s="12"/>
      <c r="AK1588" s="12"/>
      <c r="AL1588" s="12"/>
      <c r="AM1588" s="12"/>
      <c r="AN1588" s="12"/>
      <c r="AO1588" s="12"/>
      <c r="AP1588" s="12"/>
    </row>
    <row r="1589" spans="1:42">
      <c r="A1589" t="s">
        <v>5483</v>
      </c>
      <c r="B1589" s="8"/>
      <c r="C1589" s="8" t="s">
        <v>5484</v>
      </c>
      <c r="D1589" s="8" t="s">
        <v>1771</v>
      </c>
      <c r="E1589" s="8" t="s">
        <v>167</v>
      </c>
      <c r="F1589" s="8" t="s">
        <v>3904</v>
      </c>
      <c r="G1589" s="8" t="s">
        <v>4711</v>
      </c>
      <c r="H1589" s="9">
        <v>75000</v>
      </c>
      <c r="I1589" s="9">
        <f>[1]!Tabel1[[#This Row],[Honorar]]*[1]!Tabel1[[#This Row],[Sandsynlighed]]</f>
        <v>30000</v>
      </c>
      <c r="J1589" s="10" t="s">
        <v>1310</v>
      </c>
      <c r="K1589" s="1" t="s">
        <v>342</v>
      </c>
      <c r="L1589" s="17"/>
      <c r="M1589" s="11">
        <v>0.5</v>
      </c>
      <c r="N1589" s="1" t="s">
        <v>5485</v>
      </c>
      <c r="O1589" s="10">
        <v>46279.621516203704</v>
      </c>
      <c r="P1589" s="10" t="s">
        <v>1557</v>
      </c>
      <c r="Q1589" s="1" t="s">
        <v>72</v>
      </c>
      <c r="R1589" s="8" t="s">
        <v>343</v>
      </c>
      <c r="S158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8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8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8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8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8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8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8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8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8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8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8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8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89" s="12">
        <f ca="1">[1]!Tabel1[[#This Row],[Vægtet Honorar]]*([1]!Tabel1[[#This Row],[Sidst redigeret]]&gt;TODAY()-40)*([1]!Tabel1[[#This Row],[Er i resplan?]]&lt;&gt;"Ja")*([1]!Tabel1[[#This Row],[Status]]="Pågår")</f>
        <v>30000</v>
      </c>
      <c r="AG1589" s="12">
        <f ca="1">[1]!Tabel1[[#This Row],[Vægtet Honorar]]*([1]!Tabel1[[#This Row],[Sidst redigeret]]&gt;TODAY()-40)*([1]!Tabel1[[#This Row],[Status]]="Pågår")</f>
        <v>30000</v>
      </c>
      <c r="AH1589" s="13"/>
      <c r="AI1589" s="12"/>
      <c r="AJ1589" s="12"/>
      <c r="AK1589" s="12"/>
      <c r="AL1589" s="12"/>
      <c r="AM1589" s="12"/>
      <c r="AN1589" s="12"/>
      <c r="AO1589" s="12"/>
      <c r="AP1589" s="12"/>
    </row>
    <row r="1590" spans="1:42">
      <c r="A1590" t="s">
        <v>5486</v>
      </c>
      <c r="B1590" s="8"/>
      <c r="C1590" s="8" t="s">
        <v>5487</v>
      </c>
      <c r="D1590" s="8" t="s">
        <v>5488</v>
      </c>
      <c r="E1590" s="8" t="s">
        <v>71</v>
      </c>
      <c r="F1590" s="8" t="s">
        <v>721</v>
      </c>
      <c r="G1590" s="8"/>
      <c r="H1590" s="9">
        <v>2000000</v>
      </c>
      <c r="I1590" s="9">
        <f>[1]!Tabel1[[#This Row],[Honorar]]*[1]!Tabel1[[#This Row],[Sandsynlighed]]</f>
        <v>150000</v>
      </c>
      <c r="J1590" s="10" t="s">
        <v>1310</v>
      </c>
      <c r="K1590" s="1" t="s">
        <v>2624</v>
      </c>
      <c r="L1590" s="17"/>
      <c r="M1590" s="11">
        <v>0.2</v>
      </c>
      <c r="N1590" s="1"/>
      <c r="O1590" s="10">
        <v>46279.621516203704</v>
      </c>
      <c r="P1590" s="10" t="s">
        <v>72</v>
      </c>
      <c r="Q1590" s="1" t="s">
        <v>72</v>
      </c>
      <c r="R1590" s="8" t="s">
        <v>343</v>
      </c>
      <c r="S159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9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9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9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9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9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9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9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9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9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9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9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9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90" s="12">
        <f ca="1">[1]!Tabel1[[#This Row],[Vægtet Honorar]]*([1]!Tabel1[[#This Row],[Sidst redigeret]]&gt;TODAY()-40)*([1]!Tabel1[[#This Row],[Er i resplan?]]&lt;&gt;"Ja")*([1]!Tabel1[[#This Row],[Status]]="Pågår")</f>
        <v>0</v>
      </c>
      <c r="AG1590" s="12">
        <f ca="1">[1]!Tabel1[[#This Row],[Vægtet Honorar]]*([1]!Tabel1[[#This Row],[Sidst redigeret]]&gt;TODAY()-40)*([1]!Tabel1[[#This Row],[Status]]="Pågår")</f>
        <v>0</v>
      </c>
      <c r="AH1590" s="13"/>
      <c r="AI1590" s="12"/>
      <c r="AJ1590" s="12" t="s">
        <v>4090</v>
      </c>
      <c r="AK1590" s="12"/>
      <c r="AL1590" s="12"/>
      <c r="AM1590" s="12"/>
      <c r="AN1590" s="12"/>
      <c r="AO1590" s="12"/>
      <c r="AP1590" s="12"/>
    </row>
    <row r="1591" spans="1:42" ht="60">
      <c r="A1591" t="s">
        <v>5489</v>
      </c>
      <c r="B1591" s="8"/>
      <c r="C1591" s="8" t="s">
        <v>5490</v>
      </c>
      <c r="D1591" s="8" t="s">
        <v>720</v>
      </c>
      <c r="E1591" s="8" t="s">
        <v>71</v>
      </c>
      <c r="F1591" s="8" t="s">
        <v>1481</v>
      </c>
      <c r="G1591" s="8" t="s">
        <v>5491</v>
      </c>
      <c r="H1591" s="9">
        <v>50000</v>
      </c>
      <c r="I1591" s="9">
        <f>[1]!Tabel1[[#This Row],[Honorar]]*[1]!Tabel1[[#This Row],[Sandsynlighed]]</f>
        <v>1200000</v>
      </c>
      <c r="J1591" s="10" t="s">
        <v>1310</v>
      </c>
      <c r="K1591" s="1" t="s">
        <v>2624</v>
      </c>
      <c r="L1591" s="17" t="s">
        <v>5492</v>
      </c>
      <c r="M1591" s="11">
        <v>0.2</v>
      </c>
      <c r="N1591" s="1"/>
      <c r="O1591" s="10">
        <v>46279.621516203704</v>
      </c>
      <c r="P1591" s="10" t="s">
        <v>4507</v>
      </c>
      <c r="Q1591" s="1" t="s">
        <v>72</v>
      </c>
      <c r="R1591" s="8" t="s">
        <v>343</v>
      </c>
      <c r="S159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9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9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9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9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9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9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9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9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9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9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9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9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91" s="12">
        <f ca="1">[1]!Tabel1[[#This Row],[Vægtet Honorar]]*([1]!Tabel1[[#This Row],[Sidst redigeret]]&gt;TODAY()-40)*([1]!Tabel1[[#This Row],[Er i resplan?]]&lt;&gt;"Ja")*([1]!Tabel1[[#This Row],[Status]]="Pågår")</f>
        <v>0</v>
      </c>
      <c r="AG1591" s="12">
        <f ca="1">[1]!Tabel1[[#This Row],[Vægtet Honorar]]*([1]!Tabel1[[#This Row],[Sidst redigeret]]&gt;TODAY()-40)*([1]!Tabel1[[#This Row],[Status]]="Pågår")</f>
        <v>1200000</v>
      </c>
      <c r="AH1591" s="13"/>
      <c r="AI1591" s="12"/>
      <c r="AJ1591" s="12"/>
      <c r="AK1591" s="12"/>
      <c r="AL1591" s="12"/>
      <c r="AM1591" s="12"/>
      <c r="AN1591" s="12"/>
      <c r="AO1591" s="12"/>
      <c r="AP1591" s="12"/>
    </row>
    <row r="1592" spans="1:42" ht="75">
      <c r="A1592" t="s">
        <v>5493</v>
      </c>
      <c r="B1592" s="8"/>
      <c r="C1592" s="8" t="s">
        <v>5494</v>
      </c>
      <c r="D1592" s="8" t="s">
        <v>896</v>
      </c>
      <c r="E1592" s="8" t="s">
        <v>94</v>
      </c>
      <c r="F1592" s="8" t="s">
        <v>589</v>
      </c>
      <c r="G1592" s="8" t="s">
        <v>767</v>
      </c>
      <c r="H1592" s="9">
        <v>3000000</v>
      </c>
      <c r="I1592" s="9">
        <f>[1]!Tabel1[[#This Row],[Honorar]]*[1]!Tabel1[[#This Row],[Sandsynlighed]]</f>
        <v>20000</v>
      </c>
      <c r="J1592" s="10" t="s">
        <v>585</v>
      </c>
      <c r="K1592" s="1" t="s">
        <v>2624</v>
      </c>
      <c r="L1592" s="17" t="s">
        <v>5495</v>
      </c>
      <c r="M1592" s="11">
        <v>0.01</v>
      </c>
      <c r="N1592" s="1"/>
      <c r="O1592" s="10">
        <v>46279.621516203704</v>
      </c>
      <c r="P1592" s="10" t="s">
        <v>4507</v>
      </c>
      <c r="Q1592" s="1" t="s">
        <v>72</v>
      </c>
      <c r="R1592" s="8" t="s">
        <v>343</v>
      </c>
      <c r="S159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9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9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9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9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9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9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9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9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9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9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9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9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92" s="12">
        <f ca="1">[1]!Tabel1[[#This Row],[Vægtet Honorar]]*([1]!Tabel1[[#This Row],[Sidst redigeret]]&gt;TODAY()-40)*([1]!Tabel1[[#This Row],[Er i resplan?]]&lt;&gt;"Ja")*([1]!Tabel1[[#This Row],[Status]]="Pågår")</f>
        <v>0</v>
      </c>
      <c r="AG1592" s="12">
        <f ca="1">[1]!Tabel1[[#This Row],[Vægtet Honorar]]*([1]!Tabel1[[#This Row],[Sidst redigeret]]&gt;TODAY()-40)*([1]!Tabel1[[#This Row],[Status]]="Pågår")</f>
        <v>20000</v>
      </c>
      <c r="AH1592" s="13"/>
      <c r="AI1592" s="12"/>
      <c r="AJ1592" s="12" t="s">
        <v>767</v>
      </c>
      <c r="AK1592" s="12"/>
      <c r="AL1592" s="12"/>
      <c r="AM1592" s="12"/>
      <c r="AN1592" s="12"/>
      <c r="AO1592" s="12"/>
      <c r="AP1592" s="12"/>
    </row>
    <row r="1593" spans="1:42" ht="30">
      <c r="A1593" t="s">
        <v>5496</v>
      </c>
      <c r="B1593" s="8"/>
      <c r="C1593" s="8" t="s">
        <v>5497</v>
      </c>
      <c r="D1593" s="8" t="s">
        <v>1468</v>
      </c>
      <c r="E1593" s="8" t="s">
        <v>167</v>
      </c>
      <c r="F1593" s="8" t="s">
        <v>5498</v>
      </c>
      <c r="G1593" s="8" t="s">
        <v>5498</v>
      </c>
      <c r="H1593" s="9">
        <v>500000</v>
      </c>
      <c r="I1593" s="9">
        <f>[1]!Tabel1[[#This Row],[Honorar]]*[1]!Tabel1[[#This Row],[Sandsynlighed]]</f>
        <v>21000000</v>
      </c>
      <c r="J1593" s="10" t="s">
        <v>1310</v>
      </c>
      <c r="K1593" s="1" t="s">
        <v>2405</v>
      </c>
      <c r="L1593" s="17" t="s">
        <v>5499</v>
      </c>
      <c r="M1593" s="11">
        <v>0.33</v>
      </c>
      <c r="N1593" s="1"/>
      <c r="O1593" s="10">
        <v>46279.621516203704</v>
      </c>
      <c r="P1593" s="10" t="s">
        <v>4507</v>
      </c>
      <c r="Q1593" s="1" t="s">
        <v>72</v>
      </c>
      <c r="R1593" s="8" t="s">
        <v>75</v>
      </c>
      <c r="S159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9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9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9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9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9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9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9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9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9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9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9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9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93" s="12">
        <f ca="1">[1]!Tabel1[[#This Row],[Vægtet Honorar]]*([1]!Tabel1[[#This Row],[Sidst redigeret]]&gt;TODAY()-40)*([1]!Tabel1[[#This Row],[Er i resplan?]]&lt;&gt;"Ja")*([1]!Tabel1[[#This Row],[Status]]="Pågår")</f>
        <v>0</v>
      </c>
      <c r="AG1593" s="12">
        <f ca="1">[1]!Tabel1[[#This Row],[Vægtet Honorar]]*([1]!Tabel1[[#This Row],[Sidst redigeret]]&gt;TODAY()-40)*([1]!Tabel1[[#This Row],[Status]]="Pågår")</f>
        <v>0</v>
      </c>
      <c r="AH1593" s="13">
        <v>46097</v>
      </c>
      <c r="AI1593" s="12"/>
      <c r="AJ1593" s="12"/>
      <c r="AK1593" s="12"/>
      <c r="AL1593" s="12"/>
      <c r="AM1593" s="12"/>
      <c r="AN1593" s="12"/>
      <c r="AO1593" s="12"/>
      <c r="AP1593" s="12"/>
    </row>
    <row r="1594" spans="1:42">
      <c r="A1594" t="s">
        <v>5500</v>
      </c>
      <c r="B1594" s="8"/>
      <c r="C1594" s="8" t="s">
        <v>5501</v>
      </c>
      <c r="D1594" s="8" t="s">
        <v>896</v>
      </c>
      <c r="E1594" s="8" t="s">
        <v>94</v>
      </c>
      <c r="F1594" s="8" t="s">
        <v>5502</v>
      </c>
      <c r="G1594" s="8" t="s">
        <v>5502</v>
      </c>
      <c r="H1594" s="9">
        <v>4000000</v>
      </c>
      <c r="I1594" s="9">
        <f>[1]!Tabel1[[#This Row],[Honorar]]*[1]!Tabel1[[#This Row],[Sandsynlighed]]</f>
        <v>37500</v>
      </c>
      <c r="J1594" s="10" t="s">
        <v>1310</v>
      </c>
      <c r="K1594" s="1" t="s">
        <v>2405</v>
      </c>
      <c r="L1594" s="17"/>
      <c r="M1594" s="11">
        <v>0.01</v>
      </c>
      <c r="N1594" s="1"/>
      <c r="O1594" s="10">
        <v>46279.621516203704</v>
      </c>
      <c r="P1594" s="10" t="s">
        <v>4507</v>
      </c>
      <c r="Q1594" s="1" t="s">
        <v>46</v>
      </c>
      <c r="R1594" s="8" t="s">
        <v>49</v>
      </c>
      <c r="S159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9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9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9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9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9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9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9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9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9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9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9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9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94" s="12">
        <f ca="1">[1]!Tabel1[[#This Row],[Vægtet Honorar]]*([1]!Tabel1[[#This Row],[Sidst redigeret]]&gt;TODAY()-40)*([1]!Tabel1[[#This Row],[Er i resplan?]]&lt;&gt;"Ja")*([1]!Tabel1[[#This Row],[Status]]="Pågår")</f>
        <v>37500</v>
      </c>
      <c r="AG1594" s="12">
        <f ca="1">[1]!Tabel1[[#This Row],[Vægtet Honorar]]*([1]!Tabel1[[#This Row],[Sidst redigeret]]&gt;TODAY()-40)*([1]!Tabel1[[#This Row],[Status]]="Pågår")</f>
        <v>37500</v>
      </c>
      <c r="AH1594" s="13"/>
      <c r="AI1594" s="12"/>
      <c r="AJ1594" s="12" t="s">
        <v>1864</v>
      </c>
      <c r="AK1594" s="12"/>
      <c r="AL1594" s="12"/>
      <c r="AM1594" s="12"/>
      <c r="AN1594" s="12"/>
      <c r="AO1594" s="12"/>
      <c r="AP1594" s="12"/>
    </row>
    <row r="1595" spans="1:42" ht="90">
      <c r="A1595" t="s">
        <v>5503</v>
      </c>
      <c r="B1595" s="8"/>
      <c r="C1595" s="8" t="s">
        <v>5504</v>
      </c>
      <c r="D1595" s="8" t="s">
        <v>4254</v>
      </c>
      <c r="E1595" s="8" t="s">
        <v>167</v>
      </c>
      <c r="F1595" s="8" t="s">
        <v>1152</v>
      </c>
      <c r="G1595" s="8" t="s">
        <v>5505</v>
      </c>
      <c r="H1595" s="9">
        <v>800000</v>
      </c>
      <c r="I1595" s="9">
        <f>[1]!Tabel1[[#This Row],[Honorar]]*[1]!Tabel1[[#This Row],[Sandsynlighed]]</f>
        <v>400000</v>
      </c>
      <c r="J1595" s="10" t="s">
        <v>1310</v>
      </c>
      <c r="K1595" s="1" t="s">
        <v>898</v>
      </c>
      <c r="L1595" s="17" t="s">
        <v>5506</v>
      </c>
      <c r="M1595" s="11">
        <v>0.5</v>
      </c>
      <c r="N1595" s="1"/>
      <c r="O1595" s="10">
        <v>46279.621516203704</v>
      </c>
      <c r="P1595" s="10" t="s">
        <v>4507</v>
      </c>
      <c r="Q1595" s="1" t="s">
        <v>46</v>
      </c>
      <c r="R1595" s="8" t="s">
        <v>343</v>
      </c>
      <c r="S159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9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9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9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9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9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9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9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9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9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9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9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9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95" s="12">
        <f ca="1">[1]!Tabel1[[#This Row],[Vægtet Honorar]]*([1]!Tabel1[[#This Row],[Sidst redigeret]]&gt;TODAY()-40)*([1]!Tabel1[[#This Row],[Er i resplan?]]&lt;&gt;"Ja")*([1]!Tabel1[[#This Row],[Status]]="Pågår")</f>
        <v>400000</v>
      </c>
      <c r="AG1595" s="12">
        <f ca="1">[1]!Tabel1[[#This Row],[Vægtet Honorar]]*([1]!Tabel1[[#This Row],[Sidst redigeret]]&gt;TODAY()-40)*([1]!Tabel1[[#This Row],[Status]]="Pågår")</f>
        <v>400000</v>
      </c>
      <c r="AH1595" s="13"/>
      <c r="AI1595" s="12"/>
      <c r="AJ1595" s="12"/>
      <c r="AK1595" s="12"/>
      <c r="AL1595" s="12"/>
      <c r="AM1595" s="12"/>
      <c r="AN1595" s="12"/>
      <c r="AO1595" s="12"/>
      <c r="AP1595" s="12"/>
    </row>
    <row r="1596" spans="1:42">
      <c r="A1596" t="s">
        <v>5507</v>
      </c>
      <c r="B1596" s="8"/>
      <c r="C1596" s="8" t="s">
        <v>5508</v>
      </c>
      <c r="D1596" s="8" t="s">
        <v>815</v>
      </c>
      <c r="E1596" s="8" t="s">
        <v>167</v>
      </c>
      <c r="F1596" s="8" t="s">
        <v>1705</v>
      </c>
      <c r="G1596" s="8" t="s">
        <v>1705</v>
      </c>
      <c r="H1596" s="9">
        <v>800000</v>
      </c>
      <c r="I1596" s="9">
        <f>[1]!Tabel1[[#This Row],[Honorar]]*[1]!Tabel1[[#This Row],[Sandsynlighed]]</f>
        <v>10000</v>
      </c>
      <c r="J1596" s="10" t="s">
        <v>585</v>
      </c>
      <c r="K1596" s="1" t="s">
        <v>898</v>
      </c>
      <c r="L1596" s="17"/>
      <c r="M1596" s="11">
        <v>0.25</v>
      </c>
      <c r="N1596" s="1"/>
      <c r="O1596" s="10">
        <v>46279.621516203704</v>
      </c>
      <c r="P1596" s="10" t="s">
        <v>4507</v>
      </c>
      <c r="Q1596" s="1" t="s">
        <v>46</v>
      </c>
      <c r="R1596" s="8" t="s">
        <v>343</v>
      </c>
      <c r="S159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9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9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9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9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9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9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9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9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9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9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9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9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96" s="12">
        <f ca="1">[1]!Tabel1[[#This Row],[Vægtet Honorar]]*([1]!Tabel1[[#This Row],[Sidst redigeret]]&gt;TODAY()-40)*([1]!Tabel1[[#This Row],[Er i resplan?]]&lt;&gt;"Ja")*([1]!Tabel1[[#This Row],[Status]]="Pågår")</f>
        <v>10000</v>
      </c>
      <c r="AG1596" s="12">
        <f ca="1">[1]!Tabel1[[#This Row],[Vægtet Honorar]]*([1]!Tabel1[[#This Row],[Sidst redigeret]]&gt;TODAY()-40)*([1]!Tabel1[[#This Row],[Status]]="Pågår")</f>
        <v>10000</v>
      </c>
      <c r="AH1596" s="13"/>
      <c r="AI1596" s="12"/>
      <c r="AJ1596" s="12"/>
      <c r="AK1596" s="12"/>
      <c r="AL1596" s="12"/>
      <c r="AM1596" s="12"/>
      <c r="AN1596" s="12"/>
      <c r="AO1596" s="12"/>
      <c r="AP1596" s="12"/>
    </row>
    <row r="1597" spans="1:42">
      <c r="A1597" t="s">
        <v>5509</v>
      </c>
      <c r="B1597" s="8"/>
      <c r="C1597" s="8" t="s">
        <v>5510</v>
      </c>
      <c r="D1597" s="8" t="s">
        <v>4829</v>
      </c>
      <c r="E1597" s="8" t="s">
        <v>102</v>
      </c>
      <c r="F1597" s="8" t="s">
        <v>1127</v>
      </c>
      <c r="G1597" s="8" t="s">
        <v>1127</v>
      </c>
      <c r="H1597" s="9">
        <v>2500000</v>
      </c>
      <c r="I1597" s="9">
        <f>[1]!Tabel1[[#This Row],[Honorar]]*[1]!Tabel1[[#This Row],[Sandsynlighed]]</f>
        <v>30000</v>
      </c>
      <c r="J1597" s="10" t="s">
        <v>1310</v>
      </c>
      <c r="K1597" s="1" t="s">
        <v>1861</v>
      </c>
      <c r="L1597" s="17"/>
      <c r="M1597" s="11">
        <v>0.15</v>
      </c>
      <c r="N1597" s="1"/>
      <c r="O1597" s="10">
        <v>46279.621516203704</v>
      </c>
      <c r="P1597" s="10" t="s">
        <v>4507</v>
      </c>
      <c r="Q1597" s="1" t="s">
        <v>72</v>
      </c>
      <c r="R1597" s="8" t="s">
        <v>343</v>
      </c>
      <c r="S159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9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9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9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9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9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9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9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9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9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9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9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9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97" s="12">
        <f ca="1">[1]!Tabel1[[#This Row],[Vægtet Honorar]]*([1]!Tabel1[[#This Row],[Sidst redigeret]]&gt;TODAY()-40)*([1]!Tabel1[[#This Row],[Er i resplan?]]&lt;&gt;"Ja")*([1]!Tabel1[[#This Row],[Status]]="Pågår")</f>
        <v>30000</v>
      </c>
      <c r="AG1597" s="12">
        <f ca="1">[1]!Tabel1[[#This Row],[Vægtet Honorar]]*([1]!Tabel1[[#This Row],[Sidst redigeret]]&gt;TODAY()-40)*([1]!Tabel1[[#This Row],[Status]]="Pågår")</f>
        <v>30000</v>
      </c>
      <c r="AH1597" s="13"/>
      <c r="AI1597" s="12"/>
      <c r="AJ1597" s="12"/>
      <c r="AK1597" s="12"/>
      <c r="AL1597" s="12"/>
      <c r="AM1597" s="12"/>
      <c r="AN1597" s="12"/>
      <c r="AO1597" s="12"/>
      <c r="AP1597" s="12"/>
    </row>
    <row r="1598" spans="1:42">
      <c r="A1598" t="s">
        <v>5511</v>
      </c>
      <c r="B1598" s="8"/>
      <c r="C1598" s="8" t="s">
        <v>5512</v>
      </c>
      <c r="D1598" s="8" t="s">
        <v>2886</v>
      </c>
      <c r="E1598" s="8" t="s">
        <v>120</v>
      </c>
      <c r="F1598" s="8" t="s">
        <v>3252</v>
      </c>
      <c r="G1598" s="8" t="s">
        <v>3252</v>
      </c>
      <c r="H1598" s="9">
        <v>84500</v>
      </c>
      <c r="I1598" s="9">
        <f>[1]!Tabel1[[#This Row],[Honorar]]*[1]!Tabel1[[#This Row],[Sandsynlighed]]</f>
        <v>165000</v>
      </c>
      <c r="J1598" s="10" t="s">
        <v>1310</v>
      </c>
      <c r="K1598" s="1" t="s">
        <v>2405</v>
      </c>
      <c r="L1598" s="17"/>
      <c r="M1598" s="11">
        <v>0.5</v>
      </c>
      <c r="N1598" s="1"/>
      <c r="O1598" s="10">
        <v>46279.621516203704</v>
      </c>
      <c r="P1598" s="10" t="s">
        <v>4507</v>
      </c>
      <c r="Q1598" s="1" t="s">
        <v>72</v>
      </c>
      <c r="R1598" s="8" t="s">
        <v>343</v>
      </c>
      <c r="S159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9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9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9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9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9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9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9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9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9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9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9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9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98" s="12">
        <f ca="1">[1]!Tabel1[[#This Row],[Vægtet Honorar]]*([1]!Tabel1[[#This Row],[Sidst redigeret]]&gt;TODAY()-40)*([1]!Tabel1[[#This Row],[Er i resplan?]]&lt;&gt;"Ja")*([1]!Tabel1[[#This Row],[Status]]="Pågår")</f>
        <v>0</v>
      </c>
      <c r="AG1598" s="12">
        <f ca="1">[1]!Tabel1[[#This Row],[Vægtet Honorar]]*([1]!Tabel1[[#This Row],[Sidst redigeret]]&gt;TODAY()-40)*([1]!Tabel1[[#This Row],[Status]]="Pågår")</f>
        <v>0</v>
      </c>
      <c r="AH1598" s="13"/>
      <c r="AI1598" s="12"/>
      <c r="AJ1598" s="12" t="s">
        <v>3252</v>
      </c>
      <c r="AK1598" s="12"/>
      <c r="AL1598" s="12"/>
      <c r="AM1598" s="12"/>
      <c r="AN1598" s="12"/>
      <c r="AO1598" s="12"/>
      <c r="AP1598" s="12"/>
    </row>
    <row r="1599" spans="1:42">
      <c r="A1599" t="s">
        <v>5513</v>
      </c>
      <c r="B1599" s="8"/>
      <c r="C1599" s="8" t="s">
        <v>5514</v>
      </c>
      <c r="D1599" s="8" t="s">
        <v>1468</v>
      </c>
      <c r="E1599" s="8" t="s">
        <v>167</v>
      </c>
      <c r="F1599" s="8" t="s">
        <v>2183</v>
      </c>
      <c r="G1599" s="8" t="s">
        <v>5515</v>
      </c>
      <c r="H1599" s="9">
        <v>500000</v>
      </c>
      <c r="I1599" s="9">
        <f>[1]!Tabel1[[#This Row],[Honorar]]*[1]!Tabel1[[#This Row],[Sandsynlighed]]</f>
        <v>40000</v>
      </c>
      <c r="J1599" s="10" t="s">
        <v>1310</v>
      </c>
      <c r="K1599" s="1" t="s">
        <v>1861</v>
      </c>
      <c r="L1599" s="17"/>
      <c r="M1599" s="11">
        <v>0.33</v>
      </c>
      <c r="N1599" s="1"/>
      <c r="O1599" s="10">
        <v>46279.621516203704</v>
      </c>
      <c r="P1599" s="10" t="s">
        <v>4507</v>
      </c>
      <c r="Q1599" s="1" t="s">
        <v>72</v>
      </c>
      <c r="R1599" s="8" t="s">
        <v>75</v>
      </c>
      <c r="S159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59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59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59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59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59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59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59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59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59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59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59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59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599" s="12">
        <f ca="1">[1]!Tabel1[[#This Row],[Vægtet Honorar]]*([1]!Tabel1[[#This Row],[Sidst redigeret]]&gt;TODAY()-40)*([1]!Tabel1[[#This Row],[Er i resplan?]]&lt;&gt;"Ja")*([1]!Tabel1[[#This Row],[Status]]="Pågår")</f>
        <v>0</v>
      </c>
      <c r="AG1599" s="12">
        <f ca="1">[1]!Tabel1[[#This Row],[Vægtet Honorar]]*([1]!Tabel1[[#This Row],[Sidst redigeret]]&gt;TODAY()-40)*([1]!Tabel1[[#This Row],[Status]]="Pågår")</f>
        <v>0</v>
      </c>
      <c r="AH1599" s="13">
        <v>46099</v>
      </c>
      <c r="AI1599" s="12"/>
      <c r="AJ1599" s="12"/>
      <c r="AK1599" s="12"/>
      <c r="AL1599" s="12"/>
      <c r="AM1599" s="12"/>
      <c r="AN1599" s="12"/>
      <c r="AO1599" s="12"/>
      <c r="AP1599" s="12"/>
    </row>
    <row r="1600" spans="1:42" ht="45">
      <c r="A1600" t="s">
        <v>5516</v>
      </c>
      <c r="B1600" s="8"/>
      <c r="C1600" s="8" t="s">
        <v>5517</v>
      </c>
      <c r="D1600" s="8" t="s">
        <v>1771</v>
      </c>
      <c r="E1600" s="8" t="s">
        <v>167</v>
      </c>
      <c r="F1600" s="8" t="s">
        <v>5518</v>
      </c>
      <c r="G1600" s="8" t="s">
        <v>671</v>
      </c>
      <c r="H1600" s="9">
        <v>1000000</v>
      </c>
      <c r="I1600" s="9">
        <f>[1]!Tabel1[[#This Row],[Honorar]]*[1]!Tabel1[[#This Row],[Sandsynlighed]]</f>
        <v>400000</v>
      </c>
      <c r="J1600" s="10" t="s">
        <v>1323</v>
      </c>
      <c r="K1600" s="1" t="s">
        <v>898</v>
      </c>
      <c r="L1600" s="17" t="s">
        <v>5519</v>
      </c>
      <c r="M1600" s="11">
        <v>0</v>
      </c>
      <c r="N1600" s="1" t="s">
        <v>5520</v>
      </c>
      <c r="O1600" s="10">
        <v>46279.621516203704</v>
      </c>
      <c r="P1600" s="10"/>
      <c r="Q1600" s="1" t="s">
        <v>72</v>
      </c>
      <c r="R1600" s="8" t="s">
        <v>5521</v>
      </c>
      <c r="S160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0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0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0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0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0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0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0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0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0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0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0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0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00" s="12">
        <f ca="1">[1]!Tabel1[[#This Row],[Vægtet Honorar]]*([1]!Tabel1[[#This Row],[Sidst redigeret]]&gt;TODAY()-40)*([1]!Tabel1[[#This Row],[Er i resplan?]]&lt;&gt;"Ja")*([1]!Tabel1[[#This Row],[Status]]="Pågår")</f>
        <v>0</v>
      </c>
      <c r="AG1600" s="12">
        <f ca="1">[1]!Tabel1[[#This Row],[Vægtet Honorar]]*([1]!Tabel1[[#This Row],[Sidst redigeret]]&gt;TODAY()-40)*([1]!Tabel1[[#This Row],[Status]]="Pågår")</f>
        <v>400000</v>
      </c>
      <c r="AH1600" s="13">
        <v>46101</v>
      </c>
      <c r="AI1600" s="12"/>
      <c r="AJ1600" s="12"/>
      <c r="AK1600" s="12"/>
      <c r="AL1600" s="12"/>
      <c r="AM1600" s="12"/>
      <c r="AN1600" s="12"/>
      <c r="AO1600" s="12"/>
      <c r="AP1600" s="12"/>
    </row>
    <row r="1601" spans="1:42" ht="45">
      <c r="A1601" t="s">
        <v>5522</v>
      </c>
      <c r="B1601" s="8"/>
      <c r="C1601" s="8" t="s">
        <v>5523</v>
      </c>
      <c r="D1601" s="8" t="s">
        <v>1771</v>
      </c>
      <c r="E1601" s="8" t="s">
        <v>167</v>
      </c>
      <c r="F1601" s="8" t="s">
        <v>5518</v>
      </c>
      <c r="G1601" s="8" t="s">
        <v>671</v>
      </c>
      <c r="H1601" s="9">
        <v>1000000</v>
      </c>
      <c r="I1601" s="9">
        <f>[1]!Tabel1[[#This Row],[Honorar]]*[1]!Tabel1[[#This Row],[Sandsynlighed]]</f>
        <v>200000</v>
      </c>
      <c r="J1601" s="10" t="s">
        <v>1323</v>
      </c>
      <c r="K1601" s="1" t="s">
        <v>898</v>
      </c>
      <c r="L1601" s="17" t="s">
        <v>5519</v>
      </c>
      <c r="M1601" s="11">
        <v>0</v>
      </c>
      <c r="N1601" s="1" t="s">
        <v>5520</v>
      </c>
      <c r="O1601" s="10">
        <v>46279.621516203704</v>
      </c>
      <c r="P1601" s="10"/>
      <c r="Q1601" s="1" t="s">
        <v>72</v>
      </c>
      <c r="R1601" s="8" t="s">
        <v>49</v>
      </c>
      <c r="S160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0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0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0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0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0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0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0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0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0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0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0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0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01" s="12">
        <f ca="1">[1]!Tabel1[[#This Row],[Vægtet Honorar]]*([1]!Tabel1[[#This Row],[Sidst redigeret]]&gt;TODAY()-40)*([1]!Tabel1[[#This Row],[Er i resplan?]]&lt;&gt;"Ja")*([1]!Tabel1[[#This Row],[Status]]="Pågår")</f>
        <v>0</v>
      </c>
      <c r="AG1601" s="12">
        <f ca="1">[1]!Tabel1[[#This Row],[Vægtet Honorar]]*([1]!Tabel1[[#This Row],[Sidst redigeret]]&gt;TODAY()-40)*([1]!Tabel1[[#This Row],[Status]]="Pågår")</f>
        <v>200000</v>
      </c>
      <c r="AH1601" s="13">
        <v>46101</v>
      </c>
      <c r="AI1601" s="12"/>
      <c r="AJ1601" s="12"/>
      <c r="AK1601" s="12"/>
      <c r="AL1601" s="12"/>
      <c r="AM1601" s="12"/>
      <c r="AN1601" s="12"/>
      <c r="AO1601" s="12"/>
      <c r="AP1601" s="12"/>
    </row>
    <row r="1602" spans="1:42">
      <c r="A1602" t="s">
        <v>5524</v>
      </c>
      <c r="B1602" s="8"/>
      <c r="C1602" s="8" t="s">
        <v>5525</v>
      </c>
      <c r="D1602" s="8" t="s">
        <v>1771</v>
      </c>
      <c r="E1602" s="8" t="s">
        <v>167</v>
      </c>
      <c r="F1602" s="8" t="s">
        <v>5526</v>
      </c>
      <c r="G1602" s="8" t="s">
        <v>5309</v>
      </c>
      <c r="H1602" s="9">
        <v>1000000</v>
      </c>
      <c r="I1602" s="9">
        <f>[1]!Tabel1[[#This Row],[Honorar]]*[1]!Tabel1[[#This Row],[Sandsynlighed]]</f>
        <v>375000</v>
      </c>
      <c r="J1602" s="10" t="s">
        <v>1310</v>
      </c>
      <c r="K1602" s="1" t="s">
        <v>1861</v>
      </c>
      <c r="L1602" s="17"/>
      <c r="M1602" s="11">
        <v>0.5</v>
      </c>
      <c r="N1602" s="1"/>
      <c r="O1602" s="10">
        <v>46279.621516203704</v>
      </c>
      <c r="P1602" s="10" t="s">
        <v>4507</v>
      </c>
      <c r="Q1602" s="1" t="s">
        <v>4507</v>
      </c>
      <c r="R1602" s="8" t="s">
        <v>343</v>
      </c>
      <c r="S160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0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0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0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0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0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0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0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0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0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0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0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0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02" s="12">
        <f ca="1">[1]!Tabel1[[#This Row],[Vægtet Honorar]]*([1]!Tabel1[[#This Row],[Sidst redigeret]]&gt;TODAY()-40)*([1]!Tabel1[[#This Row],[Er i resplan?]]&lt;&gt;"Ja")*([1]!Tabel1[[#This Row],[Status]]="Pågår")</f>
        <v>375000</v>
      </c>
      <c r="AG1602" s="12">
        <f ca="1">[1]!Tabel1[[#This Row],[Vægtet Honorar]]*([1]!Tabel1[[#This Row],[Sidst redigeret]]&gt;TODAY()-40)*([1]!Tabel1[[#This Row],[Status]]="Pågår")</f>
        <v>375000</v>
      </c>
      <c r="AH1602" s="13"/>
      <c r="AI1602" s="12"/>
      <c r="AJ1602" s="12"/>
      <c r="AK1602" s="12"/>
      <c r="AL1602" s="12"/>
      <c r="AM1602" s="12"/>
      <c r="AN1602" s="12"/>
      <c r="AO1602" s="12"/>
      <c r="AP1602" s="12"/>
    </row>
    <row r="1603" spans="1:42">
      <c r="A1603" t="s">
        <v>5527</v>
      </c>
      <c r="B1603" s="8"/>
      <c r="C1603" s="8" t="s">
        <v>5528</v>
      </c>
      <c r="D1603" s="8" t="s">
        <v>70</v>
      </c>
      <c r="E1603" s="8" t="s">
        <v>102</v>
      </c>
      <c r="F1603" s="8" t="s">
        <v>5529</v>
      </c>
      <c r="G1603" s="8" t="s">
        <v>5529</v>
      </c>
      <c r="H1603" s="9">
        <v>3500000</v>
      </c>
      <c r="I1603" s="9">
        <f>[1]!Tabel1[[#This Row],[Honorar]]*[1]!Tabel1[[#This Row],[Sandsynlighed]]</f>
        <v>42250</v>
      </c>
      <c r="J1603" s="10" t="s">
        <v>1310</v>
      </c>
      <c r="K1603" s="1" t="s">
        <v>1861</v>
      </c>
      <c r="L1603" s="17"/>
      <c r="M1603" s="11">
        <v>0.25</v>
      </c>
      <c r="N1603" s="1">
        <v>6000</v>
      </c>
      <c r="O1603" s="10">
        <v>46279.621516203704</v>
      </c>
      <c r="P1603" s="10" t="s">
        <v>4507</v>
      </c>
      <c r="Q1603" s="1" t="s">
        <v>72</v>
      </c>
      <c r="R1603" s="8" t="s">
        <v>343</v>
      </c>
      <c r="S160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0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0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0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0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0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0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0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0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0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0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0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0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03" s="12">
        <f ca="1">[1]!Tabel1[[#This Row],[Vægtet Honorar]]*([1]!Tabel1[[#This Row],[Sidst redigeret]]&gt;TODAY()-40)*([1]!Tabel1[[#This Row],[Er i resplan?]]&lt;&gt;"Ja")*([1]!Tabel1[[#This Row],[Status]]="Pågår")</f>
        <v>42250</v>
      </c>
      <c r="AG1603" s="12">
        <f ca="1">[1]!Tabel1[[#This Row],[Vægtet Honorar]]*([1]!Tabel1[[#This Row],[Sidst redigeret]]&gt;TODAY()-40)*([1]!Tabel1[[#This Row],[Status]]="Pågår")</f>
        <v>42250</v>
      </c>
      <c r="AH1603" s="13"/>
      <c r="AI1603" s="12"/>
      <c r="AJ1603" s="12"/>
      <c r="AK1603" s="12"/>
      <c r="AL1603" s="12"/>
      <c r="AM1603" s="12"/>
      <c r="AN1603" s="12"/>
      <c r="AO1603" s="12"/>
      <c r="AP1603" s="12"/>
    </row>
    <row r="1604" spans="1:42" ht="45">
      <c r="A1604" t="s">
        <v>5530</v>
      </c>
      <c r="B1604" s="8"/>
      <c r="C1604" s="8" t="s">
        <v>5531</v>
      </c>
      <c r="D1604" s="8" t="s">
        <v>134</v>
      </c>
      <c r="E1604" s="8" t="s">
        <v>94</v>
      </c>
      <c r="F1604" s="8" t="s">
        <v>460</v>
      </c>
      <c r="G1604" s="8" t="s">
        <v>460</v>
      </c>
      <c r="H1604" s="9">
        <v>80000</v>
      </c>
      <c r="I1604" s="9">
        <f>[1]!Tabel1[[#This Row],[Honorar]]*[1]!Tabel1[[#This Row],[Sandsynlighed]]</f>
        <v>165000</v>
      </c>
      <c r="J1604" s="10" t="s">
        <v>1310</v>
      </c>
      <c r="K1604" s="1" t="s">
        <v>1310</v>
      </c>
      <c r="L1604" s="17" t="s">
        <v>5532</v>
      </c>
      <c r="M1604" s="11">
        <v>0.5</v>
      </c>
      <c r="N1604" s="1" t="s">
        <v>777</v>
      </c>
      <c r="O1604" s="10">
        <v>46279.621516203704</v>
      </c>
      <c r="P1604" s="10" t="s">
        <v>4507</v>
      </c>
      <c r="Q1604" s="1" t="s">
        <v>46</v>
      </c>
      <c r="R1604" s="8" t="s">
        <v>47</v>
      </c>
      <c r="S160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0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0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0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0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0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0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0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0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0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0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0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0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04" s="12">
        <f ca="1">[1]!Tabel1[[#This Row],[Vægtet Honorar]]*([1]!Tabel1[[#This Row],[Sidst redigeret]]&gt;TODAY()-40)*([1]!Tabel1[[#This Row],[Er i resplan?]]&lt;&gt;"Ja")*([1]!Tabel1[[#This Row],[Status]]="Pågår")</f>
        <v>0</v>
      </c>
      <c r="AG1604" s="12">
        <f ca="1">[1]!Tabel1[[#This Row],[Vægtet Honorar]]*([1]!Tabel1[[#This Row],[Sidst redigeret]]&gt;TODAY()-40)*([1]!Tabel1[[#This Row],[Status]]="Pågår")</f>
        <v>0</v>
      </c>
      <c r="AH1604" s="13">
        <v>46266.406666666669</v>
      </c>
      <c r="AI1604" s="12"/>
      <c r="AJ1604" s="12"/>
      <c r="AK1604" s="12"/>
      <c r="AL1604" s="12"/>
      <c r="AM1604" s="12"/>
      <c r="AN1604" s="12"/>
      <c r="AO1604" s="12"/>
      <c r="AP1604" s="12"/>
    </row>
    <row r="1605" spans="1:42">
      <c r="A1605" t="s">
        <v>5533</v>
      </c>
      <c r="B1605" s="8"/>
      <c r="C1605" s="8" t="s">
        <v>5534</v>
      </c>
      <c r="D1605" s="8" t="s">
        <v>720</v>
      </c>
      <c r="E1605" s="8" t="s">
        <v>71</v>
      </c>
      <c r="F1605" s="8" t="s">
        <v>1477</v>
      </c>
      <c r="G1605" s="8" t="s">
        <v>2135</v>
      </c>
      <c r="H1605" s="9">
        <v>500000</v>
      </c>
      <c r="I1605" s="9">
        <f>[1]!Tabel1[[#This Row],[Honorar]]*[1]!Tabel1[[#This Row],[Sandsynlighed]]</f>
        <v>0</v>
      </c>
      <c r="J1605" s="10" t="s">
        <v>1310</v>
      </c>
      <c r="K1605" s="1" t="s">
        <v>2405</v>
      </c>
      <c r="L1605" s="17"/>
      <c r="M1605" s="11">
        <v>0.05</v>
      </c>
      <c r="N1605" s="1">
        <v>800</v>
      </c>
      <c r="O1605" s="10">
        <v>46279.621516203704</v>
      </c>
      <c r="P1605" s="10" t="s">
        <v>4507</v>
      </c>
      <c r="Q1605" s="1" t="s">
        <v>72</v>
      </c>
      <c r="R1605" s="8" t="s">
        <v>343</v>
      </c>
      <c r="S160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0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0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0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0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0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0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0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0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0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0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0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0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05" s="12">
        <f ca="1">[1]!Tabel1[[#This Row],[Vægtet Honorar]]*([1]!Tabel1[[#This Row],[Sidst redigeret]]&gt;TODAY()-40)*([1]!Tabel1[[#This Row],[Er i resplan?]]&lt;&gt;"Ja")*([1]!Tabel1[[#This Row],[Status]]="Pågår")</f>
        <v>0</v>
      </c>
      <c r="AG1605" s="12">
        <f ca="1">[1]!Tabel1[[#This Row],[Vægtet Honorar]]*([1]!Tabel1[[#This Row],[Sidst redigeret]]&gt;TODAY()-40)*([1]!Tabel1[[#This Row],[Status]]="Pågår")</f>
        <v>0</v>
      </c>
      <c r="AH1605" s="13"/>
      <c r="AI1605" s="12"/>
      <c r="AJ1605" s="12"/>
      <c r="AK1605" s="12"/>
      <c r="AL1605" s="12"/>
      <c r="AM1605" s="12"/>
      <c r="AN1605" s="12"/>
      <c r="AO1605" s="12"/>
      <c r="AP1605" s="12"/>
    </row>
    <row r="1606" spans="1:42" ht="90">
      <c r="A1606" t="s">
        <v>5535</v>
      </c>
      <c r="B1606" s="8"/>
      <c r="C1606" s="8" t="s">
        <v>5536</v>
      </c>
      <c r="D1606" s="8" t="s">
        <v>2368</v>
      </c>
      <c r="E1606" s="8" t="s">
        <v>94</v>
      </c>
      <c r="F1606" s="8" t="s">
        <v>844</v>
      </c>
      <c r="G1606" s="8" t="s">
        <v>844</v>
      </c>
      <c r="H1606" s="9">
        <v>3000000</v>
      </c>
      <c r="I1606" s="9">
        <f>[1]!Tabel1[[#This Row],[Honorar]]*[1]!Tabel1[[#This Row],[Sandsynlighed]]</f>
        <v>0</v>
      </c>
      <c r="J1606" s="10" t="s">
        <v>1310</v>
      </c>
      <c r="K1606" s="1" t="s">
        <v>1430</v>
      </c>
      <c r="L1606" s="17" t="s">
        <v>5537</v>
      </c>
      <c r="M1606" s="11">
        <v>0.2</v>
      </c>
      <c r="N1606" s="1">
        <v>125533</v>
      </c>
      <c r="O1606" s="10">
        <v>46279.621516203704</v>
      </c>
      <c r="P1606" s="10" t="s">
        <v>4507</v>
      </c>
      <c r="Q1606" s="1" t="s">
        <v>72</v>
      </c>
      <c r="R1606" s="8" t="s">
        <v>343</v>
      </c>
      <c r="S160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0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0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0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0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0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0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0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0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0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0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0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0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06" s="12">
        <f ca="1">[1]!Tabel1[[#This Row],[Vægtet Honorar]]*([1]!Tabel1[[#This Row],[Sidst redigeret]]&gt;TODAY()-40)*([1]!Tabel1[[#This Row],[Er i resplan?]]&lt;&gt;"Ja")*([1]!Tabel1[[#This Row],[Status]]="Pågår")</f>
        <v>0</v>
      </c>
      <c r="AG1606" s="12">
        <f ca="1">[1]!Tabel1[[#This Row],[Vægtet Honorar]]*([1]!Tabel1[[#This Row],[Sidst redigeret]]&gt;TODAY()-40)*([1]!Tabel1[[#This Row],[Status]]="Pågår")</f>
        <v>0</v>
      </c>
      <c r="AH1606" s="13"/>
      <c r="AI1606" s="12"/>
      <c r="AJ1606" s="12"/>
      <c r="AK1606" s="12"/>
      <c r="AL1606" s="12"/>
      <c r="AM1606" s="12"/>
      <c r="AN1606" s="12"/>
      <c r="AO1606" s="12"/>
      <c r="AP1606" s="12"/>
    </row>
    <row r="1607" spans="1:42" ht="45">
      <c r="A1607" t="s">
        <v>5538</v>
      </c>
      <c r="B1607" s="8"/>
      <c r="C1607" s="8" t="s">
        <v>5539</v>
      </c>
      <c r="D1607" s="8" t="s">
        <v>720</v>
      </c>
      <c r="E1607" s="8" t="s">
        <v>71</v>
      </c>
      <c r="F1607" s="8" t="s">
        <v>940</v>
      </c>
      <c r="G1607" s="8" t="s">
        <v>3668</v>
      </c>
      <c r="H1607" s="9">
        <v>1000000</v>
      </c>
      <c r="I1607" s="9">
        <f>[1]!Tabel1[[#This Row],[Honorar]]*[1]!Tabel1[[#This Row],[Sandsynlighed]]</f>
        <v>500000</v>
      </c>
      <c r="J1607" s="10" t="s">
        <v>342</v>
      </c>
      <c r="K1607" s="1" t="s">
        <v>1430</v>
      </c>
      <c r="L1607" s="17" t="s">
        <v>5540</v>
      </c>
      <c r="M1607" s="11">
        <v>0.02</v>
      </c>
      <c r="N1607" s="1">
        <v>500</v>
      </c>
      <c r="O1607" s="10">
        <v>46279.621516203704</v>
      </c>
      <c r="P1607" s="10" t="s">
        <v>4507</v>
      </c>
      <c r="Q1607" s="1" t="s">
        <v>72</v>
      </c>
      <c r="R1607" s="8" t="s">
        <v>343</v>
      </c>
      <c r="S160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0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0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0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0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0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0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0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0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0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0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0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0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07" s="12">
        <f ca="1">[1]!Tabel1[[#This Row],[Vægtet Honorar]]*([1]!Tabel1[[#This Row],[Sidst redigeret]]&gt;TODAY()-40)*([1]!Tabel1[[#This Row],[Er i resplan?]]&lt;&gt;"Ja")*([1]!Tabel1[[#This Row],[Status]]="Pågår")</f>
        <v>0</v>
      </c>
      <c r="AG1607" s="12">
        <f ca="1">[1]!Tabel1[[#This Row],[Vægtet Honorar]]*([1]!Tabel1[[#This Row],[Sidst redigeret]]&gt;TODAY()-40)*([1]!Tabel1[[#This Row],[Status]]="Pågår")</f>
        <v>500000</v>
      </c>
      <c r="AH1607" s="13"/>
      <c r="AI1607" s="12"/>
      <c r="AJ1607" s="12" t="s">
        <v>3668</v>
      </c>
      <c r="AK1607" s="12"/>
      <c r="AL1607" s="12"/>
      <c r="AM1607" s="12"/>
      <c r="AN1607" s="12"/>
      <c r="AO1607" s="12"/>
      <c r="AP1607" s="12"/>
    </row>
    <row r="1608" spans="1:42" ht="60">
      <c r="A1608" t="s">
        <v>5541</v>
      </c>
      <c r="B1608" s="8"/>
      <c r="C1608" s="8" t="s">
        <v>5542</v>
      </c>
      <c r="D1608" s="8" t="s">
        <v>70</v>
      </c>
      <c r="E1608" s="8" t="s">
        <v>102</v>
      </c>
      <c r="F1608" s="8" t="s">
        <v>5543</v>
      </c>
      <c r="G1608" s="8" t="s">
        <v>5543</v>
      </c>
      <c r="H1608" s="9">
        <v>750000</v>
      </c>
      <c r="I1608" s="9">
        <f>[1]!Tabel1[[#This Row],[Honorar]]*[1]!Tabel1[[#This Row],[Sandsynlighed]]</f>
        <v>875000</v>
      </c>
      <c r="J1608" s="10" t="s">
        <v>1310</v>
      </c>
      <c r="K1608" s="1" t="s">
        <v>2405</v>
      </c>
      <c r="L1608" s="17" t="s">
        <v>5544</v>
      </c>
      <c r="M1608" s="11">
        <v>0.05</v>
      </c>
      <c r="N1608" s="1"/>
      <c r="O1608" s="10">
        <v>46279.621516203704</v>
      </c>
      <c r="P1608" s="10" t="s">
        <v>5545</v>
      </c>
      <c r="Q1608" s="1" t="s">
        <v>72</v>
      </c>
      <c r="R1608" s="8" t="s">
        <v>343</v>
      </c>
      <c r="S160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0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0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0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0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0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0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0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0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0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0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0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0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08" s="12">
        <f ca="1">[1]!Tabel1[[#This Row],[Vægtet Honorar]]*([1]!Tabel1[[#This Row],[Sidst redigeret]]&gt;TODAY()-40)*([1]!Tabel1[[#This Row],[Er i resplan?]]&lt;&gt;"Ja")*([1]!Tabel1[[#This Row],[Status]]="Pågår")</f>
        <v>875000</v>
      </c>
      <c r="AG1608" s="12">
        <f ca="1">[1]!Tabel1[[#This Row],[Vægtet Honorar]]*([1]!Tabel1[[#This Row],[Sidst redigeret]]&gt;TODAY()-40)*([1]!Tabel1[[#This Row],[Status]]="Pågår")</f>
        <v>875000</v>
      </c>
      <c r="AH1608" s="13"/>
      <c r="AI1608" s="12"/>
      <c r="AJ1608" s="12"/>
      <c r="AK1608" s="12"/>
      <c r="AL1608" s="12"/>
      <c r="AM1608" s="12"/>
      <c r="AN1608" s="12"/>
      <c r="AO1608" s="12"/>
      <c r="AP1608" s="12"/>
    </row>
    <row r="1609" spans="1:42" ht="60">
      <c r="A1609" t="s">
        <v>5546</v>
      </c>
      <c r="B1609" s="8"/>
      <c r="C1609" s="8" t="s">
        <v>5547</v>
      </c>
      <c r="D1609" s="8" t="s">
        <v>70</v>
      </c>
      <c r="E1609" s="8" t="s">
        <v>102</v>
      </c>
      <c r="F1609" s="8" t="s">
        <v>5548</v>
      </c>
      <c r="G1609" s="8" t="s">
        <v>5548</v>
      </c>
      <c r="H1609" s="9">
        <v>500000</v>
      </c>
      <c r="I1609" s="9">
        <f>[1]!Tabel1[[#This Row],[Honorar]]*[1]!Tabel1[[#This Row],[Sandsynlighed]]</f>
        <v>40000</v>
      </c>
      <c r="J1609" s="10" t="s">
        <v>1310</v>
      </c>
      <c r="K1609" s="1" t="s">
        <v>2405</v>
      </c>
      <c r="L1609" s="17" t="s">
        <v>5549</v>
      </c>
      <c r="M1609" s="11">
        <v>0.05</v>
      </c>
      <c r="N1609" s="1"/>
      <c r="O1609" s="10">
        <v>46279.621516203704</v>
      </c>
      <c r="P1609" s="10" t="s">
        <v>5550</v>
      </c>
      <c r="Q1609" s="1" t="s">
        <v>72</v>
      </c>
      <c r="R1609" s="8" t="s">
        <v>343</v>
      </c>
      <c r="S160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0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0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0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0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0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0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0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0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0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0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0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0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09" s="12">
        <f ca="1">[1]!Tabel1[[#This Row],[Vægtet Honorar]]*([1]!Tabel1[[#This Row],[Sidst redigeret]]&gt;TODAY()-40)*([1]!Tabel1[[#This Row],[Er i resplan?]]&lt;&gt;"Ja")*([1]!Tabel1[[#This Row],[Status]]="Pågår")</f>
        <v>0</v>
      </c>
      <c r="AG1609" s="12">
        <f ca="1">[1]!Tabel1[[#This Row],[Vægtet Honorar]]*([1]!Tabel1[[#This Row],[Sidst redigeret]]&gt;TODAY()-40)*([1]!Tabel1[[#This Row],[Status]]="Pågår")</f>
        <v>0</v>
      </c>
      <c r="AH1609" s="13"/>
      <c r="AI1609" s="12"/>
      <c r="AJ1609" s="12"/>
      <c r="AK1609" s="12"/>
      <c r="AL1609" s="12"/>
      <c r="AM1609" s="12"/>
      <c r="AN1609" s="12"/>
      <c r="AO1609" s="12"/>
      <c r="AP1609" s="12"/>
    </row>
    <row r="1610" spans="1:42" ht="60">
      <c r="A1610" t="s">
        <v>5551</v>
      </c>
      <c r="B1610" s="8"/>
      <c r="C1610" s="8" t="s">
        <v>5552</v>
      </c>
      <c r="D1610" s="8" t="s">
        <v>70</v>
      </c>
      <c r="E1610" s="8" t="s">
        <v>102</v>
      </c>
      <c r="F1610" s="8" t="s">
        <v>5553</v>
      </c>
      <c r="G1610" s="8" t="s">
        <v>5553</v>
      </c>
      <c r="H1610" s="9">
        <v>200000</v>
      </c>
      <c r="I1610" s="9">
        <f>[1]!Tabel1[[#This Row],[Honorar]]*[1]!Tabel1[[#This Row],[Sandsynlighed]]</f>
        <v>25000</v>
      </c>
      <c r="J1610" s="10" t="s">
        <v>1310</v>
      </c>
      <c r="K1610" s="1" t="s">
        <v>2405</v>
      </c>
      <c r="L1610" s="17" t="s">
        <v>5554</v>
      </c>
      <c r="M1610" s="11">
        <v>0.25</v>
      </c>
      <c r="N1610" s="1" t="s">
        <v>5555</v>
      </c>
      <c r="O1610" s="10">
        <v>46279.621516203704</v>
      </c>
      <c r="P1610" s="10" t="s">
        <v>5556</v>
      </c>
      <c r="Q1610" s="1" t="s">
        <v>72</v>
      </c>
      <c r="R1610" s="8" t="s">
        <v>343</v>
      </c>
      <c r="S161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1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1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1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1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1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1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1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1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1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1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1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1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10" s="12">
        <f ca="1">[1]!Tabel1[[#This Row],[Vægtet Honorar]]*([1]!Tabel1[[#This Row],[Sidst redigeret]]&gt;TODAY()-40)*([1]!Tabel1[[#This Row],[Er i resplan?]]&lt;&gt;"Ja")*([1]!Tabel1[[#This Row],[Status]]="Pågår")</f>
        <v>25000</v>
      </c>
      <c r="AG1610" s="12">
        <f ca="1">[1]!Tabel1[[#This Row],[Vægtet Honorar]]*([1]!Tabel1[[#This Row],[Sidst redigeret]]&gt;TODAY()-40)*([1]!Tabel1[[#This Row],[Status]]="Pågår")</f>
        <v>25000</v>
      </c>
      <c r="AH1610" s="13"/>
      <c r="AI1610" s="12"/>
      <c r="AJ1610" s="12"/>
      <c r="AK1610" s="12"/>
      <c r="AL1610" s="12"/>
      <c r="AM1610" s="12"/>
      <c r="AN1610" s="12"/>
      <c r="AO1610" s="12"/>
      <c r="AP1610" s="12"/>
    </row>
    <row r="1611" spans="1:42">
      <c r="A1611" t="s">
        <v>5557</v>
      </c>
      <c r="B1611" s="8"/>
      <c r="C1611" s="8" t="s">
        <v>5558</v>
      </c>
      <c r="D1611" s="8" t="s">
        <v>2886</v>
      </c>
      <c r="E1611" s="8" t="s">
        <v>120</v>
      </c>
      <c r="F1611" s="8"/>
      <c r="G1611" s="8" t="s">
        <v>5559</v>
      </c>
      <c r="H1611" s="9">
        <v>2500000</v>
      </c>
      <c r="I1611" s="9">
        <f>[1]!Tabel1[[#This Row],[Honorar]]*[1]!Tabel1[[#This Row],[Sandsynlighed]]</f>
        <v>600000</v>
      </c>
      <c r="J1611" s="10" t="s">
        <v>342</v>
      </c>
      <c r="K1611" s="1" t="s">
        <v>1861</v>
      </c>
      <c r="L1611" s="17"/>
      <c r="M1611" s="11">
        <v>0.05</v>
      </c>
      <c r="N1611" s="1"/>
      <c r="O1611" s="10">
        <v>46279.621516203704</v>
      </c>
      <c r="P1611" s="10" t="s">
        <v>4507</v>
      </c>
      <c r="Q1611" s="1" t="s">
        <v>72</v>
      </c>
      <c r="R1611" s="8" t="s">
        <v>1265</v>
      </c>
      <c r="S161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1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1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1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1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1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1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1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1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1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1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1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1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11" s="12">
        <f ca="1">[1]!Tabel1[[#This Row],[Vægtet Honorar]]*([1]!Tabel1[[#This Row],[Sidst redigeret]]&gt;TODAY()-40)*([1]!Tabel1[[#This Row],[Er i resplan?]]&lt;&gt;"Ja")*([1]!Tabel1[[#This Row],[Status]]="Pågår")</f>
        <v>600000</v>
      </c>
      <c r="AG1611" s="12">
        <f ca="1">[1]!Tabel1[[#This Row],[Vægtet Honorar]]*([1]!Tabel1[[#This Row],[Sidst redigeret]]&gt;TODAY()-40)*([1]!Tabel1[[#This Row],[Status]]="Pågår")</f>
        <v>600000</v>
      </c>
      <c r="AH1611" s="13"/>
      <c r="AI1611" s="12"/>
      <c r="AJ1611" s="12" t="s">
        <v>5560</v>
      </c>
      <c r="AK1611" s="12" t="s">
        <v>5559</v>
      </c>
      <c r="AL1611" s="12"/>
      <c r="AM1611" s="12"/>
      <c r="AN1611" s="12"/>
      <c r="AO1611" s="12"/>
      <c r="AP1611" s="12"/>
    </row>
    <row r="1612" spans="1:42">
      <c r="A1612" t="s">
        <v>5561</v>
      </c>
      <c r="B1612" s="8"/>
      <c r="C1612" s="8" t="s">
        <v>5562</v>
      </c>
      <c r="D1612" s="8" t="s">
        <v>2886</v>
      </c>
      <c r="E1612" s="8" t="s">
        <v>120</v>
      </c>
      <c r="F1612" s="8"/>
      <c r="G1612" s="8" t="s">
        <v>5563</v>
      </c>
      <c r="H1612" s="9">
        <v>1250000</v>
      </c>
      <c r="I1612" s="9">
        <f>[1]!Tabel1[[#This Row],[Honorar]]*[1]!Tabel1[[#This Row],[Sandsynlighed]]</f>
        <v>20000</v>
      </c>
      <c r="J1612" s="10" t="s">
        <v>342</v>
      </c>
      <c r="K1612" s="1" t="s">
        <v>1861</v>
      </c>
      <c r="L1612" s="17"/>
      <c r="M1612" s="11">
        <v>0.05</v>
      </c>
      <c r="N1612" s="1"/>
      <c r="O1612" s="10">
        <v>46279.621516203704</v>
      </c>
      <c r="P1612" s="10" t="s">
        <v>4591</v>
      </c>
      <c r="Q1612" s="1" t="s">
        <v>72</v>
      </c>
      <c r="R1612" s="8" t="s">
        <v>343</v>
      </c>
      <c r="S161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1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1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1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1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1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1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1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1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1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1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1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1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12" s="12">
        <f ca="1">[1]!Tabel1[[#This Row],[Vægtet Honorar]]*([1]!Tabel1[[#This Row],[Sidst redigeret]]&gt;TODAY()-40)*([1]!Tabel1[[#This Row],[Er i resplan?]]&lt;&gt;"Ja")*([1]!Tabel1[[#This Row],[Status]]="Pågår")</f>
        <v>20000</v>
      </c>
      <c r="AG1612" s="12">
        <f ca="1">[1]!Tabel1[[#This Row],[Vægtet Honorar]]*([1]!Tabel1[[#This Row],[Sidst redigeret]]&gt;TODAY()-40)*([1]!Tabel1[[#This Row],[Status]]="Pågår")</f>
        <v>20000</v>
      </c>
      <c r="AH1612" s="13"/>
      <c r="AI1612" s="12"/>
      <c r="AJ1612" s="12" t="s">
        <v>5563</v>
      </c>
      <c r="AK1612" s="12"/>
      <c r="AL1612" s="12"/>
      <c r="AM1612" s="12"/>
      <c r="AN1612" s="12" t="s">
        <v>5564</v>
      </c>
      <c r="AO1612" s="12"/>
      <c r="AP1612" s="12"/>
    </row>
    <row r="1613" spans="1:42" ht="45">
      <c r="A1613" t="s">
        <v>5565</v>
      </c>
      <c r="B1613" s="8"/>
      <c r="C1613" s="8" t="s">
        <v>5566</v>
      </c>
      <c r="D1613" s="8" t="s">
        <v>2886</v>
      </c>
      <c r="E1613" s="8" t="s">
        <v>120</v>
      </c>
      <c r="F1613" s="8"/>
      <c r="G1613" s="8" t="s">
        <v>691</v>
      </c>
      <c r="H1613" s="9">
        <v>1000000</v>
      </c>
      <c r="I1613" s="9">
        <f>[1]!Tabel1[[#This Row],[Honorar]]*[1]!Tabel1[[#This Row],[Sandsynlighed]]</f>
        <v>37500</v>
      </c>
      <c r="J1613" s="10" t="s">
        <v>342</v>
      </c>
      <c r="K1613" s="1" t="s">
        <v>1861</v>
      </c>
      <c r="L1613" s="17" t="s">
        <v>5567</v>
      </c>
      <c r="M1613" s="11">
        <v>0.05</v>
      </c>
      <c r="N1613" s="1"/>
      <c r="O1613" s="10">
        <v>46279.621516203704</v>
      </c>
      <c r="P1613" s="10" t="s">
        <v>4507</v>
      </c>
      <c r="Q1613" s="1" t="s">
        <v>72</v>
      </c>
      <c r="R1613" s="8" t="s">
        <v>343</v>
      </c>
      <c r="S161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1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1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1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1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1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1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1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1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1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1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1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1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13" s="12">
        <f ca="1">[1]!Tabel1[[#This Row],[Vægtet Honorar]]*([1]!Tabel1[[#This Row],[Sidst redigeret]]&gt;TODAY()-40)*([1]!Tabel1[[#This Row],[Er i resplan?]]&lt;&gt;"Ja")*([1]!Tabel1[[#This Row],[Status]]="Pågår")</f>
        <v>37500</v>
      </c>
      <c r="AG1613" s="12">
        <f ca="1">[1]!Tabel1[[#This Row],[Vægtet Honorar]]*([1]!Tabel1[[#This Row],[Sidst redigeret]]&gt;TODAY()-40)*([1]!Tabel1[[#This Row],[Status]]="Pågår")</f>
        <v>37500</v>
      </c>
      <c r="AH1613" s="13"/>
      <c r="AI1613" s="12"/>
      <c r="AJ1613" s="12" t="s">
        <v>943</v>
      </c>
      <c r="AK1613" s="12"/>
      <c r="AL1613" s="12"/>
      <c r="AM1613" s="12"/>
      <c r="AN1613" s="12"/>
      <c r="AO1613" s="12"/>
      <c r="AP1613" s="12"/>
    </row>
    <row r="1614" spans="1:42" ht="60">
      <c r="A1614" t="s">
        <v>5568</v>
      </c>
      <c r="B1614" s="8"/>
      <c r="C1614" s="8" t="s">
        <v>5569</v>
      </c>
      <c r="D1614" s="8" t="s">
        <v>125</v>
      </c>
      <c r="E1614" s="8" t="s">
        <v>71</v>
      </c>
      <c r="F1614" s="8" t="s">
        <v>478</v>
      </c>
      <c r="G1614" s="8" t="s">
        <v>478</v>
      </c>
      <c r="H1614" s="9">
        <v>42000</v>
      </c>
      <c r="I1614" s="9">
        <f>[1]!Tabel1[[#This Row],[Honorar]]*[1]!Tabel1[[#This Row],[Sandsynlighed]]</f>
        <v>25000</v>
      </c>
      <c r="J1614" s="10" t="s">
        <v>341</v>
      </c>
      <c r="K1614" s="1" t="s">
        <v>1310</v>
      </c>
      <c r="L1614" s="17" t="s">
        <v>5570</v>
      </c>
      <c r="M1614" s="11">
        <v>0.8</v>
      </c>
      <c r="N1614" s="1" t="s">
        <v>3534</v>
      </c>
      <c r="O1614" s="10">
        <v>46279.621527777781</v>
      </c>
      <c r="P1614" s="10" t="s">
        <v>4507</v>
      </c>
      <c r="Q1614" s="1" t="s">
        <v>46</v>
      </c>
      <c r="R1614" s="8" t="s">
        <v>343</v>
      </c>
      <c r="S161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1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1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1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1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1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1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1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1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1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1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1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1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14" s="12">
        <f ca="1">[1]!Tabel1[[#This Row],[Vægtet Honorar]]*([1]!Tabel1[[#This Row],[Sidst redigeret]]&gt;TODAY()-40)*([1]!Tabel1[[#This Row],[Er i resplan?]]&lt;&gt;"Ja")*([1]!Tabel1[[#This Row],[Status]]="Pågår")</f>
        <v>25000</v>
      </c>
      <c r="AG1614" s="12">
        <f ca="1">[1]!Tabel1[[#This Row],[Vægtet Honorar]]*([1]!Tabel1[[#This Row],[Sidst redigeret]]&gt;TODAY()-40)*([1]!Tabel1[[#This Row],[Status]]="Pågår")</f>
        <v>25000</v>
      </c>
      <c r="AH1614" s="13"/>
      <c r="AI1614" s="12"/>
      <c r="AJ1614" s="12"/>
      <c r="AK1614" s="12"/>
      <c r="AL1614" s="12"/>
      <c r="AM1614" s="12"/>
      <c r="AN1614" s="12"/>
      <c r="AO1614" s="12"/>
      <c r="AP1614" s="12"/>
    </row>
    <row r="1615" spans="1:42" ht="30">
      <c r="A1615" t="s">
        <v>5571</v>
      </c>
      <c r="B1615" s="8"/>
      <c r="C1615" s="8" t="s">
        <v>5572</v>
      </c>
      <c r="D1615" s="8" t="s">
        <v>158</v>
      </c>
      <c r="E1615" s="8" t="s">
        <v>167</v>
      </c>
      <c r="F1615" s="8" t="s">
        <v>339</v>
      </c>
      <c r="G1615" s="8" t="s">
        <v>5573</v>
      </c>
      <c r="H1615" s="9">
        <v>200000</v>
      </c>
      <c r="I1615" s="9">
        <f>[1]!Tabel1[[#This Row],[Honorar]]*[1]!Tabel1[[#This Row],[Sandsynlighed]]</f>
        <v>50000</v>
      </c>
      <c r="J1615" s="10" t="s">
        <v>341</v>
      </c>
      <c r="K1615" s="1" t="s">
        <v>342</v>
      </c>
      <c r="L1615" s="17" t="s">
        <v>5574</v>
      </c>
      <c r="M1615" s="11">
        <v>0.2</v>
      </c>
      <c r="N1615" s="1"/>
      <c r="O1615" s="10">
        <v>46279.621527777781</v>
      </c>
      <c r="P1615" s="10"/>
      <c r="Q1615" s="1" t="s">
        <v>46</v>
      </c>
      <c r="R1615" s="8" t="s">
        <v>343</v>
      </c>
      <c r="S161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1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1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1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1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1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1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1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1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1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1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1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1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15" s="12">
        <f ca="1">[1]!Tabel1[[#This Row],[Vægtet Honorar]]*([1]!Tabel1[[#This Row],[Sidst redigeret]]&gt;TODAY()-40)*([1]!Tabel1[[#This Row],[Er i resplan?]]&lt;&gt;"Ja")*([1]!Tabel1[[#This Row],[Status]]="Pågår")</f>
        <v>50000</v>
      </c>
      <c r="AG1615" s="12">
        <f ca="1">[1]!Tabel1[[#This Row],[Vægtet Honorar]]*([1]!Tabel1[[#This Row],[Sidst redigeret]]&gt;TODAY()-40)*([1]!Tabel1[[#This Row],[Status]]="Pågår")</f>
        <v>50000</v>
      </c>
      <c r="AH1615" s="13"/>
      <c r="AI1615" s="12"/>
      <c r="AJ1615" s="12"/>
      <c r="AK1615" s="12"/>
      <c r="AL1615" s="12"/>
      <c r="AM1615" s="12"/>
      <c r="AN1615" s="12"/>
      <c r="AO1615" s="12"/>
      <c r="AP1615" s="12"/>
    </row>
    <row r="1616" spans="1:42">
      <c r="A1616" t="s">
        <v>5575</v>
      </c>
      <c r="B1616" s="8"/>
      <c r="C1616" s="8" t="s">
        <v>5576</v>
      </c>
      <c r="D1616" s="8" t="s">
        <v>1468</v>
      </c>
      <c r="E1616" s="8" t="s">
        <v>167</v>
      </c>
      <c r="F1616" s="8" t="s">
        <v>5577</v>
      </c>
      <c r="G1616" s="8" t="s">
        <v>5577</v>
      </c>
      <c r="H1616" s="9">
        <v>300000</v>
      </c>
      <c r="I1616" s="9">
        <f>[1]!Tabel1[[#This Row],[Honorar]]*[1]!Tabel1[[#This Row],[Sandsynlighed]]</f>
        <v>125000</v>
      </c>
      <c r="J1616" s="10" t="s">
        <v>341</v>
      </c>
      <c r="K1616" s="1" t="s">
        <v>342</v>
      </c>
      <c r="L1616" s="17"/>
      <c r="M1616" s="11">
        <v>0.8</v>
      </c>
      <c r="N1616" s="1"/>
      <c r="O1616" s="10">
        <v>46279.621527777781</v>
      </c>
      <c r="P1616" s="10" t="s">
        <v>72</v>
      </c>
      <c r="Q1616" s="1" t="s">
        <v>46</v>
      </c>
      <c r="R1616" s="8" t="s">
        <v>47</v>
      </c>
      <c r="S161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1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1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1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1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1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1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1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1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1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1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1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1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16" s="12">
        <f ca="1">[1]!Tabel1[[#This Row],[Vægtet Honorar]]*([1]!Tabel1[[#This Row],[Sidst redigeret]]&gt;TODAY()-40)*([1]!Tabel1[[#This Row],[Er i resplan?]]&lt;&gt;"Ja")*([1]!Tabel1[[#This Row],[Status]]="Pågår")</f>
        <v>0</v>
      </c>
      <c r="AG1616" s="12">
        <f ca="1">[1]!Tabel1[[#This Row],[Vægtet Honorar]]*([1]!Tabel1[[#This Row],[Sidst redigeret]]&gt;TODAY()-40)*([1]!Tabel1[[#This Row],[Status]]="Pågår")</f>
        <v>0</v>
      </c>
      <c r="AH1616" s="13">
        <v>46198.47148148148</v>
      </c>
      <c r="AI1616" s="12"/>
      <c r="AJ1616" s="12"/>
      <c r="AK1616" s="12"/>
      <c r="AL1616" s="12"/>
      <c r="AM1616" s="12"/>
      <c r="AN1616" s="12"/>
      <c r="AO1616" s="12"/>
      <c r="AP1616" s="12"/>
    </row>
    <row r="1617" spans="1:42">
      <c r="A1617" t="s">
        <v>5578</v>
      </c>
      <c r="B1617" s="8"/>
      <c r="C1617" s="8" t="s">
        <v>5579</v>
      </c>
      <c r="D1617" s="8" t="s">
        <v>720</v>
      </c>
      <c r="E1617" s="8" t="s">
        <v>71</v>
      </c>
      <c r="F1617" s="8" t="s">
        <v>5580</v>
      </c>
      <c r="G1617" s="8" t="s">
        <v>5581</v>
      </c>
      <c r="H1617" s="9">
        <v>200000</v>
      </c>
      <c r="I1617" s="9">
        <f>[1]!Tabel1[[#This Row],[Honorar]]*[1]!Tabel1[[#This Row],[Sandsynlighed]]</f>
        <v>62500</v>
      </c>
      <c r="J1617" s="10" t="s">
        <v>341</v>
      </c>
      <c r="K1617" s="1" t="s">
        <v>342</v>
      </c>
      <c r="L1617" s="17"/>
      <c r="M1617" s="11">
        <v>0.1</v>
      </c>
      <c r="N1617" s="1"/>
      <c r="O1617" s="10">
        <v>46279.621527777781</v>
      </c>
      <c r="P1617" s="10" t="s">
        <v>46</v>
      </c>
      <c r="Q1617" s="1" t="s">
        <v>72</v>
      </c>
      <c r="R1617" s="8" t="s">
        <v>343</v>
      </c>
      <c r="S161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1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1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1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1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1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1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1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1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1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1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1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1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17" s="12">
        <f ca="1">[1]!Tabel1[[#This Row],[Vægtet Honorar]]*([1]!Tabel1[[#This Row],[Sidst redigeret]]&gt;TODAY()-40)*([1]!Tabel1[[#This Row],[Er i resplan?]]&lt;&gt;"Ja")*([1]!Tabel1[[#This Row],[Status]]="Pågår")</f>
        <v>62500</v>
      </c>
      <c r="AG1617" s="12">
        <f ca="1">[1]!Tabel1[[#This Row],[Vægtet Honorar]]*([1]!Tabel1[[#This Row],[Sidst redigeret]]&gt;TODAY()-40)*([1]!Tabel1[[#This Row],[Status]]="Pågår")</f>
        <v>62500</v>
      </c>
      <c r="AH1617" s="13"/>
      <c r="AI1617" s="12"/>
      <c r="AJ1617" s="12"/>
      <c r="AK1617" s="12"/>
      <c r="AL1617" s="12"/>
      <c r="AM1617" s="12"/>
      <c r="AN1617" s="12"/>
      <c r="AO1617" s="12"/>
      <c r="AP1617" s="12"/>
    </row>
    <row r="1618" spans="1:42">
      <c r="A1618" t="s">
        <v>5582</v>
      </c>
      <c r="B1618" s="8"/>
      <c r="C1618" s="8" t="s">
        <v>5583</v>
      </c>
      <c r="D1618" s="8" t="s">
        <v>3790</v>
      </c>
      <c r="E1618" s="8" t="s">
        <v>71</v>
      </c>
      <c r="F1618" s="8" t="s">
        <v>5584</v>
      </c>
      <c r="G1618" s="8" t="s">
        <v>5585</v>
      </c>
      <c r="H1618" s="9">
        <v>350000</v>
      </c>
      <c r="I1618" s="9">
        <f>[1]!Tabel1[[#This Row],[Honorar]]*[1]!Tabel1[[#This Row],[Sandsynlighed]]</f>
        <v>50000</v>
      </c>
      <c r="J1618" s="10" t="s">
        <v>1310</v>
      </c>
      <c r="K1618" s="1" t="s">
        <v>342</v>
      </c>
      <c r="L1618" s="17"/>
      <c r="M1618" s="11">
        <v>0.1</v>
      </c>
      <c r="N1618" s="1"/>
      <c r="O1618" s="10">
        <v>46279.621527777781</v>
      </c>
      <c r="P1618" s="10" t="s">
        <v>46</v>
      </c>
      <c r="Q1618" s="1" t="s">
        <v>72</v>
      </c>
      <c r="R1618" s="8" t="s">
        <v>343</v>
      </c>
      <c r="S161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1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1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1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1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1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1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1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1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1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1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1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1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18" s="12">
        <f ca="1">[1]!Tabel1[[#This Row],[Vægtet Honorar]]*([1]!Tabel1[[#This Row],[Sidst redigeret]]&gt;TODAY()-40)*([1]!Tabel1[[#This Row],[Er i resplan?]]&lt;&gt;"Ja")*([1]!Tabel1[[#This Row],[Status]]="Pågår")</f>
        <v>50000</v>
      </c>
      <c r="AG1618" s="12">
        <f ca="1">[1]!Tabel1[[#This Row],[Vægtet Honorar]]*([1]!Tabel1[[#This Row],[Sidst redigeret]]&gt;TODAY()-40)*([1]!Tabel1[[#This Row],[Status]]="Pågår")</f>
        <v>50000</v>
      </c>
      <c r="AH1618" s="13"/>
      <c r="AI1618" s="12"/>
      <c r="AJ1618" s="12"/>
      <c r="AK1618" s="12"/>
      <c r="AL1618" s="12"/>
      <c r="AM1618" s="12"/>
      <c r="AN1618" s="12"/>
      <c r="AO1618" s="12"/>
      <c r="AP1618" s="12"/>
    </row>
    <row r="1619" spans="1:42">
      <c r="A1619" t="s">
        <v>5586</v>
      </c>
      <c r="B1619" s="8"/>
      <c r="C1619" s="8" t="s">
        <v>5587</v>
      </c>
      <c r="D1619" s="8" t="s">
        <v>5488</v>
      </c>
      <c r="E1619" s="8" t="s">
        <v>71</v>
      </c>
      <c r="F1619" s="8" t="s">
        <v>788</v>
      </c>
      <c r="G1619" s="8" t="s">
        <v>788</v>
      </c>
      <c r="H1619" s="9">
        <v>500000</v>
      </c>
      <c r="I1619" s="9">
        <f>[1]!Tabel1[[#This Row],[Honorar]]*[1]!Tabel1[[#This Row],[Sandsynlighed]]</f>
        <v>33600</v>
      </c>
      <c r="J1619" s="10" t="s">
        <v>1310</v>
      </c>
      <c r="K1619" s="1" t="s">
        <v>898</v>
      </c>
      <c r="L1619" s="17"/>
      <c r="M1619" s="11">
        <v>0.3</v>
      </c>
      <c r="N1619" s="1" t="s">
        <v>5588</v>
      </c>
      <c r="O1619" s="10">
        <v>46279.621527777781</v>
      </c>
      <c r="P1619" s="10" t="s">
        <v>46</v>
      </c>
      <c r="Q1619" s="1" t="s">
        <v>72</v>
      </c>
      <c r="R1619" s="8" t="s">
        <v>343</v>
      </c>
      <c r="S161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1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1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1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1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1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1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1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1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1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1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1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1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19" s="12">
        <f ca="1">[1]!Tabel1[[#This Row],[Vægtet Honorar]]*([1]!Tabel1[[#This Row],[Sidst redigeret]]&gt;TODAY()-40)*([1]!Tabel1[[#This Row],[Er i resplan?]]&lt;&gt;"Ja")*([1]!Tabel1[[#This Row],[Status]]="Pågår")</f>
        <v>0</v>
      </c>
      <c r="AG1619" s="12">
        <f ca="1">[1]!Tabel1[[#This Row],[Vægtet Honorar]]*([1]!Tabel1[[#This Row],[Sidst redigeret]]&gt;TODAY()-40)*([1]!Tabel1[[#This Row],[Status]]="Pågår")</f>
        <v>33600</v>
      </c>
      <c r="AH1619" s="13"/>
      <c r="AI1619" s="12"/>
      <c r="AJ1619" s="12"/>
      <c r="AK1619" s="12"/>
      <c r="AL1619" s="12"/>
      <c r="AM1619" s="12"/>
      <c r="AN1619" s="12"/>
      <c r="AO1619" s="12"/>
      <c r="AP1619" s="12"/>
    </row>
    <row r="1620" spans="1:42" ht="165">
      <c r="A1620" t="s">
        <v>5589</v>
      </c>
      <c r="B1620" s="8"/>
      <c r="C1620" s="8" t="s">
        <v>5590</v>
      </c>
      <c r="D1620" s="8" t="s">
        <v>896</v>
      </c>
      <c r="E1620" s="8" t="s">
        <v>94</v>
      </c>
      <c r="F1620" s="8" t="s">
        <v>5591</v>
      </c>
      <c r="G1620" s="8" t="s">
        <v>1864</v>
      </c>
      <c r="H1620" s="9">
        <v>500000</v>
      </c>
      <c r="I1620" s="9">
        <f>[1]!Tabel1[[#This Row],[Honorar]]*[1]!Tabel1[[#This Row],[Sandsynlighed]]</f>
        <v>40000</v>
      </c>
      <c r="J1620" s="10" t="s">
        <v>1062</v>
      </c>
      <c r="K1620" s="1" t="s">
        <v>898</v>
      </c>
      <c r="L1620" s="17" t="s">
        <v>5592</v>
      </c>
      <c r="M1620" s="11">
        <v>0.01</v>
      </c>
      <c r="N1620" s="1"/>
      <c r="O1620" s="10">
        <v>46279.621527777781</v>
      </c>
      <c r="P1620" s="10" t="s">
        <v>46</v>
      </c>
      <c r="Q1620" s="1" t="s">
        <v>72</v>
      </c>
      <c r="R1620" s="8" t="s">
        <v>343</v>
      </c>
      <c r="S162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2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2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2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2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2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2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2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2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2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2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2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2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20" s="12">
        <f ca="1">[1]!Tabel1[[#This Row],[Vægtet Honorar]]*([1]!Tabel1[[#This Row],[Sidst redigeret]]&gt;TODAY()-40)*([1]!Tabel1[[#This Row],[Er i resplan?]]&lt;&gt;"Ja")*([1]!Tabel1[[#This Row],[Status]]="Pågår")</f>
        <v>0</v>
      </c>
      <c r="AG1620" s="12">
        <f ca="1">[1]!Tabel1[[#This Row],[Vægtet Honorar]]*([1]!Tabel1[[#This Row],[Sidst redigeret]]&gt;TODAY()-40)*([1]!Tabel1[[#This Row],[Status]]="Pågår")</f>
        <v>40000</v>
      </c>
      <c r="AH1620" s="13"/>
      <c r="AI1620" s="12"/>
      <c r="AJ1620" s="12" t="s">
        <v>1864</v>
      </c>
      <c r="AK1620" s="12"/>
      <c r="AL1620" s="12"/>
      <c r="AM1620" s="12"/>
      <c r="AN1620" s="12"/>
      <c r="AO1620" s="12"/>
      <c r="AP1620" s="12"/>
    </row>
    <row r="1621" spans="1:42">
      <c r="A1621" t="s">
        <v>5593</v>
      </c>
      <c r="B1621" s="8"/>
      <c r="C1621" s="8" t="s">
        <v>5594</v>
      </c>
      <c r="D1621" s="8" t="s">
        <v>2886</v>
      </c>
      <c r="E1621" s="8" t="s">
        <v>120</v>
      </c>
      <c r="F1621" s="8" t="s">
        <v>2522</v>
      </c>
      <c r="G1621" s="8" t="s">
        <v>2522</v>
      </c>
      <c r="H1621" s="9">
        <v>80000</v>
      </c>
      <c r="I1621" s="9">
        <f>[1]!Tabel1[[#This Row],[Honorar]]*[1]!Tabel1[[#This Row],[Sandsynlighed]]</f>
        <v>240000</v>
      </c>
      <c r="J1621" s="10" t="s">
        <v>341</v>
      </c>
      <c r="K1621" s="1" t="s">
        <v>585</v>
      </c>
      <c r="L1621" s="17"/>
      <c r="M1621" s="11">
        <v>0.5</v>
      </c>
      <c r="N1621" s="1"/>
      <c r="O1621" s="10">
        <v>46279.621527777781</v>
      </c>
      <c r="P1621" s="10" t="s">
        <v>46</v>
      </c>
      <c r="Q1621" s="1" t="s">
        <v>72</v>
      </c>
      <c r="R1621" s="8" t="s">
        <v>47</v>
      </c>
      <c r="S162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2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2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2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2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2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2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2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2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2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2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2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2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21" s="12">
        <f ca="1">[1]!Tabel1[[#This Row],[Vægtet Honorar]]*([1]!Tabel1[[#This Row],[Sidst redigeret]]&gt;TODAY()-40)*([1]!Tabel1[[#This Row],[Er i resplan?]]&lt;&gt;"Ja")*([1]!Tabel1[[#This Row],[Status]]="Pågår")</f>
        <v>0</v>
      </c>
      <c r="AG1621" s="12">
        <f ca="1">[1]!Tabel1[[#This Row],[Vægtet Honorar]]*([1]!Tabel1[[#This Row],[Sidst redigeret]]&gt;TODAY()-40)*([1]!Tabel1[[#This Row],[Status]]="Pågår")</f>
        <v>0</v>
      </c>
      <c r="AH1621" s="13">
        <v>46269.499942129631</v>
      </c>
      <c r="AI1621" s="12"/>
      <c r="AJ1621" s="12"/>
      <c r="AK1621" s="12"/>
      <c r="AL1621" s="12"/>
      <c r="AM1621" s="12"/>
      <c r="AN1621" s="12"/>
      <c r="AO1621" s="12"/>
      <c r="AP1621" s="12"/>
    </row>
    <row r="1622" spans="1:42">
      <c r="A1622" t="s">
        <v>5595</v>
      </c>
      <c r="B1622" s="8"/>
      <c r="C1622" s="8" t="s">
        <v>5596</v>
      </c>
      <c r="D1622" s="8" t="s">
        <v>2886</v>
      </c>
      <c r="E1622" s="8" t="s">
        <v>120</v>
      </c>
      <c r="F1622" s="8" t="s">
        <v>1481</v>
      </c>
      <c r="G1622" s="8" t="s">
        <v>1481</v>
      </c>
      <c r="H1622" s="9">
        <v>200000</v>
      </c>
      <c r="I1622" s="9">
        <f>[1]!Tabel1[[#This Row],[Honorar]]*[1]!Tabel1[[#This Row],[Sandsynlighed]]</f>
        <v>20000</v>
      </c>
      <c r="J1622" s="10" t="s">
        <v>585</v>
      </c>
      <c r="K1622" s="1" t="s">
        <v>342</v>
      </c>
      <c r="L1622" s="17"/>
      <c r="M1622" s="11">
        <v>0.5</v>
      </c>
      <c r="N1622" s="1"/>
      <c r="O1622" s="10">
        <v>46279.621527777781</v>
      </c>
      <c r="P1622" s="10" t="s">
        <v>46</v>
      </c>
      <c r="Q1622" s="1" t="s">
        <v>72</v>
      </c>
      <c r="R1622" s="8" t="s">
        <v>4031</v>
      </c>
      <c r="S162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2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2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2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2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2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2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2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2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2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2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2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2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22" s="12">
        <f ca="1">[1]!Tabel1[[#This Row],[Vægtet Honorar]]*([1]!Tabel1[[#This Row],[Sidst redigeret]]&gt;TODAY()-40)*([1]!Tabel1[[#This Row],[Er i resplan?]]&lt;&gt;"Ja")*([1]!Tabel1[[#This Row],[Status]]="Pågår")</f>
        <v>20000</v>
      </c>
      <c r="AG1622" s="12">
        <f ca="1">[1]!Tabel1[[#This Row],[Vægtet Honorar]]*([1]!Tabel1[[#This Row],[Sidst redigeret]]&gt;TODAY()-40)*([1]!Tabel1[[#This Row],[Status]]="Pågår")</f>
        <v>20000</v>
      </c>
      <c r="AH1622" s="13">
        <v>46269.499976851854</v>
      </c>
      <c r="AI1622" s="12"/>
      <c r="AJ1622" s="12"/>
      <c r="AK1622" s="12"/>
      <c r="AL1622" s="12"/>
      <c r="AM1622" s="12"/>
      <c r="AN1622" s="12"/>
      <c r="AO1622" s="12"/>
      <c r="AP1622" s="12"/>
    </row>
    <row r="1623" spans="1:42">
      <c r="A1623" t="s">
        <v>5597</v>
      </c>
      <c r="B1623" s="8"/>
      <c r="C1623" s="8" t="s">
        <v>5598</v>
      </c>
      <c r="D1623" s="8" t="s">
        <v>2886</v>
      </c>
      <c r="E1623" s="8" t="s">
        <v>120</v>
      </c>
      <c r="F1623" s="8" t="s">
        <v>5599</v>
      </c>
      <c r="G1623" s="8" t="s">
        <v>5599</v>
      </c>
      <c r="H1623" s="9">
        <v>1000000</v>
      </c>
      <c r="I1623" s="9">
        <f>[1]!Tabel1[[#This Row],[Honorar]]*[1]!Tabel1[[#This Row],[Sandsynlighed]]</f>
        <v>35000</v>
      </c>
      <c r="J1623" s="10" t="s">
        <v>342</v>
      </c>
      <c r="K1623" s="1" t="s">
        <v>1861</v>
      </c>
      <c r="L1623" s="17"/>
      <c r="M1623" s="11">
        <v>0.05</v>
      </c>
      <c r="N1623" s="1"/>
      <c r="O1623" s="10">
        <v>46279.621527777781</v>
      </c>
      <c r="P1623" s="10" t="s">
        <v>46</v>
      </c>
      <c r="Q1623" s="1" t="s">
        <v>72</v>
      </c>
      <c r="R1623" s="8" t="s">
        <v>343</v>
      </c>
      <c r="S162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2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2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2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2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2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2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2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2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2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2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2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2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23" s="12">
        <f ca="1">[1]!Tabel1[[#This Row],[Vægtet Honorar]]*([1]!Tabel1[[#This Row],[Sidst redigeret]]&gt;TODAY()-40)*([1]!Tabel1[[#This Row],[Er i resplan?]]&lt;&gt;"Ja")*([1]!Tabel1[[#This Row],[Status]]="Pågår")</f>
        <v>35000</v>
      </c>
      <c r="AG1623" s="12">
        <f ca="1">[1]!Tabel1[[#This Row],[Vægtet Honorar]]*([1]!Tabel1[[#This Row],[Sidst redigeret]]&gt;TODAY()-40)*([1]!Tabel1[[#This Row],[Status]]="Pågår")</f>
        <v>35000</v>
      </c>
      <c r="AH1623" s="13"/>
      <c r="AI1623" s="12"/>
      <c r="AJ1623" s="12" t="s">
        <v>2944</v>
      </c>
      <c r="AK1623" s="12"/>
      <c r="AL1623" s="12"/>
      <c r="AM1623" s="12"/>
      <c r="AN1623" s="12"/>
      <c r="AO1623" s="12"/>
      <c r="AP1623" s="12"/>
    </row>
    <row r="1624" spans="1:42">
      <c r="A1624" t="s">
        <v>5600</v>
      </c>
      <c r="B1624" s="8"/>
      <c r="C1624" s="8" t="s">
        <v>5601</v>
      </c>
      <c r="D1624" s="8" t="s">
        <v>2886</v>
      </c>
      <c r="E1624" s="8" t="s">
        <v>120</v>
      </c>
      <c r="F1624" s="8" t="s">
        <v>547</v>
      </c>
      <c r="G1624" s="8" t="s">
        <v>547</v>
      </c>
      <c r="H1624" s="9">
        <v>1500000</v>
      </c>
      <c r="I1624" s="9">
        <f>[1]!Tabel1[[#This Row],[Honorar]]*[1]!Tabel1[[#This Row],[Sandsynlighed]]</f>
        <v>150000</v>
      </c>
      <c r="J1624" s="10" t="s">
        <v>342</v>
      </c>
      <c r="K1624" s="1" t="s">
        <v>1861</v>
      </c>
      <c r="L1624" s="17"/>
      <c r="M1624" s="11">
        <v>0.05</v>
      </c>
      <c r="N1624" s="1"/>
      <c r="O1624" s="10">
        <v>46279.621527777781</v>
      </c>
      <c r="P1624" s="10" t="s">
        <v>46</v>
      </c>
      <c r="Q1624" s="1" t="s">
        <v>72</v>
      </c>
      <c r="R1624" s="8" t="s">
        <v>343</v>
      </c>
      <c r="S162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2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2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2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2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2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2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2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2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2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2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2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2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24" s="12">
        <f ca="1">[1]!Tabel1[[#This Row],[Vægtet Honorar]]*([1]!Tabel1[[#This Row],[Sidst redigeret]]&gt;TODAY()-40)*([1]!Tabel1[[#This Row],[Er i resplan?]]&lt;&gt;"Ja")*([1]!Tabel1[[#This Row],[Status]]="Pågår")</f>
        <v>150000</v>
      </c>
      <c r="AG1624" s="12">
        <f ca="1">[1]!Tabel1[[#This Row],[Vægtet Honorar]]*([1]!Tabel1[[#This Row],[Sidst redigeret]]&gt;TODAY()-40)*([1]!Tabel1[[#This Row],[Status]]="Pågår")</f>
        <v>150000</v>
      </c>
      <c r="AH1624" s="13"/>
      <c r="AI1624" s="12"/>
      <c r="AJ1624" s="12" t="s">
        <v>2274</v>
      </c>
      <c r="AK1624" s="12"/>
      <c r="AL1624" s="12"/>
      <c r="AM1624" s="12"/>
      <c r="AN1624" s="12"/>
      <c r="AO1624" s="12"/>
      <c r="AP1624" s="12"/>
    </row>
    <row r="1625" spans="1:42">
      <c r="A1625" t="s">
        <v>5602</v>
      </c>
      <c r="B1625" s="8"/>
      <c r="C1625" s="8" t="s">
        <v>5603</v>
      </c>
      <c r="D1625" s="8" t="s">
        <v>5604</v>
      </c>
      <c r="E1625" s="8" t="s">
        <v>71</v>
      </c>
      <c r="F1625" s="8" t="s">
        <v>940</v>
      </c>
      <c r="G1625" s="8" t="s">
        <v>2135</v>
      </c>
      <c r="H1625" s="9">
        <v>175000</v>
      </c>
      <c r="I1625" s="9">
        <f>[1]!Tabel1[[#This Row],[Honorar]]*[1]!Tabel1[[#This Row],[Sandsynlighed]]</f>
        <v>5000</v>
      </c>
      <c r="J1625" s="10" t="s">
        <v>585</v>
      </c>
      <c r="K1625" s="1" t="s">
        <v>342</v>
      </c>
      <c r="L1625" s="17"/>
      <c r="M1625" s="11">
        <v>0.95</v>
      </c>
      <c r="N1625" s="1">
        <v>255</v>
      </c>
      <c r="O1625" s="10">
        <v>46279.621527777781</v>
      </c>
      <c r="P1625" s="10" t="s">
        <v>46</v>
      </c>
      <c r="Q1625" s="1" t="s">
        <v>72</v>
      </c>
      <c r="R1625" s="8" t="s">
        <v>343</v>
      </c>
      <c r="S162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2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2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2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2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2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2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2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2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2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2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2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2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25" s="12">
        <f ca="1">[1]!Tabel1[[#This Row],[Vægtet Honorar]]*([1]!Tabel1[[#This Row],[Sidst redigeret]]&gt;TODAY()-40)*([1]!Tabel1[[#This Row],[Er i resplan?]]&lt;&gt;"Ja")*([1]!Tabel1[[#This Row],[Status]]="Pågår")</f>
        <v>5000</v>
      </c>
      <c r="AG1625" s="12">
        <f ca="1">[1]!Tabel1[[#This Row],[Vægtet Honorar]]*([1]!Tabel1[[#This Row],[Sidst redigeret]]&gt;TODAY()-40)*([1]!Tabel1[[#This Row],[Status]]="Pågår")</f>
        <v>5000</v>
      </c>
      <c r="AH1625" s="13"/>
      <c r="AI1625" s="12"/>
      <c r="AJ1625" s="12"/>
      <c r="AK1625" s="12"/>
      <c r="AL1625" s="12"/>
      <c r="AM1625" s="12"/>
      <c r="AN1625" s="12"/>
      <c r="AO1625" s="12"/>
      <c r="AP1625" s="12"/>
    </row>
    <row r="1626" spans="1:42">
      <c r="A1626" t="s">
        <v>5605</v>
      </c>
      <c r="B1626" s="8"/>
      <c r="C1626" s="8" t="s">
        <v>5606</v>
      </c>
      <c r="D1626" s="8" t="s">
        <v>720</v>
      </c>
      <c r="E1626" s="8" t="s">
        <v>71</v>
      </c>
      <c r="F1626" s="8" t="s">
        <v>1012</v>
      </c>
      <c r="G1626" s="8" t="s">
        <v>1012</v>
      </c>
      <c r="H1626" s="9">
        <v>175000</v>
      </c>
      <c r="I1626" s="9">
        <f>[1]!Tabel1[[#This Row],[Honorar]]*[1]!Tabel1[[#This Row],[Sandsynlighed]]</f>
        <v>40000</v>
      </c>
      <c r="J1626" s="10" t="s">
        <v>341</v>
      </c>
      <c r="K1626" s="1" t="s">
        <v>342</v>
      </c>
      <c r="L1626" s="17"/>
      <c r="M1626" s="11">
        <v>0.95</v>
      </c>
      <c r="N1626" s="1">
        <v>200</v>
      </c>
      <c r="O1626" s="10">
        <v>46279.621527777781</v>
      </c>
      <c r="P1626" s="10" t="s">
        <v>46</v>
      </c>
      <c r="Q1626" s="1" t="s">
        <v>72</v>
      </c>
      <c r="R1626" s="8" t="s">
        <v>343</v>
      </c>
      <c r="S162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2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2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2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2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2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2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2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2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2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2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2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2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26" s="12">
        <f ca="1">[1]!Tabel1[[#This Row],[Vægtet Honorar]]*([1]!Tabel1[[#This Row],[Sidst redigeret]]&gt;TODAY()-40)*([1]!Tabel1[[#This Row],[Er i resplan?]]&lt;&gt;"Ja")*([1]!Tabel1[[#This Row],[Status]]="Pågår")</f>
        <v>0</v>
      </c>
      <c r="AG1626" s="12">
        <f ca="1">[1]!Tabel1[[#This Row],[Vægtet Honorar]]*([1]!Tabel1[[#This Row],[Sidst redigeret]]&gt;TODAY()-40)*([1]!Tabel1[[#This Row],[Status]]="Pågår")</f>
        <v>0</v>
      </c>
      <c r="AH1626" s="13"/>
      <c r="AI1626" s="12"/>
      <c r="AJ1626" s="12"/>
      <c r="AK1626" s="12"/>
      <c r="AL1626" s="12"/>
      <c r="AM1626" s="12"/>
      <c r="AN1626" s="12"/>
      <c r="AO1626" s="12"/>
      <c r="AP1626" s="12"/>
    </row>
    <row r="1627" spans="1:42">
      <c r="A1627" t="s">
        <v>5607</v>
      </c>
      <c r="B1627" s="8"/>
      <c r="C1627" s="8" t="s">
        <v>5608</v>
      </c>
      <c r="D1627" s="8" t="s">
        <v>720</v>
      </c>
      <c r="E1627" s="8" t="s">
        <v>71</v>
      </c>
      <c r="F1627" s="8" t="s">
        <v>5609</v>
      </c>
      <c r="G1627" s="8" t="s">
        <v>5610</v>
      </c>
      <c r="H1627" s="9">
        <v>3000000</v>
      </c>
      <c r="I1627" s="9">
        <f>[1]!Tabel1[[#This Row],[Honorar]]*[1]!Tabel1[[#This Row],[Sandsynlighed]]</f>
        <v>100000</v>
      </c>
      <c r="J1627" s="10" t="s">
        <v>1062</v>
      </c>
      <c r="K1627" s="1" t="s">
        <v>1709</v>
      </c>
      <c r="L1627" s="17" t="s">
        <v>5611</v>
      </c>
      <c r="M1627" s="11">
        <v>0.02</v>
      </c>
      <c r="N1627" s="1">
        <v>10000</v>
      </c>
      <c r="O1627" s="10">
        <v>46279.621527777781</v>
      </c>
      <c r="P1627" s="10" t="s">
        <v>46</v>
      </c>
      <c r="Q1627" s="1" t="s">
        <v>72</v>
      </c>
      <c r="R1627" s="8" t="s">
        <v>343</v>
      </c>
      <c r="S162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2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2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2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2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2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2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2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2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2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2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2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2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27" s="12">
        <f ca="1">[1]!Tabel1[[#This Row],[Vægtet Honorar]]*([1]!Tabel1[[#This Row],[Sidst redigeret]]&gt;TODAY()-40)*([1]!Tabel1[[#This Row],[Er i resplan?]]&lt;&gt;"Ja")*([1]!Tabel1[[#This Row],[Status]]="Pågår")</f>
        <v>0</v>
      </c>
      <c r="AG1627" s="12">
        <f ca="1">[1]!Tabel1[[#This Row],[Vægtet Honorar]]*([1]!Tabel1[[#This Row],[Sidst redigeret]]&gt;TODAY()-40)*([1]!Tabel1[[#This Row],[Status]]="Pågår")</f>
        <v>0</v>
      </c>
      <c r="AH1627" s="13"/>
      <c r="AI1627" s="12"/>
      <c r="AJ1627" s="12"/>
      <c r="AK1627" s="12"/>
      <c r="AL1627" s="12"/>
      <c r="AM1627" s="12"/>
      <c r="AN1627" s="12"/>
      <c r="AO1627" s="12"/>
      <c r="AP1627" s="12"/>
    </row>
    <row r="1628" spans="1:42">
      <c r="A1628" t="s">
        <v>5612</v>
      </c>
      <c r="B1628" s="8"/>
      <c r="C1628" s="8" t="s">
        <v>5613</v>
      </c>
      <c r="D1628" s="8" t="s">
        <v>896</v>
      </c>
      <c r="E1628" s="8" t="s">
        <v>94</v>
      </c>
      <c r="F1628" s="8" t="s">
        <v>1127</v>
      </c>
      <c r="G1628" s="8" t="s">
        <v>5614</v>
      </c>
      <c r="H1628" s="9">
        <v>1000000</v>
      </c>
      <c r="I1628" s="9">
        <f>[1]!Tabel1[[#This Row],[Honorar]]*[1]!Tabel1[[#This Row],[Sandsynlighed]]</f>
        <v>50000</v>
      </c>
      <c r="J1628" s="10" t="s">
        <v>1062</v>
      </c>
      <c r="K1628" s="1" t="s">
        <v>1709</v>
      </c>
      <c r="L1628" s="17"/>
      <c r="M1628" s="11">
        <v>0.01</v>
      </c>
      <c r="N1628" s="1"/>
      <c r="O1628" s="10">
        <v>46279.621527777781</v>
      </c>
      <c r="P1628" s="10" t="s">
        <v>46</v>
      </c>
      <c r="Q1628" s="1" t="s">
        <v>72</v>
      </c>
      <c r="R1628" s="8" t="s">
        <v>1052</v>
      </c>
      <c r="S162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2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2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2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2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2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2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2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2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2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2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2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2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28" s="12">
        <f ca="1">[1]!Tabel1[[#This Row],[Vægtet Honorar]]*([1]!Tabel1[[#This Row],[Sidst redigeret]]&gt;TODAY()-40)*([1]!Tabel1[[#This Row],[Er i resplan?]]&lt;&gt;"Ja")*([1]!Tabel1[[#This Row],[Status]]="Pågår")</f>
        <v>50000</v>
      </c>
      <c r="AG1628" s="12">
        <f ca="1">[1]!Tabel1[[#This Row],[Vægtet Honorar]]*([1]!Tabel1[[#This Row],[Sidst redigeret]]&gt;TODAY()-40)*([1]!Tabel1[[#This Row],[Status]]="Pågår")</f>
        <v>50000</v>
      </c>
      <c r="AH1628" s="13"/>
      <c r="AI1628" s="12"/>
      <c r="AJ1628" s="12" t="s">
        <v>5615</v>
      </c>
      <c r="AK1628" s="12"/>
      <c r="AL1628" s="12"/>
      <c r="AM1628" s="12"/>
      <c r="AN1628" s="12"/>
      <c r="AO1628" s="12"/>
      <c r="AP1628" s="12"/>
    </row>
    <row r="1629" spans="1:42" ht="60">
      <c r="A1629" t="s">
        <v>5616</v>
      </c>
      <c r="B1629" s="8"/>
      <c r="C1629" s="8" t="s">
        <v>5617</v>
      </c>
      <c r="D1629" s="8" t="s">
        <v>70</v>
      </c>
      <c r="E1629" s="8" t="s">
        <v>102</v>
      </c>
      <c r="F1629" s="8" t="s">
        <v>1538</v>
      </c>
      <c r="G1629" s="8" t="s">
        <v>1538</v>
      </c>
      <c r="H1629" s="9">
        <v>5000000</v>
      </c>
      <c r="I1629" s="9">
        <f>[1]!Tabel1[[#This Row],[Honorar]]*[1]!Tabel1[[#This Row],[Sandsynlighed]]</f>
        <v>75000</v>
      </c>
      <c r="J1629" s="10" t="s">
        <v>585</v>
      </c>
      <c r="K1629" s="1" t="s">
        <v>2039</v>
      </c>
      <c r="L1629" s="17" t="s">
        <v>5618</v>
      </c>
      <c r="M1629" s="11">
        <v>0.1</v>
      </c>
      <c r="N1629" s="1"/>
      <c r="O1629" s="10">
        <v>46279.621527777781</v>
      </c>
      <c r="P1629" s="10" t="s">
        <v>46</v>
      </c>
      <c r="Q1629" s="1" t="s">
        <v>72</v>
      </c>
      <c r="R1629" s="8" t="s">
        <v>49</v>
      </c>
      <c r="S162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2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2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2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2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2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2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2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2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2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2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2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2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29" s="12">
        <f ca="1">[1]!Tabel1[[#This Row],[Vægtet Honorar]]*([1]!Tabel1[[#This Row],[Sidst redigeret]]&gt;TODAY()-40)*([1]!Tabel1[[#This Row],[Er i resplan?]]&lt;&gt;"Ja")*([1]!Tabel1[[#This Row],[Status]]="Pågår")</f>
        <v>75000</v>
      </c>
      <c r="AG1629" s="12">
        <f ca="1">[1]!Tabel1[[#This Row],[Vægtet Honorar]]*([1]!Tabel1[[#This Row],[Sidst redigeret]]&gt;TODAY()-40)*([1]!Tabel1[[#This Row],[Status]]="Pågår")</f>
        <v>75000</v>
      </c>
      <c r="AH1629" s="13"/>
      <c r="AI1629" s="12"/>
      <c r="AJ1629" s="12" t="s">
        <v>5619</v>
      </c>
      <c r="AK1629" s="12"/>
      <c r="AL1629" s="12"/>
      <c r="AM1629" s="12"/>
      <c r="AN1629" s="12" t="s">
        <v>5620</v>
      </c>
      <c r="AO1629" s="12"/>
      <c r="AP1629" s="12"/>
    </row>
    <row r="1630" spans="1:42">
      <c r="A1630" t="s">
        <v>5621</v>
      </c>
      <c r="B1630" s="8"/>
      <c r="C1630" s="8" t="s">
        <v>5622</v>
      </c>
      <c r="D1630" s="8" t="s">
        <v>2886</v>
      </c>
      <c r="E1630" s="8" t="s">
        <v>120</v>
      </c>
      <c r="F1630" s="8" t="s">
        <v>5623</v>
      </c>
      <c r="G1630" s="8" t="s">
        <v>5623</v>
      </c>
      <c r="H1630" s="9">
        <v>8000000</v>
      </c>
      <c r="I1630" s="9">
        <f>[1]!Tabel1[[#This Row],[Honorar]]*[1]!Tabel1[[#This Row],[Sandsynlighed]]</f>
        <v>166250</v>
      </c>
      <c r="J1630" s="10" t="s">
        <v>1062</v>
      </c>
      <c r="K1630" s="1" t="s">
        <v>2105</v>
      </c>
      <c r="L1630" s="17"/>
      <c r="M1630" s="11">
        <v>0.2</v>
      </c>
      <c r="N1630" s="1"/>
      <c r="O1630" s="10">
        <v>46279.621527777781</v>
      </c>
      <c r="P1630" s="10" t="s">
        <v>46</v>
      </c>
      <c r="Q1630" s="1" t="s">
        <v>72</v>
      </c>
      <c r="R1630" s="8" t="s">
        <v>343</v>
      </c>
      <c r="S163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3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3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3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3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3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3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3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3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3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3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3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3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30" s="12">
        <f ca="1">[1]!Tabel1[[#This Row],[Vægtet Honorar]]*([1]!Tabel1[[#This Row],[Sidst redigeret]]&gt;TODAY()-40)*([1]!Tabel1[[#This Row],[Er i resplan?]]&lt;&gt;"Ja")*([1]!Tabel1[[#This Row],[Status]]="Pågår")</f>
        <v>166250</v>
      </c>
      <c r="AG1630" s="12">
        <f ca="1">[1]!Tabel1[[#This Row],[Vægtet Honorar]]*([1]!Tabel1[[#This Row],[Sidst redigeret]]&gt;TODAY()-40)*([1]!Tabel1[[#This Row],[Status]]="Pågår")</f>
        <v>166250</v>
      </c>
      <c r="AH1630" s="13"/>
      <c r="AI1630" s="12"/>
      <c r="AJ1630" s="12"/>
      <c r="AK1630" s="12"/>
      <c r="AL1630" s="12"/>
      <c r="AM1630" s="12"/>
      <c r="AN1630" s="12"/>
      <c r="AO1630" s="12"/>
      <c r="AP1630" s="12"/>
    </row>
    <row r="1631" spans="1:42">
      <c r="A1631" t="s">
        <v>5624</v>
      </c>
      <c r="B1631" s="8"/>
      <c r="C1631" s="8" t="s">
        <v>5625</v>
      </c>
      <c r="D1631" s="8" t="s">
        <v>2886</v>
      </c>
      <c r="E1631" s="8" t="s">
        <v>120</v>
      </c>
      <c r="F1631" s="8" t="s">
        <v>4208</v>
      </c>
      <c r="G1631" s="8" t="s">
        <v>2917</v>
      </c>
      <c r="H1631" s="9">
        <v>2000000</v>
      </c>
      <c r="I1631" s="9">
        <f>[1]!Tabel1[[#This Row],[Honorar]]*[1]!Tabel1[[#This Row],[Sandsynlighed]]</f>
        <v>166250</v>
      </c>
      <c r="J1631" s="10" t="s">
        <v>585</v>
      </c>
      <c r="K1631" s="1" t="s">
        <v>1323</v>
      </c>
      <c r="L1631" s="17"/>
      <c r="M1631" s="11">
        <v>0.25</v>
      </c>
      <c r="N1631" s="1"/>
      <c r="O1631" s="10">
        <v>46279.621527777781</v>
      </c>
      <c r="P1631" s="10" t="s">
        <v>46</v>
      </c>
      <c r="Q1631" s="1" t="s">
        <v>72</v>
      </c>
      <c r="R1631" s="8" t="s">
        <v>343</v>
      </c>
      <c r="S163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3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3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3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3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3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3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3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3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3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3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3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3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31" s="12">
        <f ca="1">[1]!Tabel1[[#This Row],[Vægtet Honorar]]*([1]!Tabel1[[#This Row],[Sidst redigeret]]&gt;TODAY()-40)*([1]!Tabel1[[#This Row],[Er i resplan?]]&lt;&gt;"Ja")*([1]!Tabel1[[#This Row],[Status]]="Pågår")</f>
        <v>166250</v>
      </c>
      <c r="AG1631" s="12">
        <f ca="1">[1]!Tabel1[[#This Row],[Vægtet Honorar]]*([1]!Tabel1[[#This Row],[Sidst redigeret]]&gt;TODAY()-40)*([1]!Tabel1[[#This Row],[Status]]="Pågår")</f>
        <v>166250</v>
      </c>
      <c r="AH1631" s="13"/>
      <c r="AI1631" s="12"/>
      <c r="AJ1631" s="12" t="s">
        <v>2917</v>
      </c>
      <c r="AK1631" s="12"/>
      <c r="AL1631" s="12"/>
      <c r="AM1631" s="12"/>
      <c r="AN1631" s="12"/>
      <c r="AO1631" s="12"/>
      <c r="AP1631" s="12"/>
    </row>
    <row r="1632" spans="1:42" ht="75">
      <c r="A1632" t="s">
        <v>5626</v>
      </c>
      <c r="B1632" s="8"/>
      <c r="C1632" s="8" t="s">
        <v>5627</v>
      </c>
      <c r="D1632" s="8" t="s">
        <v>358</v>
      </c>
      <c r="E1632" s="8" t="s">
        <v>102</v>
      </c>
      <c r="F1632" s="8" t="s">
        <v>5628</v>
      </c>
      <c r="G1632" s="8" t="s">
        <v>3706</v>
      </c>
      <c r="H1632" s="9">
        <v>50000</v>
      </c>
      <c r="I1632" s="9">
        <f>[1]!Tabel1[[#This Row],[Honorar]]*[1]!Tabel1[[#This Row],[Sandsynlighed]]</f>
        <v>60000</v>
      </c>
      <c r="J1632" s="10" t="s">
        <v>341</v>
      </c>
      <c r="K1632" s="1" t="s">
        <v>2405</v>
      </c>
      <c r="L1632" s="17" t="s">
        <v>5629</v>
      </c>
      <c r="M1632" s="11">
        <v>0.5</v>
      </c>
      <c r="N1632" s="1"/>
      <c r="O1632" s="10">
        <v>46279.621527777781</v>
      </c>
      <c r="P1632" s="10" t="s">
        <v>46</v>
      </c>
      <c r="Q1632" s="1" t="s">
        <v>46</v>
      </c>
      <c r="R1632" s="8" t="s">
        <v>47</v>
      </c>
      <c r="S163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3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3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3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3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3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3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3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3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3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3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3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3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32" s="12">
        <f ca="1">[1]!Tabel1[[#This Row],[Vægtet Honorar]]*([1]!Tabel1[[#This Row],[Sidst redigeret]]&gt;TODAY()-40)*([1]!Tabel1[[#This Row],[Er i resplan?]]&lt;&gt;"Ja")*([1]!Tabel1[[#This Row],[Status]]="Pågår")</f>
        <v>60000</v>
      </c>
      <c r="AG1632" s="12">
        <f ca="1">[1]!Tabel1[[#This Row],[Vægtet Honorar]]*([1]!Tabel1[[#This Row],[Sidst redigeret]]&gt;TODAY()-40)*([1]!Tabel1[[#This Row],[Status]]="Pågår")</f>
        <v>60000</v>
      </c>
      <c r="AH1632" s="13">
        <v>46085.612361111111</v>
      </c>
      <c r="AI1632" s="12"/>
      <c r="AJ1632" s="12"/>
      <c r="AK1632" s="12"/>
      <c r="AL1632" s="12"/>
      <c r="AM1632" s="12"/>
      <c r="AN1632" s="12"/>
      <c r="AO1632" s="12"/>
      <c r="AP1632" s="12"/>
    </row>
    <row r="1633" spans="1:42">
      <c r="A1633" t="s">
        <v>5630</v>
      </c>
      <c r="B1633" s="8"/>
      <c r="C1633" s="8" t="s">
        <v>5631</v>
      </c>
      <c r="D1633" s="8" t="s">
        <v>720</v>
      </c>
      <c r="E1633" s="8" t="s">
        <v>71</v>
      </c>
      <c r="F1633" s="8" t="s">
        <v>1945</v>
      </c>
      <c r="G1633" s="8" t="s">
        <v>5000</v>
      </c>
      <c r="H1633" s="9">
        <v>100000</v>
      </c>
      <c r="I1633" s="9">
        <f>[1]!Tabel1[[#This Row],[Honorar]]*[1]!Tabel1[[#This Row],[Sandsynlighed]]</f>
        <v>10000</v>
      </c>
      <c r="J1633" s="10" t="s">
        <v>1310</v>
      </c>
      <c r="K1633" s="1" t="s">
        <v>1287</v>
      </c>
      <c r="L1633" s="17"/>
      <c r="M1633" s="11">
        <v>0.25</v>
      </c>
      <c r="N1633" s="1"/>
      <c r="O1633" s="10">
        <v>46279.621527777781</v>
      </c>
      <c r="P1633" s="10" t="s">
        <v>46</v>
      </c>
      <c r="Q1633" s="1" t="s">
        <v>72</v>
      </c>
      <c r="R1633" s="8" t="s">
        <v>343</v>
      </c>
      <c r="S163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3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3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3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3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3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3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3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3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3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3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3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3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33" s="12">
        <f ca="1">[1]!Tabel1[[#This Row],[Vægtet Honorar]]*([1]!Tabel1[[#This Row],[Sidst redigeret]]&gt;TODAY()-40)*([1]!Tabel1[[#This Row],[Er i resplan?]]&lt;&gt;"Ja")*([1]!Tabel1[[#This Row],[Status]]="Pågår")</f>
        <v>0</v>
      </c>
      <c r="AG1633" s="12">
        <f ca="1">[1]!Tabel1[[#This Row],[Vægtet Honorar]]*([1]!Tabel1[[#This Row],[Sidst redigeret]]&gt;TODAY()-40)*([1]!Tabel1[[#This Row],[Status]]="Pågår")</f>
        <v>0</v>
      </c>
      <c r="AH1633" s="13"/>
      <c r="AI1633" s="12"/>
      <c r="AJ1633" s="12" t="s">
        <v>2917</v>
      </c>
      <c r="AK1633" s="12"/>
      <c r="AL1633" s="12"/>
      <c r="AM1633" s="12"/>
      <c r="AN1633" s="12"/>
      <c r="AO1633" s="12"/>
      <c r="AP1633" s="12"/>
    </row>
    <row r="1634" spans="1:42" ht="30">
      <c r="A1634" t="s">
        <v>5632</v>
      </c>
      <c r="B1634" s="8"/>
      <c r="C1634" s="8" t="s">
        <v>5633</v>
      </c>
      <c r="D1634" s="8" t="s">
        <v>1468</v>
      </c>
      <c r="E1634" s="8" t="s">
        <v>167</v>
      </c>
      <c r="F1634" s="8" t="s">
        <v>2183</v>
      </c>
      <c r="G1634" s="8" t="s">
        <v>2183</v>
      </c>
      <c r="H1634" s="9">
        <v>825000</v>
      </c>
      <c r="I1634" s="9">
        <f>[1]!Tabel1[[#This Row],[Honorar]]*[1]!Tabel1[[#This Row],[Sandsynlighed]]</f>
        <v>500000</v>
      </c>
      <c r="J1634" s="10" t="s">
        <v>1310</v>
      </c>
      <c r="K1634" s="1" t="s">
        <v>1062</v>
      </c>
      <c r="L1634" s="17" t="s">
        <v>5499</v>
      </c>
      <c r="M1634" s="11">
        <v>0.33</v>
      </c>
      <c r="N1634" s="1"/>
      <c r="O1634" s="10">
        <v>46279.621527777781</v>
      </c>
      <c r="P1634" s="10" t="s">
        <v>46</v>
      </c>
      <c r="Q1634" s="1" t="s">
        <v>46</v>
      </c>
      <c r="R1634" s="8" t="s">
        <v>47</v>
      </c>
      <c r="S163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3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3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3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3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3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3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3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3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3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3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3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3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34" s="12">
        <f ca="1">[1]!Tabel1[[#This Row],[Vægtet Honorar]]*([1]!Tabel1[[#This Row],[Sidst redigeret]]&gt;TODAY()-40)*([1]!Tabel1[[#This Row],[Er i resplan?]]&lt;&gt;"Ja")*([1]!Tabel1[[#This Row],[Status]]="Pågår")</f>
        <v>0</v>
      </c>
      <c r="AG1634" s="12">
        <f ca="1">[1]!Tabel1[[#This Row],[Vægtet Honorar]]*([1]!Tabel1[[#This Row],[Sidst redigeret]]&gt;TODAY()-40)*([1]!Tabel1[[#This Row],[Status]]="Pågår")</f>
        <v>0</v>
      </c>
      <c r="AH1634" s="13">
        <v>46198.471331018518</v>
      </c>
      <c r="AI1634" s="12"/>
      <c r="AJ1634" s="12"/>
      <c r="AK1634" s="12"/>
      <c r="AL1634" s="12"/>
      <c r="AM1634" s="12"/>
      <c r="AN1634" s="12"/>
      <c r="AO1634" s="12"/>
      <c r="AP1634" s="12"/>
    </row>
    <row r="1635" spans="1:42">
      <c r="A1635" t="s">
        <v>5634</v>
      </c>
      <c r="B1635" s="8"/>
      <c r="C1635" s="8" t="s">
        <v>5635</v>
      </c>
      <c r="D1635" s="8" t="s">
        <v>158</v>
      </c>
      <c r="E1635" s="8" t="s">
        <v>167</v>
      </c>
      <c r="F1635" s="8" t="s">
        <v>5636</v>
      </c>
      <c r="G1635" s="8" t="s">
        <v>4822</v>
      </c>
      <c r="H1635" s="9">
        <v>300000</v>
      </c>
      <c r="I1635" s="9">
        <f>[1]!Tabel1[[#This Row],[Honorar]]*[1]!Tabel1[[#This Row],[Sandsynlighed]]</f>
        <v>1600000</v>
      </c>
      <c r="J1635" s="10" t="s">
        <v>1310</v>
      </c>
      <c r="K1635" s="1" t="s">
        <v>342</v>
      </c>
      <c r="L1635" s="17"/>
      <c r="M1635" s="11">
        <v>0.2</v>
      </c>
      <c r="N1635" s="1"/>
      <c r="O1635" s="10">
        <v>46279.621527777781</v>
      </c>
      <c r="P1635" s="10" t="s">
        <v>46</v>
      </c>
      <c r="Q1635" s="1" t="s">
        <v>72</v>
      </c>
      <c r="R1635" s="8" t="s">
        <v>343</v>
      </c>
      <c r="S163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3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3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3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3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3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3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3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3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3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3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3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3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35" s="12">
        <f ca="1">[1]!Tabel1[[#This Row],[Vægtet Honorar]]*([1]!Tabel1[[#This Row],[Sidst redigeret]]&gt;TODAY()-40)*([1]!Tabel1[[#This Row],[Er i resplan?]]&lt;&gt;"Ja")*([1]!Tabel1[[#This Row],[Status]]="Pågår")</f>
        <v>1600000</v>
      </c>
      <c r="AG1635" s="12">
        <f ca="1">[1]!Tabel1[[#This Row],[Vægtet Honorar]]*([1]!Tabel1[[#This Row],[Sidst redigeret]]&gt;TODAY()-40)*([1]!Tabel1[[#This Row],[Status]]="Pågår")</f>
        <v>1600000</v>
      </c>
      <c r="AH1635" s="13"/>
      <c r="AI1635" s="12"/>
      <c r="AJ1635" s="12"/>
      <c r="AK1635" s="12"/>
      <c r="AL1635" s="12"/>
      <c r="AM1635" s="12"/>
      <c r="AN1635" s="12"/>
      <c r="AO1635" s="12"/>
      <c r="AP1635" s="12"/>
    </row>
    <row r="1636" spans="1:42" ht="105">
      <c r="A1636" t="s">
        <v>5637</v>
      </c>
      <c r="B1636" s="8"/>
      <c r="C1636" s="8" t="s">
        <v>5638</v>
      </c>
      <c r="D1636" s="8" t="s">
        <v>358</v>
      </c>
      <c r="E1636" s="8" t="s">
        <v>102</v>
      </c>
      <c r="F1636" s="8" t="s">
        <v>1152</v>
      </c>
      <c r="G1636" s="8" t="s">
        <v>1152</v>
      </c>
      <c r="H1636" s="9">
        <v>2000000</v>
      </c>
      <c r="I1636" s="9">
        <f>[1]!Tabel1[[#This Row],[Honorar]]*[1]!Tabel1[[#This Row],[Sandsynlighed]]</f>
        <v>500000</v>
      </c>
      <c r="J1636" s="10" t="s">
        <v>1310</v>
      </c>
      <c r="K1636" s="1" t="s">
        <v>1861</v>
      </c>
      <c r="L1636" s="17" t="s">
        <v>5639</v>
      </c>
      <c r="M1636" s="11">
        <v>0.2</v>
      </c>
      <c r="N1636" s="1">
        <v>80000</v>
      </c>
      <c r="O1636" s="10">
        <v>46279.621527777781</v>
      </c>
      <c r="P1636" s="10" t="s">
        <v>46</v>
      </c>
      <c r="Q1636" s="1" t="s">
        <v>72</v>
      </c>
      <c r="R1636" s="8" t="s">
        <v>343</v>
      </c>
      <c r="S163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3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3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3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3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3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3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3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3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3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3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3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3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36" s="12">
        <f ca="1">[1]!Tabel1[[#This Row],[Vægtet Honorar]]*([1]!Tabel1[[#This Row],[Sidst redigeret]]&gt;TODAY()-40)*([1]!Tabel1[[#This Row],[Er i resplan?]]&lt;&gt;"Ja")*([1]!Tabel1[[#This Row],[Status]]="Pågår")</f>
        <v>500000</v>
      </c>
      <c r="AG1636" s="12">
        <f ca="1">[1]!Tabel1[[#This Row],[Vægtet Honorar]]*([1]!Tabel1[[#This Row],[Sidst redigeret]]&gt;TODAY()-40)*([1]!Tabel1[[#This Row],[Status]]="Pågår")</f>
        <v>500000</v>
      </c>
      <c r="AH1636" s="13"/>
      <c r="AI1636" s="12"/>
      <c r="AJ1636" s="12"/>
      <c r="AK1636" s="12"/>
      <c r="AL1636" s="12"/>
      <c r="AM1636" s="12"/>
      <c r="AN1636" s="12"/>
      <c r="AO1636" s="12"/>
      <c r="AP1636" s="12"/>
    </row>
    <row r="1637" spans="1:42">
      <c r="A1637" t="s">
        <v>5640</v>
      </c>
      <c r="B1637" s="8"/>
      <c r="C1637" s="8" t="s">
        <v>5641</v>
      </c>
      <c r="D1637" s="8" t="s">
        <v>2886</v>
      </c>
      <c r="E1637" s="8" t="s">
        <v>120</v>
      </c>
      <c r="F1637" s="8" t="s">
        <v>5623</v>
      </c>
      <c r="G1637" s="8" t="s">
        <v>5623</v>
      </c>
      <c r="H1637" s="9">
        <v>1000000</v>
      </c>
      <c r="I1637" s="9">
        <f>[1]!Tabel1[[#This Row],[Honorar]]*[1]!Tabel1[[#This Row],[Sandsynlighed]]</f>
        <v>25000</v>
      </c>
      <c r="J1637" s="10" t="s">
        <v>1310</v>
      </c>
      <c r="K1637" s="1" t="s">
        <v>2405</v>
      </c>
      <c r="L1637" s="17"/>
      <c r="M1637" s="11">
        <v>0.85</v>
      </c>
      <c r="N1637" s="1"/>
      <c r="O1637" s="10">
        <v>46279.621527777781</v>
      </c>
      <c r="P1637" s="10" t="s">
        <v>46</v>
      </c>
      <c r="Q1637" s="1" t="s">
        <v>46</v>
      </c>
      <c r="R1637" s="8" t="s">
        <v>47</v>
      </c>
      <c r="S163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3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3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3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3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3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3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3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3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3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3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3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3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37" s="12">
        <f ca="1">[1]!Tabel1[[#This Row],[Vægtet Honorar]]*([1]!Tabel1[[#This Row],[Sidst redigeret]]&gt;TODAY()-40)*([1]!Tabel1[[#This Row],[Er i resplan?]]&lt;&gt;"Ja")*([1]!Tabel1[[#This Row],[Status]]="Pågår")</f>
        <v>0</v>
      </c>
      <c r="AG1637" s="12">
        <f ca="1">[1]!Tabel1[[#This Row],[Vægtet Honorar]]*([1]!Tabel1[[#This Row],[Sidst redigeret]]&gt;TODAY()-40)*([1]!Tabel1[[#This Row],[Status]]="Pågår")</f>
        <v>0</v>
      </c>
      <c r="AH1637" s="13">
        <v>46269.500254629631</v>
      </c>
      <c r="AI1637" s="12"/>
      <c r="AJ1637" s="12" t="s">
        <v>5642</v>
      </c>
      <c r="AK1637" s="12"/>
      <c r="AL1637" s="12"/>
      <c r="AM1637" s="12"/>
      <c r="AN1637" s="12"/>
      <c r="AO1637" s="12"/>
      <c r="AP1637" s="12"/>
    </row>
    <row r="1638" spans="1:42" ht="60">
      <c r="A1638" t="s">
        <v>5643</v>
      </c>
      <c r="B1638" s="8"/>
      <c r="C1638" s="8" t="s">
        <v>5644</v>
      </c>
      <c r="D1638" s="8" t="s">
        <v>421</v>
      </c>
      <c r="E1638" s="8" t="s">
        <v>120</v>
      </c>
      <c r="F1638" s="8" t="s">
        <v>4034</v>
      </c>
      <c r="G1638" s="8" t="s">
        <v>4135</v>
      </c>
      <c r="H1638" s="9">
        <v>6200000</v>
      </c>
      <c r="I1638" s="9">
        <f>[1]!Tabel1[[#This Row],[Honorar]]*[1]!Tabel1[[#This Row],[Sandsynlighed]]</f>
        <v>25000</v>
      </c>
      <c r="J1638" s="10" t="s">
        <v>585</v>
      </c>
      <c r="K1638" s="1" t="s">
        <v>3601</v>
      </c>
      <c r="L1638" s="17" t="s">
        <v>5645</v>
      </c>
      <c r="M1638" s="11">
        <v>0.8</v>
      </c>
      <c r="N1638" s="1">
        <v>5000</v>
      </c>
      <c r="O1638" s="10">
        <v>46279.621527777781</v>
      </c>
      <c r="P1638" s="10" t="s">
        <v>46</v>
      </c>
      <c r="Q1638" s="1" t="s">
        <v>46</v>
      </c>
      <c r="R1638" s="8" t="s">
        <v>343</v>
      </c>
      <c r="S163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3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3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3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3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3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3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3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3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3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3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3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3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38" s="12">
        <f ca="1">[1]!Tabel1[[#This Row],[Vægtet Honorar]]*([1]!Tabel1[[#This Row],[Sidst redigeret]]&gt;TODAY()-40)*([1]!Tabel1[[#This Row],[Er i resplan?]]&lt;&gt;"Ja")*([1]!Tabel1[[#This Row],[Status]]="Pågår")</f>
        <v>25000</v>
      </c>
      <c r="AG1638" s="12">
        <f ca="1">[1]!Tabel1[[#This Row],[Vægtet Honorar]]*([1]!Tabel1[[#This Row],[Sidst redigeret]]&gt;TODAY()-40)*([1]!Tabel1[[#This Row],[Status]]="Pågår")</f>
        <v>25000</v>
      </c>
      <c r="AH1638" s="13"/>
      <c r="AI1638" s="12"/>
      <c r="AJ1638" s="12"/>
      <c r="AK1638" s="12"/>
      <c r="AL1638" s="12"/>
      <c r="AM1638" s="12"/>
      <c r="AN1638" s="12"/>
      <c r="AO1638" s="12"/>
      <c r="AP1638" s="12"/>
    </row>
    <row r="1639" spans="1:42">
      <c r="A1639" t="s">
        <v>5646</v>
      </c>
      <c r="B1639" s="8"/>
      <c r="C1639" s="8" t="s">
        <v>5647</v>
      </c>
      <c r="D1639" s="8" t="s">
        <v>2886</v>
      </c>
      <c r="E1639" s="8" t="s">
        <v>120</v>
      </c>
      <c r="F1639" s="8" t="s">
        <v>4735</v>
      </c>
      <c r="G1639" s="8" t="s">
        <v>5239</v>
      </c>
      <c r="H1639" s="9">
        <v>500000</v>
      </c>
      <c r="I1639" s="9">
        <f>[1]!Tabel1[[#This Row],[Honorar]]*[1]!Tabel1[[#This Row],[Sandsynlighed]]</f>
        <v>272250</v>
      </c>
      <c r="J1639" s="10" t="s">
        <v>1310</v>
      </c>
      <c r="K1639" s="1" t="s">
        <v>2405</v>
      </c>
      <c r="L1639" s="17"/>
      <c r="M1639" s="11">
        <v>0.5</v>
      </c>
      <c r="N1639" s="1"/>
      <c r="O1639" s="10">
        <v>46279.621527777781</v>
      </c>
      <c r="P1639" s="10" t="s">
        <v>46</v>
      </c>
      <c r="Q1639" s="1" t="s">
        <v>46</v>
      </c>
      <c r="R1639" s="8" t="s">
        <v>1265</v>
      </c>
      <c r="S163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3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3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3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3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3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3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3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3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3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3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3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3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39" s="12">
        <f ca="1">[1]!Tabel1[[#This Row],[Vægtet Honorar]]*([1]!Tabel1[[#This Row],[Sidst redigeret]]&gt;TODAY()-40)*([1]!Tabel1[[#This Row],[Er i resplan?]]&lt;&gt;"Ja")*([1]!Tabel1[[#This Row],[Status]]="Pågår")</f>
        <v>0</v>
      </c>
      <c r="AG1639" s="12">
        <f ca="1">[1]!Tabel1[[#This Row],[Vægtet Honorar]]*([1]!Tabel1[[#This Row],[Sidst redigeret]]&gt;TODAY()-40)*([1]!Tabel1[[#This Row],[Status]]="Pågår")</f>
        <v>0</v>
      </c>
      <c r="AH1639" s="13"/>
      <c r="AI1639" s="12"/>
      <c r="AJ1639" s="12" t="s">
        <v>5648</v>
      </c>
      <c r="AK1639" s="12"/>
      <c r="AL1639" s="12"/>
      <c r="AM1639" s="12"/>
      <c r="AN1639" s="12"/>
      <c r="AO1639" s="12"/>
      <c r="AP1639" s="12"/>
    </row>
    <row r="1640" spans="1:42" ht="90">
      <c r="A1640" t="s">
        <v>5649</v>
      </c>
      <c r="B1640" s="8"/>
      <c r="C1640" s="8" t="s">
        <v>5650</v>
      </c>
      <c r="D1640" s="8" t="s">
        <v>1771</v>
      </c>
      <c r="E1640" s="8" t="s">
        <v>167</v>
      </c>
      <c r="F1640" s="8" t="s">
        <v>5651</v>
      </c>
      <c r="G1640" s="8"/>
      <c r="H1640" s="9">
        <v>10000000</v>
      </c>
      <c r="I1640" s="9">
        <f>[1]!Tabel1[[#This Row],[Honorar]]*[1]!Tabel1[[#This Row],[Sandsynlighed]]</f>
        <v>60000</v>
      </c>
      <c r="J1640" s="10" t="s">
        <v>342</v>
      </c>
      <c r="K1640" s="1" t="s">
        <v>898</v>
      </c>
      <c r="L1640" s="17" t="s">
        <v>5652</v>
      </c>
      <c r="M1640" s="11">
        <v>0</v>
      </c>
      <c r="N1640" s="1"/>
      <c r="O1640" s="10">
        <v>46279.621527777781</v>
      </c>
      <c r="P1640" s="10" t="s">
        <v>4591</v>
      </c>
      <c r="Q1640" s="1"/>
      <c r="R1640" s="8" t="s">
        <v>49</v>
      </c>
      <c r="S164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4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4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4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4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4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4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4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4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4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4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4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4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40" s="12">
        <f ca="1">[1]!Tabel1[[#This Row],[Vægtet Honorar]]*([1]!Tabel1[[#This Row],[Sidst redigeret]]&gt;TODAY()-40)*([1]!Tabel1[[#This Row],[Er i resplan?]]&lt;&gt;"Ja")*([1]!Tabel1[[#This Row],[Status]]="Pågår")</f>
        <v>60000</v>
      </c>
      <c r="AG1640" s="12">
        <f ca="1">[1]!Tabel1[[#This Row],[Vægtet Honorar]]*([1]!Tabel1[[#This Row],[Sidst redigeret]]&gt;TODAY()-40)*([1]!Tabel1[[#This Row],[Status]]="Pågår")</f>
        <v>60000</v>
      </c>
      <c r="AH1640" s="13"/>
      <c r="AI1640" s="12"/>
      <c r="AJ1640" s="12"/>
      <c r="AK1640" s="12"/>
      <c r="AL1640" s="12"/>
      <c r="AM1640" s="12"/>
      <c r="AN1640" s="12"/>
      <c r="AO1640" s="12"/>
      <c r="AP1640" s="12"/>
    </row>
    <row r="1641" spans="1:42" ht="60">
      <c r="A1641" t="s">
        <v>5653</v>
      </c>
      <c r="B1641" s="8"/>
      <c r="C1641" s="8" t="s">
        <v>5654</v>
      </c>
      <c r="D1641" s="8" t="s">
        <v>896</v>
      </c>
      <c r="E1641" s="8" t="s">
        <v>94</v>
      </c>
      <c r="F1641" s="8" t="s">
        <v>5655</v>
      </c>
      <c r="G1641" s="8" t="s">
        <v>5656</v>
      </c>
      <c r="H1641" s="9">
        <v>10000000</v>
      </c>
      <c r="I1641" s="9">
        <f>[1]!Tabel1[[#This Row],[Honorar]]*[1]!Tabel1[[#This Row],[Sandsynlighed]]</f>
        <v>400000</v>
      </c>
      <c r="J1641" s="10" t="s">
        <v>585</v>
      </c>
      <c r="K1641" s="1" t="s">
        <v>898</v>
      </c>
      <c r="L1641" s="17" t="s">
        <v>5657</v>
      </c>
      <c r="M1641" s="11">
        <v>0.01</v>
      </c>
      <c r="N1641" s="1"/>
      <c r="O1641" s="10">
        <v>46279.621527777781</v>
      </c>
      <c r="P1641" s="10" t="s">
        <v>4591</v>
      </c>
      <c r="Q1641" s="1"/>
      <c r="R1641" s="8" t="s">
        <v>343</v>
      </c>
      <c r="S164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4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4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4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4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4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4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4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4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4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4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4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4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41" s="12">
        <f ca="1">[1]!Tabel1[[#This Row],[Vægtet Honorar]]*([1]!Tabel1[[#This Row],[Sidst redigeret]]&gt;TODAY()-40)*([1]!Tabel1[[#This Row],[Er i resplan?]]&lt;&gt;"Ja")*([1]!Tabel1[[#This Row],[Status]]="Pågår")</f>
        <v>400000</v>
      </c>
      <c r="AG1641" s="12">
        <f ca="1">[1]!Tabel1[[#This Row],[Vægtet Honorar]]*([1]!Tabel1[[#This Row],[Sidst redigeret]]&gt;TODAY()-40)*([1]!Tabel1[[#This Row],[Status]]="Pågår")</f>
        <v>400000</v>
      </c>
      <c r="AH1641" s="13"/>
      <c r="AI1641" s="12"/>
      <c r="AJ1641" s="12" t="s">
        <v>1352</v>
      </c>
      <c r="AK1641" s="12" t="s">
        <v>5656</v>
      </c>
      <c r="AL1641" s="12"/>
      <c r="AM1641" s="12"/>
      <c r="AN1641" s="12"/>
      <c r="AO1641" s="12"/>
      <c r="AP1641" s="12"/>
    </row>
    <row r="1642" spans="1:42" ht="45">
      <c r="A1642" t="s">
        <v>5658</v>
      </c>
      <c r="B1642" s="8"/>
      <c r="C1642" s="8" t="s">
        <v>5659</v>
      </c>
      <c r="D1642" s="8" t="s">
        <v>896</v>
      </c>
      <c r="E1642" s="8" t="s">
        <v>94</v>
      </c>
      <c r="F1642" s="8" t="s">
        <v>5050</v>
      </c>
      <c r="G1642" s="8" t="s">
        <v>2426</v>
      </c>
      <c r="H1642" s="9">
        <v>5000000</v>
      </c>
      <c r="I1642" s="9">
        <f>[1]!Tabel1[[#This Row],[Honorar]]*[1]!Tabel1[[#This Row],[Sandsynlighed]]</f>
        <v>850000</v>
      </c>
      <c r="J1642" s="10" t="s">
        <v>585</v>
      </c>
      <c r="K1642" s="1" t="s">
        <v>898</v>
      </c>
      <c r="L1642" s="17" t="s">
        <v>5660</v>
      </c>
      <c r="M1642" s="11">
        <v>0.01</v>
      </c>
      <c r="N1642" s="1"/>
      <c r="O1642" s="10">
        <v>46279.621527777781</v>
      </c>
      <c r="P1642" s="10" t="s">
        <v>4591</v>
      </c>
      <c r="Q1642" s="1"/>
      <c r="R1642" s="8" t="s">
        <v>343</v>
      </c>
      <c r="S164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4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4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4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4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4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4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4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4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4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4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4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4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42" s="12">
        <f ca="1">[1]!Tabel1[[#This Row],[Vægtet Honorar]]*([1]!Tabel1[[#This Row],[Sidst redigeret]]&gt;TODAY()-40)*([1]!Tabel1[[#This Row],[Er i resplan?]]&lt;&gt;"Ja")*([1]!Tabel1[[#This Row],[Status]]="Pågår")</f>
        <v>0</v>
      </c>
      <c r="AG1642" s="12">
        <f ca="1">[1]!Tabel1[[#This Row],[Vægtet Honorar]]*([1]!Tabel1[[#This Row],[Sidst redigeret]]&gt;TODAY()-40)*([1]!Tabel1[[#This Row],[Status]]="Pågår")</f>
        <v>0</v>
      </c>
      <c r="AH1642" s="13"/>
      <c r="AI1642" s="12"/>
      <c r="AJ1642" s="12" t="s">
        <v>5075</v>
      </c>
      <c r="AK1642" s="12"/>
      <c r="AL1642" s="12"/>
      <c r="AM1642" s="12"/>
      <c r="AN1642" s="12"/>
      <c r="AO1642" s="12"/>
      <c r="AP1642" s="12"/>
    </row>
    <row r="1643" spans="1:42">
      <c r="A1643" t="s">
        <v>5661</v>
      </c>
      <c r="B1643" s="8"/>
      <c r="C1643" s="8" t="s">
        <v>5662</v>
      </c>
      <c r="D1643" s="8" t="s">
        <v>1886</v>
      </c>
      <c r="E1643" s="8" t="s">
        <v>94</v>
      </c>
      <c r="F1643" s="8" t="s">
        <v>2341</v>
      </c>
      <c r="G1643" s="8" t="s">
        <v>2341</v>
      </c>
      <c r="H1643" s="9">
        <v>125000</v>
      </c>
      <c r="I1643" s="9">
        <f>[1]!Tabel1[[#This Row],[Honorar]]*[1]!Tabel1[[#This Row],[Sandsynlighed]]</f>
        <v>4960000</v>
      </c>
      <c r="J1643" s="10" t="s">
        <v>1310</v>
      </c>
      <c r="K1643" s="1" t="s">
        <v>585</v>
      </c>
      <c r="L1643" s="17"/>
      <c r="M1643" s="11">
        <v>0.95</v>
      </c>
      <c r="N1643" s="1"/>
      <c r="O1643" s="10">
        <v>46279.621527777781</v>
      </c>
      <c r="P1643" s="10" t="s">
        <v>46</v>
      </c>
      <c r="Q1643" s="1" t="s">
        <v>46</v>
      </c>
      <c r="R1643" s="8" t="s">
        <v>343</v>
      </c>
      <c r="S164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4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4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4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4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4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4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4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4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4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4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4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4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43" s="12">
        <f ca="1">[1]!Tabel1[[#This Row],[Vægtet Honorar]]*([1]!Tabel1[[#This Row],[Sidst redigeret]]&gt;TODAY()-40)*([1]!Tabel1[[#This Row],[Er i resplan?]]&lt;&gt;"Ja")*([1]!Tabel1[[#This Row],[Status]]="Pågår")</f>
        <v>0</v>
      </c>
      <c r="AG1643" s="12">
        <f ca="1">[1]!Tabel1[[#This Row],[Vægtet Honorar]]*([1]!Tabel1[[#This Row],[Sidst redigeret]]&gt;TODAY()-40)*([1]!Tabel1[[#This Row],[Status]]="Pågår")</f>
        <v>4960000</v>
      </c>
      <c r="AH1643" s="13"/>
      <c r="AI1643" s="12"/>
      <c r="AJ1643" s="12"/>
      <c r="AK1643" s="12"/>
      <c r="AL1643" s="12"/>
      <c r="AM1643" s="12"/>
      <c r="AN1643" s="12"/>
      <c r="AO1643" s="12"/>
      <c r="AP1643" s="12"/>
    </row>
    <row r="1644" spans="1:42">
      <c r="A1644" t="s">
        <v>5663</v>
      </c>
      <c r="B1644" s="8"/>
      <c r="C1644" s="8" t="s">
        <v>5664</v>
      </c>
      <c r="D1644" s="8" t="s">
        <v>990</v>
      </c>
      <c r="E1644" s="8" t="s">
        <v>71</v>
      </c>
      <c r="F1644" s="8" t="s">
        <v>4662</v>
      </c>
      <c r="G1644" s="8" t="s">
        <v>3815</v>
      </c>
      <c r="H1644" s="9">
        <v>100000</v>
      </c>
      <c r="I1644" s="9">
        <f>[1]!Tabel1[[#This Row],[Honorar]]*[1]!Tabel1[[#This Row],[Sandsynlighed]]</f>
        <v>250000</v>
      </c>
      <c r="J1644" s="10" t="s">
        <v>1310</v>
      </c>
      <c r="K1644" s="1" t="s">
        <v>1430</v>
      </c>
      <c r="L1644" s="17"/>
      <c r="M1644" s="11">
        <v>0.95</v>
      </c>
      <c r="N1644" s="1"/>
      <c r="O1644" s="10">
        <v>46279.621527777781</v>
      </c>
      <c r="P1644" s="10" t="s">
        <v>46</v>
      </c>
      <c r="Q1644" s="1" t="s">
        <v>46</v>
      </c>
      <c r="R1644" s="8" t="s">
        <v>343</v>
      </c>
      <c r="S164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4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4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4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4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4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4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4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4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4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4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4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4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44" s="12">
        <f ca="1">[1]!Tabel1[[#This Row],[Vægtet Honorar]]*([1]!Tabel1[[#This Row],[Sidst redigeret]]&gt;TODAY()-40)*([1]!Tabel1[[#This Row],[Er i resplan?]]&lt;&gt;"Ja")*([1]!Tabel1[[#This Row],[Status]]="Pågår")</f>
        <v>0</v>
      </c>
      <c r="AG1644" s="12">
        <f ca="1">[1]!Tabel1[[#This Row],[Vægtet Honorar]]*([1]!Tabel1[[#This Row],[Sidst redigeret]]&gt;TODAY()-40)*([1]!Tabel1[[#This Row],[Status]]="Pågår")</f>
        <v>0</v>
      </c>
      <c r="AH1644" s="13"/>
      <c r="AI1644" s="12"/>
      <c r="AJ1644" s="12"/>
      <c r="AK1644" s="12"/>
      <c r="AL1644" s="12"/>
      <c r="AM1644" s="12"/>
      <c r="AN1644" s="12"/>
      <c r="AO1644" s="12"/>
      <c r="AP1644" s="12"/>
    </row>
    <row r="1645" spans="1:42">
      <c r="A1645" t="s">
        <v>5665</v>
      </c>
      <c r="B1645" s="8"/>
      <c r="C1645" s="8" t="s">
        <v>5666</v>
      </c>
      <c r="D1645" s="8" t="s">
        <v>421</v>
      </c>
      <c r="E1645" s="8" t="s">
        <v>120</v>
      </c>
      <c r="F1645" s="8" t="s">
        <v>5667</v>
      </c>
      <c r="G1645" s="8" t="s">
        <v>5668</v>
      </c>
      <c r="H1645" s="9">
        <v>75000</v>
      </c>
      <c r="I1645" s="9">
        <f>[1]!Tabel1[[#This Row],[Honorar]]*[1]!Tabel1[[#This Row],[Sandsynlighed]]</f>
        <v>0</v>
      </c>
      <c r="J1645" s="10" t="s">
        <v>1310</v>
      </c>
      <c r="K1645" s="1" t="s">
        <v>585</v>
      </c>
      <c r="L1645" s="17"/>
      <c r="M1645" s="11">
        <v>0.5</v>
      </c>
      <c r="N1645" s="1">
        <v>100</v>
      </c>
      <c r="O1645" s="10">
        <v>46279.621527777781</v>
      </c>
      <c r="P1645" s="10" t="s">
        <v>46</v>
      </c>
      <c r="Q1645" s="1" t="s">
        <v>72</v>
      </c>
      <c r="R1645" s="8" t="s">
        <v>343</v>
      </c>
      <c r="S164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4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4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4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4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4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4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4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4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4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4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4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4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45" s="12">
        <f ca="1">[1]!Tabel1[[#This Row],[Vægtet Honorar]]*([1]!Tabel1[[#This Row],[Sidst redigeret]]&gt;TODAY()-40)*([1]!Tabel1[[#This Row],[Er i resplan?]]&lt;&gt;"Ja")*([1]!Tabel1[[#This Row],[Status]]="Pågår")</f>
        <v>0</v>
      </c>
      <c r="AG1645" s="12">
        <f ca="1">[1]!Tabel1[[#This Row],[Vægtet Honorar]]*([1]!Tabel1[[#This Row],[Sidst redigeret]]&gt;TODAY()-40)*([1]!Tabel1[[#This Row],[Status]]="Pågår")</f>
        <v>0</v>
      </c>
      <c r="AH1645" s="13"/>
      <c r="AI1645" s="12"/>
      <c r="AJ1645" s="12"/>
      <c r="AK1645" s="12"/>
      <c r="AL1645" s="12"/>
      <c r="AM1645" s="12"/>
      <c r="AN1645" s="12"/>
      <c r="AO1645" s="12"/>
      <c r="AP1645" s="12"/>
    </row>
    <row r="1646" spans="1:42" ht="75">
      <c r="A1646" t="s">
        <v>5669</v>
      </c>
      <c r="B1646" s="8"/>
      <c r="C1646" s="8" t="s">
        <v>5670</v>
      </c>
      <c r="D1646" s="8" t="s">
        <v>896</v>
      </c>
      <c r="E1646" s="8" t="s">
        <v>94</v>
      </c>
      <c r="F1646" s="8" t="s">
        <v>1024</v>
      </c>
      <c r="G1646" s="8" t="s">
        <v>1024</v>
      </c>
      <c r="H1646" s="9">
        <v>10000000</v>
      </c>
      <c r="I1646" s="9">
        <f>[1]!Tabel1[[#This Row],[Honorar]]*[1]!Tabel1[[#This Row],[Sandsynlighed]]</f>
        <v>100000</v>
      </c>
      <c r="J1646" s="10" t="s">
        <v>585</v>
      </c>
      <c r="K1646" s="1" t="s">
        <v>2093</v>
      </c>
      <c r="L1646" s="17"/>
      <c r="M1646" s="11">
        <v>0.01</v>
      </c>
      <c r="N1646" s="1">
        <v>100</v>
      </c>
      <c r="O1646" s="10">
        <v>46279.621527777781</v>
      </c>
      <c r="P1646" s="10" t="s">
        <v>46</v>
      </c>
      <c r="Q1646" s="1" t="s">
        <v>72</v>
      </c>
      <c r="R1646" s="8" t="s">
        <v>75</v>
      </c>
      <c r="S164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4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4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4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4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4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4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4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4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4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4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4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4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46" s="12">
        <f ca="1">[1]!Tabel1[[#This Row],[Vægtet Honorar]]*([1]!Tabel1[[#This Row],[Sidst redigeret]]&gt;TODAY()-40)*([1]!Tabel1[[#This Row],[Er i resplan?]]&lt;&gt;"Ja")*([1]!Tabel1[[#This Row],[Status]]="Pågår")</f>
        <v>100000</v>
      </c>
      <c r="AG1646" s="12">
        <f ca="1">[1]!Tabel1[[#This Row],[Vægtet Honorar]]*([1]!Tabel1[[#This Row],[Sidst redigeret]]&gt;TODAY()-40)*([1]!Tabel1[[#This Row],[Status]]="Pågår")</f>
        <v>100000</v>
      </c>
      <c r="AH1646" s="13"/>
      <c r="AI1646" s="12"/>
      <c r="AJ1646" s="12" t="s">
        <v>5671</v>
      </c>
      <c r="AK1646" s="19" t="s">
        <v>5672</v>
      </c>
      <c r="AL1646" s="12"/>
      <c r="AM1646" s="12"/>
      <c r="AN1646" s="12" t="s">
        <v>5673</v>
      </c>
      <c r="AO1646" s="12">
        <v>20260330</v>
      </c>
      <c r="AP1646" s="12"/>
    </row>
    <row r="1647" spans="1:42" ht="45">
      <c r="A1647" t="s">
        <v>5674</v>
      </c>
      <c r="B1647" s="8"/>
      <c r="C1647" s="8" t="s">
        <v>5675</v>
      </c>
      <c r="D1647" s="8" t="s">
        <v>1771</v>
      </c>
      <c r="E1647" s="8" t="s">
        <v>167</v>
      </c>
      <c r="F1647" s="8" t="s">
        <v>1705</v>
      </c>
      <c r="G1647" s="8" t="s">
        <v>671</v>
      </c>
      <c r="H1647" s="9">
        <v>1500000</v>
      </c>
      <c r="I1647" s="9">
        <f>[1]!Tabel1[[#This Row],[Honorar]]*[1]!Tabel1[[#This Row],[Sandsynlighed]]</f>
        <v>50000</v>
      </c>
      <c r="J1647" s="10" t="s">
        <v>585</v>
      </c>
      <c r="K1647" s="1" t="s">
        <v>1430</v>
      </c>
      <c r="L1647" s="17" t="s">
        <v>5676</v>
      </c>
      <c r="M1647" s="11">
        <v>0</v>
      </c>
      <c r="N1647" s="1"/>
      <c r="O1647" s="10">
        <v>46279.621527777781</v>
      </c>
      <c r="P1647" s="10"/>
      <c r="Q1647" s="1" t="s">
        <v>72</v>
      </c>
      <c r="R1647" s="8" t="s">
        <v>5521</v>
      </c>
      <c r="S164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4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4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4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4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4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4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4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4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4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4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4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4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47" s="12">
        <f ca="1">[1]!Tabel1[[#This Row],[Vægtet Honorar]]*([1]!Tabel1[[#This Row],[Sidst redigeret]]&gt;TODAY()-40)*([1]!Tabel1[[#This Row],[Er i resplan?]]&lt;&gt;"Ja")*([1]!Tabel1[[#This Row],[Status]]="Pågår")</f>
        <v>50000</v>
      </c>
      <c r="AG1647" s="12">
        <f ca="1">[1]!Tabel1[[#This Row],[Vægtet Honorar]]*([1]!Tabel1[[#This Row],[Sidst redigeret]]&gt;TODAY()-40)*([1]!Tabel1[[#This Row],[Status]]="Pågår")</f>
        <v>50000</v>
      </c>
      <c r="AH1647" s="13"/>
      <c r="AI1647" s="12"/>
      <c r="AJ1647" s="12" t="s">
        <v>343</v>
      </c>
      <c r="AK1647" s="12"/>
      <c r="AL1647" s="12"/>
      <c r="AM1647" s="12"/>
      <c r="AN1647" s="12"/>
      <c r="AO1647" s="12"/>
      <c r="AP1647" s="12"/>
    </row>
    <row r="1648" spans="1:42">
      <c r="A1648" t="s">
        <v>5677</v>
      </c>
      <c r="B1648" s="8"/>
      <c r="C1648" s="8" t="s">
        <v>5678</v>
      </c>
      <c r="D1648" s="8" t="s">
        <v>2886</v>
      </c>
      <c r="E1648" s="8" t="s">
        <v>120</v>
      </c>
      <c r="F1648" s="8" t="s">
        <v>5679</v>
      </c>
      <c r="G1648" s="8" t="s">
        <v>5679</v>
      </c>
      <c r="H1648" s="9">
        <v>100000</v>
      </c>
      <c r="I1648" s="9">
        <f>[1]!Tabel1[[#This Row],[Honorar]]*[1]!Tabel1[[#This Row],[Sandsynlighed]]</f>
        <v>118750</v>
      </c>
      <c r="J1648" s="10" t="s">
        <v>585</v>
      </c>
      <c r="K1648" s="1" t="s">
        <v>1062</v>
      </c>
      <c r="L1648" s="17"/>
      <c r="M1648" s="11">
        <v>0.25</v>
      </c>
      <c r="N1648" s="1"/>
      <c r="O1648" s="10">
        <v>46279.621527777781</v>
      </c>
      <c r="P1648" s="10" t="s">
        <v>4507</v>
      </c>
      <c r="Q1648" s="1" t="s">
        <v>72</v>
      </c>
      <c r="R1648" s="8" t="s">
        <v>343</v>
      </c>
      <c r="S164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4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4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4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4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4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4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4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4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4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4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4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4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48" s="12">
        <f ca="1">[1]!Tabel1[[#This Row],[Vægtet Honorar]]*([1]!Tabel1[[#This Row],[Sidst redigeret]]&gt;TODAY()-40)*([1]!Tabel1[[#This Row],[Er i resplan?]]&lt;&gt;"Ja")*([1]!Tabel1[[#This Row],[Status]]="Pågår")</f>
        <v>0</v>
      </c>
      <c r="AG1648" s="12">
        <f ca="1">[1]!Tabel1[[#This Row],[Vægtet Honorar]]*([1]!Tabel1[[#This Row],[Sidst redigeret]]&gt;TODAY()-40)*([1]!Tabel1[[#This Row],[Status]]="Pågår")</f>
        <v>118750</v>
      </c>
      <c r="AH1648" s="13"/>
      <c r="AI1648" s="12"/>
      <c r="AJ1648" s="12" t="s">
        <v>343</v>
      </c>
      <c r="AK1648" s="12"/>
      <c r="AL1648" s="12"/>
      <c r="AM1648" s="12"/>
      <c r="AN1648" s="12"/>
      <c r="AO1648" s="12"/>
      <c r="AP1648" s="12"/>
    </row>
    <row r="1649" spans="1:42" ht="30">
      <c r="A1649" t="s">
        <v>5680</v>
      </c>
      <c r="B1649" s="8">
        <v>263500</v>
      </c>
      <c r="C1649" s="8" t="s">
        <v>5681</v>
      </c>
      <c r="D1649" s="8" t="s">
        <v>5682</v>
      </c>
      <c r="E1649" s="8" t="s">
        <v>167</v>
      </c>
      <c r="F1649" s="8" t="s">
        <v>5683</v>
      </c>
      <c r="G1649" s="8" t="s">
        <v>2755</v>
      </c>
      <c r="H1649" s="9">
        <v>500000</v>
      </c>
      <c r="I1649" s="9">
        <f>[1]!Tabel1[[#This Row],[Honorar]]*[1]!Tabel1[[#This Row],[Sandsynlighed]]</f>
        <v>95000</v>
      </c>
      <c r="J1649" s="10" t="s">
        <v>1310</v>
      </c>
      <c r="K1649" s="1" t="s">
        <v>1709</v>
      </c>
      <c r="L1649" s="17" t="s">
        <v>5684</v>
      </c>
      <c r="M1649" s="11">
        <v>1</v>
      </c>
      <c r="N1649" s="1" t="s">
        <v>5685</v>
      </c>
      <c r="O1649" s="10">
        <v>46279.621527777781</v>
      </c>
      <c r="P1649" s="10" t="s">
        <v>4507</v>
      </c>
      <c r="Q1649" s="1" t="s">
        <v>4507</v>
      </c>
      <c r="R1649" s="8" t="s">
        <v>4031</v>
      </c>
      <c r="S164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4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4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4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4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4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4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4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4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4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4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4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4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49" s="12">
        <f ca="1">[1]!Tabel1[[#This Row],[Vægtet Honorar]]*([1]!Tabel1[[#This Row],[Sidst redigeret]]&gt;TODAY()-40)*([1]!Tabel1[[#This Row],[Er i resplan?]]&lt;&gt;"Ja")*([1]!Tabel1[[#This Row],[Status]]="Pågår")</f>
        <v>0</v>
      </c>
      <c r="AG1649" s="12">
        <f ca="1">[1]!Tabel1[[#This Row],[Vægtet Honorar]]*([1]!Tabel1[[#This Row],[Sidst redigeret]]&gt;TODAY()-40)*([1]!Tabel1[[#This Row],[Status]]="Pågår")</f>
        <v>95000</v>
      </c>
      <c r="AH1649" s="13">
        <v>46092.879745370374</v>
      </c>
      <c r="AI1649" s="12"/>
      <c r="AJ1649" s="12"/>
      <c r="AK1649" s="12"/>
      <c r="AL1649" s="12"/>
      <c r="AM1649" s="12"/>
      <c r="AN1649" s="12"/>
      <c r="AO1649" s="12"/>
      <c r="AP1649" s="12"/>
    </row>
    <row r="1650" spans="1:42">
      <c r="A1650" t="s">
        <v>5686</v>
      </c>
      <c r="B1650" s="8"/>
      <c r="C1650" s="8" t="s">
        <v>5687</v>
      </c>
      <c r="D1650" s="8" t="s">
        <v>2886</v>
      </c>
      <c r="E1650" s="8" t="s">
        <v>120</v>
      </c>
      <c r="F1650" s="8" t="s">
        <v>547</v>
      </c>
      <c r="G1650" s="8" t="s">
        <v>4177</v>
      </c>
      <c r="H1650" s="9">
        <v>1000000</v>
      </c>
      <c r="I1650" s="9">
        <f>[1]!Tabel1[[#This Row],[Honorar]]*[1]!Tabel1[[#This Row],[Sandsynlighed]]</f>
        <v>37500</v>
      </c>
      <c r="J1650" s="10" t="s">
        <v>585</v>
      </c>
      <c r="K1650" s="1" t="s">
        <v>1323</v>
      </c>
      <c r="L1650" s="17"/>
      <c r="M1650" s="11">
        <v>0.25</v>
      </c>
      <c r="N1650" s="1"/>
      <c r="O1650" s="10">
        <v>46279.621527777781</v>
      </c>
      <c r="P1650" s="10" t="s">
        <v>4507</v>
      </c>
      <c r="Q1650" s="1" t="s">
        <v>72</v>
      </c>
      <c r="R1650" s="8" t="s">
        <v>1265</v>
      </c>
      <c r="S165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5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5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5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5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5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5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5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5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5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5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5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5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50" s="12">
        <f ca="1">[1]!Tabel1[[#This Row],[Vægtet Honorar]]*([1]!Tabel1[[#This Row],[Sidst redigeret]]&gt;TODAY()-40)*([1]!Tabel1[[#This Row],[Er i resplan?]]&lt;&gt;"Ja")*([1]!Tabel1[[#This Row],[Status]]="Pågår")</f>
        <v>37500</v>
      </c>
      <c r="AG1650" s="12">
        <f ca="1">[1]!Tabel1[[#This Row],[Vægtet Honorar]]*([1]!Tabel1[[#This Row],[Sidst redigeret]]&gt;TODAY()-40)*([1]!Tabel1[[#This Row],[Status]]="Pågår")</f>
        <v>37500</v>
      </c>
      <c r="AH1650" s="13"/>
      <c r="AI1650" s="12"/>
      <c r="AJ1650" s="12" t="s">
        <v>4367</v>
      </c>
      <c r="AK1650" s="12"/>
      <c r="AL1650" s="12"/>
      <c r="AM1650" s="12"/>
      <c r="AN1650" s="12"/>
      <c r="AO1650" s="12"/>
      <c r="AP1650" s="12"/>
    </row>
    <row r="1651" spans="1:42" ht="45">
      <c r="A1651" t="s">
        <v>5688</v>
      </c>
      <c r="B1651" s="8"/>
      <c r="C1651" s="8" t="s">
        <v>5689</v>
      </c>
      <c r="D1651" s="8" t="s">
        <v>720</v>
      </c>
      <c r="E1651" s="8" t="s">
        <v>71</v>
      </c>
      <c r="F1651" s="8" t="s">
        <v>5690</v>
      </c>
      <c r="G1651" s="8" t="s">
        <v>1100</v>
      </c>
      <c r="H1651" s="9">
        <v>15000000</v>
      </c>
      <c r="I1651" s="9">
        <f>[1]!Tabel1[[#This Row],[Honorar]]*[1]!Tabel1[[#This Row],[Sandsynlighed]]</f>
        <v>100000</v>
      </c>
      <c r="J1651" s="10" t="s">
        <v>1310</v>
      </c>
      <c r="K1651" s="1" t="s">
        <v>1323</v>
      </c>
      <c r="L1651" s="17" t="s">
        <v>5691</v>
      </c>
      <c r="M1651" s="11">
        <v>0.25</v>
      </c>
      <c r="N1651" s="1">
        <v>16500</v>
      </c>
      <c r="O1651" s="10">
        <v>46279.621527777781</v>
      </c>
      <c r="P1651" s="10" t="s">
        <v>4507</v>
      </c>
      <c r="Q1651" s="1" t="s">
        <v>72</v>
      </c>
      <c r="R1651" s="8" t="s">
        <v>343</v>
      </c>
      <c r="S165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5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5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5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5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5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5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5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5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5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5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5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5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51" s="12">
        <f ca="1">[1]!Tabel1[[#This Row],[Vægtet Honorar]]*([1]!Tabel1[[#This Row],[Sidst redigeret]]&gt;TODAY()-40)*([1]!Tabel1[[#This Row],[Er i resplan?]]&lt;&gt;"Ja")*([1]!Tabel1[[#This Row],[Status]]="Pågår")</f>
        <v>0</v>
      </c>
      <c r="AG1651" s="12">
        <f ca="1">[1]!Tabel1[[#This Row],[Vægtet Honorar]]*([1]!Tabel1[[#This Row],[Sidst redigeret]]&gt;TODAY()-40)*([1]!Tabel1[[#This Row],[Status]]="Pågår")</f>
        <v>0</v>
      </c>
      <c r="AH1651" s="13"/>
      <c r="AI1651" s="12"/>
      <c r="AJ1651" s="12"/>
      <c r="AK1651" s="12"/>
      <c r="AL1651" s="12"/>
      <c r="AM1651" s="12"/>
      <c r="AN1651" s="12"/>
      <c r="AO1651" s="12"/>
      <c r="AP1651" s="12"/>
    </row>
    <row r="1652" spans="1:42">
      <c r="A1652" t="s">
        <v>5692</v>
      </c>
      <c r="B1652" s="8"/>
      <c r="C1652" s="8" t="s">
        <v>5693</v>
      </c>
      <c r="D1652" s="8" t="s">
        <v>44</v>
      </c>
      <c r="E1652" s="8" t="s">
        <v>71</v>
      </c>
      <c r="F1652" s="8" t="s">
        <v>5694</v>
      </c>
      <c r="G1652" s="8" t="s">
        <v>5695</v>
      </c>
      <c r="H1652" s="9">
        <v>275000</v>
      </c>
      <c r="I1652" s="9">
        <f>[1]!Tabel1[[#This Row],[Honorar]]*[1]!Tabel1[[#This Row],[Sandsynlighed]]</f>
        <v>0</v>
      </c>
      <c r="J1652" s="10" t="s">
        <v>1310</v>
      </c>
      <c r="K1652" s="1" t="s">
        <v>585</v>
      </c>
      <c r="L1652" s="17"/>
      <c r="M1652" s="11">
        <v>0.75</v>
      </c>
      <c r="N1652" s="1">
        <v>600</v>
      </c>
      <c r="O1652" s="10">
        <v>46279.621527777781</v>
      </c>
      <c r="P1652" s="10" t="s">
        <v>4507</v>
      </c>
      <c r="Q1652" s="1" t="s">
        <v>72</v>
      </c>
      <c r="R1652" s="8" t="s">
        <v>343</v>
      </c>
      <c r="S165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5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5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5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5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5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5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5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5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5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5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5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5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52" s="12">
        <f ca="1">[1]!Tabel1[[#This Row],[Vægtet Honorar]]*([1]!Tabel1[[#This Row],[Sidst redigeret]]&gt;TODAY()-40)*([1]!Tabel1[[#This Row],[Er i resplan?]]&lt;&gt;"Ja")*([1]!Tabel1[[#This Row],[Status]]="Pågår")</f>
        <v>0</v>
      </c>
      <c r="AG1652" s="12">
        <f ca="1">[1]!Tabel1[[#This Row],[Vægtet Honorar]]*([1]!Tabel1[[#This Row],[Sidst redigeret]]&gt;TODAY()-40)*([1]!Tabel1[[#This Row],[Status]]="Pågår")</f>
        <v>0</v>
      </c>
      <c r="AH1652" s="13"/>
      <c r="AI1652" s="12"/>
      <c r="AJ1652" s="12"/>
      <c r="AK1652" s="12"/>
      <c r="AL1652" s="12"/>
      <c r="AM1652" s="12"/>
      <c r="AN1652" s="12"/>
      <c r="AO1652" s="12"/>
      <c r="AP1652" s="12"/>
    </row>
    <row r="1653" spans="1:42">
      <c r="A1653" t="s">
        <v>5696</v>
      </c>
      <c r="B1653" s="8"/>
      <c r="C1653" s="8" t="s">
        <v>5697</v>
      </c>
      <c r="D1653" s="8" t="s">
        <v>2886</v>
      </c>
      <c r="E1653" s="8" t="s">
        <v>120</v>
      </c>
      <c r="F1653" s="8" t="s">
        <v>5698</v>
      </c>
      <c r="G1653" s="8" t="s">
        <v>3252</v>
      </c>
      <c r="H1653" s="9">
        <v>250000</v>
      </c>
      <c r="I1653" s="9">
        <f>[1]!Tabel1[[#This Row],[Honorar]]*[1]!Tabel1[[#This Row],[Sandsynlighed]]</f>
        <v>25000</v>
      </c>
      <c r="J1653" s="10" t="s">
        <v>1310</v>
      </c>
      <c r="K1653" s="1" t="s">
        <v>2405</v>
      </c>
      <c r="L1653" s="17"/>
      <c r="M1653" s="11">
        <v>0.25</v>
      </c>
      <c r="N1653" s="1"/>
      <c r="O1653" s="10">
        <v>46279.621527777781</v>
      </c>
      <c r="P1653" s="10" t="s">
        <v>4507</v>
      </c>
      <c r="Q1653" s="1" t="s">
        <v>72</v>
      </c>
      <c r="R1653" s="8" t="s">
        <v>1265</v>
      </c>
      <c r="S165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5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5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5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5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5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5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5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5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5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5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5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5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53" s="12">
        <f ca="1">[1]!Tabel1[[#This Row],[Vægtet Honorar]]*([1]!Tabel1[[#This Row],[Sidst redigeret]]&gt;TODAY()-40)*([1]!Tabel1[[#This Row],[Er i resplan?]]&lt;&gt;"Ja")*([1]!Tabel1[[#This Row],[Status]]="Pågår")</f>
        <v>25000</v>
      </c>
      <c r="AG1653" s="12">
        <f ca="1">[1]!Tabel1[[#This Row],[Vægtet Honorar]]*([1]!Tabel1[[#This Row],[Sidst redigeret]]&gt;TODAY()-40)*([1]!Tabel1[[#This Row],[Status]]="Pågår")</f>
        <v>25000</v>
      </c>
      <c r="AH1653" s="13"/>
      <c r="AI1653" s="12"/>
      <c r="AJ1653" s="12"/>
      <c r="AK1653" s="12"/>
      <c r="AL1653" s="12"/>
      <c r="AM1653" s="12"/>
      <c r="AN1653" s="12"/>
      <c r="AO1653" s="12"/>
      <c r="AP1653" s="12"/>
    </row>
    <row r="1654" spans="1:42">
      <c r="A1654" t="s">
        <v>5699</v>
      </c>
      <c r="B1654" s="8"/>
      <c r="C1654" s="8" t="s">
        <v>5697</v>
      </c>
      <c r="D1654" s="8" t="s">
        <v>2886</v>
      </c>
      <c r="E1654" s="8" t="s">
        <v>120</v>
      </c>
      <c r="F1654" s="8" t="s">
        <v>5700</v>
      </c>
      <c r="G1654" s="8" t="s">
        <v>3252</v>
      </c>
      <c r="H1654" s="9">
        <v>250000</v>
      </c>
      <c r="I1654" s="9">
        <f>[1]!Tabel1[[#This Row],[Honorar]]*[1]!Tabel1[[#This Row],[Sandsynlighed]]</f>
        <v>500000</v>
      </c>
      <c r="J1654" s="10" t="s">
        <v>1310</v>
      </c>
      <c r="K1654" s="1" t="s">
        <v>2405</v>
      </c>
      <c r="L1654" s="17"/>
      <c r="M1654" s="11">
        <v>0.25</v>
      </c>
      <c r="N1654" s="1"/>
      <c r="O1654" s="10">
        <v>46279.621527777781</v>
      </c>
      <c r="P1654" s="10" t="s">
        <v>4507</v>
      </c>
      <c r="Q1654" s="1" t="s">
        <v>72</v>
      </c>
      <c r="R1654" s="8" t="s">
        <v>1265</v>
      </c>
      <c r="S165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5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5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5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5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5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5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5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5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5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5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5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5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54" s="12">
        <f ca="1">[1]!Tabel1[[#This Row],[Vægtet Honorar]]*([1]!Tabel1[[#This Row],[Sidst redigeret]]&gt;TODAY()-40)*([1]!Tabel1[[#This Row],[Er i resplan?]]&lt;&gt;"Ja")*([1]!Tabel1[[#This Row],[Status]]="Pågår")</f>
        <v>0</v>
      </c>
      <c r="AG1654" s="12">
        <f ca="1">[1]!Tabel1[[#This Row],[Vægtet Honorar]]*([1]!Tabel1[[#This Row],[Sidst redigeret]]&gt;TODAY()-40)*([1]!Tabel1[[#This Row],[Status]]="Pågår")</f>
        <v>0</v>
      </c>
      <c r="AH1654" s="13"/>
      <c r="AI1654" s="12"/>
      <c r="AJ1654" s="12"/>
      <c r="AK1654" s="12"/>
      <c r="AL1654" s="12"/>
      <c r="AM1654" s="12"/>
      <c r="AN1654" s="12"/>
      <c r="AO1654" s="12"/>
      <c r="AP1654" s="12"/>
    </row>
    <row r="1655" spans="1:42">
      <c r="A1655" t="s">
        <v>5701</v>
      </c>
      <c r="B1655" s="8"/>
      <c r="C1655" s="8" t="s">
        <v>5702</v>
      </c>
      <c r="D1655" s="8" t="s">
        <v>5488</v>
      </c>
      <c r="E1655" s="8" t="s">
        <v>71</v>
      </c>
      <c r="F1655" s="8" t="s">
        <v>5703</v>
      </c>
      <c r="G1655" s="8" t="s">
        <v>5704</v>
      </c>
      <c r="H1655" s="9">
        <v>100000</v>
      </c>
      <c r="I1655" s="9">
        <f>[1]!Tabel1[[#This Row],[Honorar]]*[1]!Tabel1[[#This Row],[Sandsynlighed]]</f>
        <v>250000</v>
      </c>
      <c r="J1655" s="10" t="s">
        <v>1310</v>
      </c>
      <c r="K1655" s="1" t="s">
        <v>585</v>
      </c>
      <c r="L1655" s="17"/>
      <c r="M1655" s="11">
        <v>0.5</v>
      </c>
      <c r="N1655" s="1"/>
      <c r="O1655" s="10">
        <v>46279.621527777781</v>
      </c>
      <c r="P1655" s="10" t="s">
        <v>4507</v>
      </c>
      <c r="Q1655" s="1" t="s">
        <v>72</v>
      </c>
      <c r="R1655" s="8" t="s">
        <v>343</v>
      </c>
      <c r="S165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5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5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5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5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5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5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5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5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5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5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5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5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55" s="12">
        <f ca="1">[1]!Tabel1[[#This Row],[Vægtet Honorar]]*([1]!Tabel1[[#This Row],[Sidst redigeret]]&gt;TODAY()-40)*([1]!Tabel1[[#This Row],[Er i resplan?]]&lt;&gt;"Ja")*([1]!Tabel1[[#This Row],[Status]]="Pågår")</f>
        <v>0</v>
      </c>
      <c r="AG1655" s="12">
        <f ca="1">[1]!Tabel1[[#This Row],[Vægtet Honorar]]*([1]!Tabel1[[#This Row],[Sidst redigeret]]&gt;TODAY()-40)*([1]!Tabel1[[#This Row],[Status]]="Pågår")</f>
        <v>0</v>
      </c>
      <c r="AH1655" s="13"/>
      <c r="AI1655" s="12"/>
      <c r="AJ1655" s="12"/>
      <c r="AK1655" s="12"/>
      <c r="AL1655" s="12"/>
      <c r="AM1655" s="12"/>
      <c r="AN1655" s="12"/>
      <c r="AO1655" s="12"/>
      <c r="AP1655" s="12"/>
    </row>
    <row r="1656" spans="1:42">
      <c r="A1656" t="s">
        <v>5705</v>
      </c>
      <c r="B1656" s="8"/>
      <c r="C1656" s="8" t="s">
        <v>5706</v>
      </c>
      <c r="D1656" s="8" t="s">
        <v>5488</v>
      </c>
      <c r="E1656" s="8" t="s">
        <v>71</v>
      </c>
      <c r="F1656" s="8" t="s">
        <v>5707</v>
      </c>
      <c r="G1656" s="8" t="s">
        <v>5707</v>
      </c>
      <c r="H1656" s="9">
        <v>150000</v>
      </c>
      <c r="I1656" s="9">
        <f>[1]!Tabel1[[#This Row],[Honorar]]*[1]!Tabel1[[#This Row],[Sandsynlighed]]</f>
        <v>3750000</v>
      </c>
      <c r="J1656" s="10" t="s">
        <v>1310</v>
      </c>
      <c r="K1656" s="1" t="s">
        <v>342</v>
      </c>
      <c r="L1656" s="17"/>
      <c r="M1656" s="11">
        <v>0.5</v>
      </c>
      <c r="N1656" s="1"/>
      <c r="O1656" s="10">
        <v>46279.621527777781</v>
      </c>
      <c r="P1656" s="10" t="s">
        <v>4507</v>
      </c>
      <c r="Q1656" s="1" t="s">
        <v>72</v>
      </c>
      <c r="R1656" s="8" t="s">
        <v>343</v>
      </c>
      <c r="S165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5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5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5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5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5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5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5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5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5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5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5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5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56" s="12">
        <f ca="1">[1]!Tabel1[[#This Row],[Vægtet Honorar]]*([1]!Tabel1[[#This Row],[Sidst redigeret]]&gt;TODAY()-40)*([1]!Tabel1[[#This Row],[Er i resplan?]]&lt;&gt;"Ja")*([1]!Tabel1[[#This Row],[Status]]="Pågår")</f>
        <v>3750000</v>
      </c>
      <c r="AG1656" s="12">
        <f ca="1">[1]!Tabel1[[#This Row],[Vægtet Honorar]]*([1]!Tabel1[[#This Row],[Sidst redigeret]]&gt;TODAY()-40)*([1]!Tabel1[[#This Row],[Status]]="Pågår")</f>
        <v>3750000</v>
      </c>
      <c r="AH1656" s="13"/>
      <c r="AI1656" s="12"/>
      <c r="AJ1656" s="12"/>
      <c r="AK1656" s="12"/>
      <c r="AL1656" s="12"/>
      <c r="AM1656" s="12"/>
      <c r="AN1656" s="12"/>
      <c r="AO1656" s="12"/>
      <c r="AP1656" s="12"/>
    </row>
    <row r="1657" spans="1:42">
      <c r="A1657" t="s">
        <v>5708</v>
      </c>
      <c r="B1657" s="8"/>
      <c r="C1657" s="8" t="s">
        <v>5709</v>
      </c>
      <c r="D1657" s="8" t="s">
        <v>896</v>
      </c>
      <c r="E1657" s="8" t="s">
        <v>94</v>
      </c>
      <c r="F1657" s="8" t="s">
        <v>5709</v>
      </c>
      <c r="G1657" s="8" t="s">
        <v>5041</v>
      </c>
      <c r="H1657" s="9">
        <v>1500000</v>
      </c>
      <c r="I1657" s="9">
        <f>[1]!Tabel1[[#This Row],[Honorar]]*[1]!Tabel1[[#This Row],[Sandsynlighed]]</f>
        <v>206250</v>
      </c>
      <c r="J1657" s="10" t="s">
        <v>585</v>
      </c>
      <c r="K1657" s="1" t="s">
        <v>2405</v>
      </c>
      <c r="L1657" s="17"/>
      <c r="M1657" s="11">
        <v>0.01</v>
      </c>
      <c r="N1657" s="1"/>
      <c r="O1657" s="10">
        <v>46279.621527777781</v>
      </c>
      <c r="P1657" s="10" t="s">
        <v>4507</v>
      </c>
      <c r="Q1657" s="1" t="s">
        <v>72</v>
      </c>
      <c r="R1657" s="8" t="s">
        <v>49</v>
      </c>
      <c r="S165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5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5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5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5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5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5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5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5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5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5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5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5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57" s="12">
        <f ca="1">[1]!Tabel1[[#This Row],[Vægtet Honorar]]*([1]!Tabel1[[#This Row],[Sidst redigeret]]&gt;TODAY()-40)*([1]!Tabel1[[#This Row],[Er i resplan?]]&lt;&gt;"Ja")*([1]!Tabel1[[#This Row],[Status]]="Pågår")</f>
        <v>206250</v>
      </c>
      <c r="AG1657" s="12">
        <f ca="1">[1]!Tabel1[[#This Row],[Vægtet Honorar]]*([1]!Tabel1[[#This Row],[Sidst redigeret]]&gt;TODAY()-40)*([1]!Tabel1[[#This Row],[Status]]="Pågår")</f>
        <v>206250</v>
      </c>
      <c r="AH1657" s="13"/>
      <c r="AI1657" s="12"/>
      <c r="AJ1657" s="12" t="s">
        <v>5041</v>
      </c>
      <c r="AK1657" s="12"/>
      <c r="AL1657" s="12"/>
      <c r="AM1657" s="12"/>
      <c r="AN1657" s="12"/>
      <c r="AO1657" s="12"/>
      <c r="AP1657" s="12"/>
    </row>
    <row r="1658" spans="1:42">
      <c r="A1658" t="s">
        <v>5710</v>
      </c>
      <c r="B1658" s="8"/>
      <c r="C1658" s="8" t="s">
        <v>5711</v>
      </c>
      <c r="D1658" s="8" t="s">
        <v>158</v>
      </c>
      <c r="E1658" s="8" t="s">
        <v>167</v>
      </c>
      <c r="F1658" s="8" t="s">
        <v>5712</v>
      </c>
      <c r="G1658" s="8" t="s">
        <v>5712</v>
      </c>
      <c r="H1658" s="9">
        <v>150000</v>
      </c>
      <c r="I1658" s="9">
        <f>[1]!Tabel1[[#This Row],[Honorar]]*[1]!Tabel1[[#This Row],[Sandsynlighed]]</f>
        <v>62500</v>
      </c>
      <c r="J1658" s="10" t="s">
        <v>585</v>
      </c>
      <c r="K1658" s="1" t="s">
        <v>585</v>
      </c>
      <c r="L1658" s="17"/>
      <c r="M1658" s="11">
        <v>0.5</v>
      </c>
      <c r="N1658" s="1"/>
      <c r="O1658" s="10">
        <v>46279.621527777781</v>
      </c>
      <c r="P1658" s="10" t="s">
        <v>4507</v>
      </c>
      <c r="Q1658" s="1" t="s">
        <v>46</v>
      </c>
      <c r="R1658" s="8" t="s">
        <v>343</v>
      </c>
      <c r="S165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5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5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5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5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5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5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5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5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5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5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5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5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58" s="12">
        <f ca="1">[1]!Tabel1[[#This Row],[Vægtet Honorar]]*([1]!Tabel1[[#This Row],[Sidst redigeret]]&gt;TODAY()-40)*([1]!Tabel1[[#This Row],[Er i resplan?]]&lt;&gt;"Ja")*([1]!Tabel1[[#This Row],[Status]]="Pågår")</f>
        <v>0</v>
      </c>
      <c r="AG1658" s="12">
        <f ca="1">[1]!Tabel1[[#This Row],[Vægtet Honorar]]*([1]!Tabel1[[#This Row],[Sidst redigeret]]&gt;TODAY()-40)*([1]!Tabel1[[#This Row],[Status]]="Pågår")</f>
        <v>0</v>
      </c>
      <c r="AH1658" s="13"/>
      <c r="AI1658" s="12"/>
      <c r="AJ1658" s="12"/>
      <c r="AK1658" s="12"/>
      <c r="AL1658" s="12"/>
      <c r="AM1658" s="12"/>
      <c r="AN1658" s="12"/>
      <c r="AO1658" s="12"/>
      <c r="AP1658" s="12"/>
    </row>
    <row r="1659" spans="1:42" ht="60">
      <c r="A1659" t="s">
        <v>5713</v>
      </c>
      <c r="B1659" s="8"/>
      <c r="C1659" s="8" t="s">
        <v>5714</v>
      </c>
      <c r="D1659" s="8" t="s">
        <v>896</v>
      </c>
      <c r="E1659" s="8" t="s">
        <v>94</v>
      </c>
      <c r="F1659" s="8" t="s">
        <v>5714</v>
      </c>
      <c r="G1659" s="8" t="s">
        <v>4515</v>
      </c>
      <c r="H1659" s="9">
        <v>1500000</v>
      </c>
      <c r="I1659" s="9">
        <f>[1]!Tabel1[[#This Row],[Honorar]]*[1]!Tabel1[[#This Row],[Sandsynlighed]]</f>
        <v>62500</v>
      </c>
      <c r="J1659" s="10" t="s">
        <v>585</v>
      </c>
      <c r="K1659" s="1" t="s">
        <v>2405</v>
      </c>
      <c r="L1659" s="17" t="s">
        <v>5715</v>
      </c>
      <c r="M1659" s="11">
        <v>0.01</v>
      </c>
      <c r="N1659" s="1"/>
      <c r="O1659" s="10">
        <v>46279.621527777781</v>
      </c>
      <c r="P1659" s="10" t="s">
        <v>4507</v>
      </c>
      <c r="Q1659" s="1" t="s">
        <v>46</v>
      </c>
      <c r="R1659" s="8" t="s">
        <v>343</v>
      </c>
      <c r="S165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5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5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5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5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5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5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5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5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5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5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5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5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59" s="12">
        <f ca="1">[1]!Tabel1[[#This Row],[Vægtet Honorar]]*([1]!Tabel1[[#This Row],[Sidst redigeret]]&gt;TODAY()-40)*([1]!Tabel1[[#This Row],[Er i resplan?]]&lt;&gt;"Ja")*([1]!Tabel1[[#This Row],[Status]]="Pågår")</f>
        <v>0</v>
      </c>
      <c r="AG1659" s="12">
        <f ca="1">[1]!Tabel1[[#This Row],[Vægtet Honorar]]*([1]!Tabel1[[#This Row],[Sidst redigeret]]&gt;TODAY()-40)*([1]!Tabel1[[#This Row],[Status]]="Pågår")</f>
        <v>0</v>
      </c>
      <c r="AH1659" s="13"/>
      <c r="AI1659" s="12"/>
      <c r="AJ1659" s="12"/>
      <c r="AK1659" s="12" t="s">
        <v>4515</v>
      </c>
      <c r="AL1659" s="12"/>
      <c r="AM1659" s="12"/>
      <c r="AN1659" s="12"/>
      <c r="AO1659" s="12"/>
      <c r="AP1659" s="12"/>
    </row>
    <row r="1660" spans="1:42">
      <c r="A1660" t="s">
        <v>5716</v>
      </c>
      <c r="B1660" s="8"/>
      <c r="C1660" s="8" t="s">
        <v>5717</v>
      </c>
      <c r="D1660" s="8" t="s">
        <v>5488</v>
      </c>
      <c r="E1660" s="8" t="s">
        <v>71</v>
      </c>
      <c r="F1660" s="8" t="s">
        <v>5707</v>
      </c>
      <c r="G1660" s="8" t="s">
        <v>5707</v>
      </c>
      <c r="H1660" s="9">
        <v>50000</v>
      </c>
      <c r="I1660" s="9">
        <f>[1]!Tabel1[[#This Row],[Honorar]]*[1]!Tabel1[[#This Row],[Sandsynlighed]]</f>
        <v>50000</v>
      </c>
      <c r="J1660" s="10" t="s">
        <v>1310</v>
      </c>
      <c r="K1660" s="1" t="s">
        <v>585</v>
      </c>
      <c r="L1660" s="17"/>
      <c r="M1660" s="11">
        <v>0.75</v>
      </c>
      <c r="N1660" s="1"/>
      <c r="O1660" s="10">
        <v>46279.621527777781</v>
      </c>
      <c r="P1660" s="10" t="s">
        <v>4507</v>
      </c>
      <c r="Q1660" s="1" t="s">
        <v>72</v>
      </c>
      <c r="R1660" s="8" t="s">
        <v>343</v>
      </c>
      <c r="S166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6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6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6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6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6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6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6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6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6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6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6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6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60" s="12">
        <f ca="1">[1]!Tabel1[[#This Row],[Vægtet Honorar]]*([1]!Tabel1[[#This Row],[Sidst redigeret]]&gt;TODAY()-40)*([1]!Tabel1[[#This Row],[Er i resplan?]]&lt;&gt;"Ja")*([1]!Tabel1[[#This Row],[Status]]="Pågår")</f>
        <v>50000</v>
      </c>
      <c r="AG1660" s="12">
        <f ca="1">[1]!Tabel1[[#This Row],[Vægtet Honorar]]*([1]!Tabel1[[#This Row],[Sidst redigeret]]&gt;TODAY()-40)*([1]!Tabel1[[#This Row],[Status]]="Pågår")</f>
        <v>50000</v>
      </c>
      <c r="AH1660" s="13"/>
      <c r="AI1660" s="12"/>
      <c r="AJ1660" s="12"/>
      <c r="AK1660" s="12"/>
      <c r="AL1660" s="12"/>
      <c r="AM1660" s="12"/>
      <c r="AN1660" s="12"/>
      <c r="AO1660" s="12"/>
      <c r="AP1660" s="12"/>
    </row>
    <row r="1661" spans="1:42">
      <c r="A1661" t="s">
        <v>5718</v>
      </c>
      <c r="B1661" s="8"/>
      <c r="C1661" s="8" t="s">
        <v>5719</v>
      </c>
      <c r="D1661" s="8" t="s">
        <v>44</v>
      </c>
      <c r="E1661" s="8" t="s">
        <v>71</v>
      </c>
      <c r="F1661" s="8" t="s">
        <v>5720</v>
      </c>
      <c r="G1661" s="8" t="s">
        <v>5000</v>
      </c>
      <c r="H1661" s="9">
        <v>85000</v>
      </c>
      <c r="I1661" s="9">
        <f>[1]!Tabel1[[#This Row],[Honorar]]*[1]!Tabel1[[#This Row],[Sandsynlighed]]</f>
        <v>75000</v>
      </c>
      <c r="J1661" s="10" t="s">
        <v>1310</v>
      </c>
      <c r="K1661" s="1" t="s">
        <v>585</v>
      </c>
      <c r="L1661" s="17"/>
      <c r="M1661" s="11">
        <v>0.75</v>
      </c>
      <c r="N1661" s="1"/>
      <c r="O1661" s="10">
        <v>46279.621527777781</v>
      </c>
      <c r="P1661" s="10" t="s">
        <v>4507</v>
      </c>
      <c r="Q1661" s="1" t="s">
        <v>46</v>
      </c>
      <c r="R1661" s="8" t="s">
        <v>343</v>
      </c>
      <c r="S166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6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6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6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6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6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6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6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6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6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6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6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6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61" s="12">
        <f ca="1">[1]!Tabel1[[#This Row],[Vægtet Honorar]]*([1]!Tabel1[[#This Row],[Sidst redigeret]]&gt;TODAY()-40)*([1]!Tabel1[[#This Row],[Er i resplan?]]&lt;&gt;"Ja")*([1]!Tabel1[[#This Row],[Status]]="Pågår")</f>
        <v>75000</v>
      </c>
      <c r="AG1661" s="12">
        <f ca="1">[1]!Tabel1[[#This Row],[Vægtet Honorar]]*([1]!Tabel1[[#This Row],[Sidst redigeret]]&gt;TODAY()-40)*([1]!Tabel1[[#This Row],[Status]]="Pågår")</f>
        <v>75000</v>
      </c>
      <c r="AH1661" s="13"/>
      <c r="AI1661" s="12"/>
      <c r="AJ1661" s="12"/>
      <c r="AK1661" s="12"/>
      <c r="AL1661" s="12"/>
      <c r="AM1661" s="12"/>
      <c r="AN1661" s="12"/>
      <c r="AO1661" s="12"/>
      <c r="AP1661" s="12"/>
    </row>
    <row r="1662" spans="1:42" ht="30">
      <c r="A1662" t="s">
        <v>5721</v>
      </c>
      <c r="B1662" s="8"/>
      <c r="C1662" s="8" t="s">
        <v>5722</v>
      </c>
      <c r="D1662" s="8" t="s">
        <v>4099</v>
      </c>
      <c r="E1662" s="8" t="s">
        <v>120</v>
      </c>
      <c r="F1662" s="8" t="s">
        <v>5723</v>
      </c>
      <c r="G1662" s="8" t="s">
        <v>5723</v>
      </c>
      <c r="H1662" s="9">
        <v>300000</v>
      </c>
      <c r="I1662" s="9">
        <f>[1]!Tabel1[[#This Row],[Honorar]]*[1]!Tabel1[[#This Row],[Sandsynlighed]]</f>
        <v>15000</v>
      </c>
      <c r="J1662" s="10" t="s">
        <v>1310</v>
      </c>
      <c r="K1662" s="1" t="s">
        <v>2405</v>
      </c>
      <c r="L1662" s="17" t="s">
        <v>5724</v>
      </c>
      <c r="M1662" s="11">
        <v>0.5</v>
      </c>
      <c r="N1662" s="1"/>
      <c r="O1662" s="10">
        <v>46279.621527777781</v>
      </c>
      <c r="P1662" s="10" t="s">
        <v>4507</v>
      </c>
      <c r="Q1662" s="1" t="s">
        <v>46</v>
      </c>
      <c r="R1662" s="8" t="s">
        <v>1265</v>
      </c>
      <c r="S166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6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6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6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6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6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6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6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6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6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6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6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6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62" s="12">
        <f ca="1">[1]!Tabel1[[#This Row],[Vægtet Honorar]]*([1]!Tabel1[[#This Row],[Sidst redigeret]]&gt;TODAY()-40)*([1]!Tabel1[[#This Row],[Er i resplan?]]&lt;&gt;"Ja")*([1]!Tabel1[[#This Row],[Status]]="Pågår")</f>
        <v>0</v>
      </c>
      <c r="AG1662" s="12">
        <f ca="1">[1]!Tabel1[[#This Row],[Vægtet Honorar]]*([1]!Tabel1[[#This Row],[Sidst redigeret]]&gt;TODAY()-40)*([1]!Tabel1[[#This Row],[Status]]="Pågår")</f>
        <v>0</v>
      </c>
      <c r="AH1662" s="13"/>
      <c r="AI1662" s="12"/>
      <c r="AJ1662" s="12" t="s">
        <v>5164</v>
      </c>
      <c r="AK1662" s="12"/>
      <c r="AL1662" s="12"/>
      <c r="AM1662" s="12"/>
      <c r="AN1662" s="12"/>
      <c r="AO1662" s="12"/>
      <c r="AP1662" s="12"/>
    </row>
    <row r="1663" spans="1:42">
      <c r="A1663" t="s">
        <v>5725</v>
      </c>
      <c r="B1663" s="8"/>
      <c r="C1663" s="8" t="s">
        <v>5726</v>
      </c>
      <c r="D1663" s="8" t="s">
        <v>720</v>
      </c>
      <c r="E1663" s="8" t="s">
        <v>71</v>
      </c>
      <c r="F1663" s="8" t="s">
        <v>691</v>
      </c>
      <c r="G1663" s="8" t="s">
        <v>5727</v>
      </c>
      <c r="H1663" s="9">
        <v>2000000</v>
      </c>
      <c r="I1663" s="9">
        <f>[1]!Tabel1[[#This Row],[Honorar]]*[1]!Tabel1[[#This Row],[Sandsynlighed]]</f>
        <v>75000</v>
      </c>
      <c r="J1663" s="10" t="s">
        <v>585</v>
      </c>
      <c r="K1663" s="1" t="s">
        <v>2405</v>
      </c>
      <c r="L1663" s="17" t="s">
        <v>906</v>
      </c>
      <c r="M1663" s="11">
        <v>0.1</v>
      </c>
      <c r="N1663" s="1"/>
      <c r="O1663" s="10">
        <v>46279.621527777781</v>
      </c>
      <c r="P1663" s="10" t="s">
        <v>4507</v>
      </c>
      <c r="Q1663" s="1" t="s">
        <v>46</v>
      </c>
      <c r="R1663" s="8" t="s">
        <v>343</v>
      </c>
      <c r="S166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6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6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6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6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6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6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6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6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6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6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6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6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63" s="12">
        <f ca="1">[1]!Tabel1[[#This Row],[Vægtet Honorar]]*([1]!Tabel1[[#This Row],[Sidst redigeret]]&gt;TODAY()-40)*([1]!Tabel1[[#This Row],[Er i resplan?]]&lt;&gt;"Ja")*([1]!Tabel1[[#This Row],[Status]]="Pågår")</f>
        <v>0</v>
      </c>
      <c r="AG1663" s="12">
        <f ca="1">[1]!Tabel1[[#This Row],[Vægtet Honorar]]*([1]!Tabel1[[#This Row],[Sidst redigeret]]&gt;TODAY()-40)*([1]!Tabel1[[#This Row],[Status]]="Pågår")</f>
        <v>75000</v>
      </c>
      <c r="AH1663" s="13"/>
      <c r="AI1663" s="12"/>
      <c r="AJ1663" s="12"/>
      <c r="AK1663" s="12"/>
      <c r="AL1663" s="12"/>
      <c r="AM1663" s="12"/>
      <c r="AN1663" s="12"/>
      <c r="AO1663" s="12"/>
      <c r="AP1663" s="12"/>
    </row>
    <row r="1664" spans="1:42">
      <c r="A1664" t="s">
        <v>5728</v>
      </c>
      <c r="B1664" s="8"/>
      <c r="C1664" s="8" t="s">
        <v>5729</v>
      </c>
      <c r="D1664" s="8" t="s">
        <v>720</v>
      </c>
      <c r="E1664" s="8" t="s">
        <v>71</v>
      </c>
      <c r="F1664" s="8" t="s">
        <v>1152</v>
      </c>
      <c r="G1664" s="8" t="s">
        <v>1152</v>
      </c>
      <c r="H1664" s="9">
        <v>100000</v>
      </c>
      <c r="I1664" s="9">
        <f>[1]!Tabel1[[#This Row],[Honorar]]*[1]!Tabel1[[#This Row],[Sandsynlighed]]</f>
        <v>15000</v>
      </c>
      <c r="J1664" s="10" t="s">
        <v>1310</v>
      </c>
      <c r="K1664" s="1" t="s">
        <v>2405</v>
      </c>
      <c r="L1664" s="17" t="s">
        <v>5730</v>
      </c>
      <c r="M1664" s="11">
        <v>1</v>
      </c>
      <c r="N1664" s="1"/>
      <c r="O1664" s="10">
        <v>46279.621527777781</v>
      </c>
      <c r="P1664" s="10" t="s">
        <v>4507</v>
      </c>
      <c r="Q1664" s="1" t="s">
        <v>46</v>
      </c>
      <c r="R1664" s="8" t="s">
        <v>343</v>
      </c>
      <c r="S166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6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6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6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6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6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6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6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6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6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6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6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6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64" s="12">
        <f ca="1">[1]!Tabel1[[#This Row],[Vægtet Honorar]]*([1]!Tabel1[[#This Row],[Sidst redigeret]]&gt;TODAY()-40)*([1]!Tabel1[[#This Row],[Er i resplan?]]&lt;&gt;"Ja")*([1]!Tabel1[[#This Row],[Status]]="Pågår")</f>
        <v>0</v>
      </c>
      <c r="AG1664" s="12">
        <f ca="1">[1]!Tabel1[[#This Row],[Vægtet Honorar]]*([1]!Tabel1[[#This Row],[Sidst redigeret]]&gt;TODAY()-40)*([1]!Tabel1[[#This Row],[Status]]="Pågår")</f>
        <v>15000</v>
      </c>
      <c r="AH1664" s="13"/>
      <c r="AI1664" s="12"/>
      <c r="AJ1664" s="12"/>
      <c r="AK1664" s="12"/>
      <c r="AL1664" s="12"/>
      <c r="AM1664" s="12"/>
      <c r="AN1664" s="12"/>
      <c r="AO1664" s="12"/>
      <c r="AP1664" s="12"/>
    </row>
    <row r="1665" spans="1:42">
      <c r="A1665" t="s">
        <v>5731</v>
      </c>
      <c r="B1665" s="8"/>
      <c r="C1665" s="8" t="s">
        <v>5732</v>
      </c>
      <c r="D1665" s="8" t="s">
        <v>720</v>
      </c>
      <c r="E1665" s="8" t="s">
        <v>71</v>
      </c>
      <c r="F1665" s="8" t="s">
        <v>1152</v>
      </c>
      <c r="G1665" s="8" t="s">
        <v>1152</v>
      </c>
      <c r="H1665" s="9">
        <v>500000</v>
      </c>
      <c r="I1665" s="9">
        <f>[1]!Tabel1[[#This Row],[Honorar]]*[1]!Tabel1[[#This Row],[Sandsynlighed]]</f>
        <v>37500</v>
      </c>
      <c r="J1665" s="10" t="s">
        <v>1310</v>
      </c>
      <c r="K1665" s="1" t="s">
        <v>2405</v>
      </c>
      <c r="L1665" s="17" t="s">
        <v>5730</v>
      </c>
      <c r="M1665" s="11">
        <v>0.3</v>
      </c>
      <c r="N1665" s="1"/>
      <c r="O1665" s="10">
        <v>46279.621527777781</v>
      </c>
      <c r="P1665" s="10" t="s">
        <v>4507</v>
      </c>
      <c r="Q1665" s="1" t="s">
        <v>46</v>
      </c>
      <c r="R1665" s="8" t="s">
        <v>343</v>
      </c>
      <c r="S166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6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6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6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6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6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6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6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6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6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6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6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6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65" s="12">
        <f ca="1">[1]!Tabel1[[#This Row],[Vægtet Honorar]]*([1]!Tabel1[[#This Row],[Sidst redigeret]]&gt;TODAY()-40)*([1]!Tabel1[[#This Row],[Er i resplan?]]&lt;&gt;"Ja")*([1]!Tabel1[[#This Row],[Status]]="Pågår")</f>
        <v>37500</v>
      </c>
      <c r="AG1665" s="12">
        <f ca="1">[1]!Tabel1[[#This Row],[Vægtet Honorar]]*([1]!Tabel1[[#This Row],[Sidst redigeret]]&gt;TODAY()-40)*([1]!Tabel1[[#This Row],[Status]]="Pågår")</f>
        <v>37500</v>
      </c>
      <c r="AH1665" s="13"/>
      <c r="AI1665" s="12"/>
      <c r="AJ1665" s="12"/>
      <c r="AK1665" s="12"/>
      <c r="AL1665" s="12"/>
      <c r="AM1665" s="12"/>
      <c r="AN1665" s="12"/>
      <c r="AO1665" s="12"/>
      <c r="AP1665" s="12"/>
    </row>
    <row r="1666" spans="1:42" ht="30">
      <c r="A1666" t="s">
        <v>5733</v>
      </c>
      <c r="B1666" s="8"/>
      <c r="C1666" s="8" t="s">
        <v>5734</v>
      </c>
      <c r="D1666" s="8" t="s">
        <v>720</v>
      </c>
      <c r="E1666" s="8" t="s">
        <v>71</v>
      </c>
      <c r="F1666" s="8" t="s">
        <v>1055</v>
      </c>
      <c r="G1666" s="8" t="s">
        <v>1055</v>
      </c>
      <c r="H1666" s="9">
        <v>2200000</v>
      </c>
      <c r="I1666" s="9">
        <f>[1]!Tabel1[[#This Row],[Honorar]]*[1]!Tabel1[[#This Row],[Sandsynlighed]]</f>
        <v>63750</v>
      </c>
      <c r="J1666" s="10" t="s">
        <v>585</v>
      </c>
      <c r="K1666" s="1" t="s">
        <v>2405</v>
      </c>
      <c r="L1666" s="17" t="s">
        <v>5735</v>
      </c>
      <c r="M1666" s="11">
        <v>0.3</v>
      </c>
      <c r="N1666" s="1">
        <v>3000</v>
      </c>
      <c r="O1666" s="10">
        <v>46279.621527777781</v>
      </c>
      <c r="P1666" s="10" t="s">
        <v>4507</v>
      </c>
      <c r="Q1666" s="1" t="s">
        <v>72</v>
      </c>
      <c r="R1666" s="8" t="s">
        <v>343</v>
      </c>
      <c r="S166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6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6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6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6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6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6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6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6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6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6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6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6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66" s="12">
        <f ca="1">[1]!Tabel1[[#This Row],[Vægtet Honorar]]*([1]!Tabel1[[#This Row],[Sidst redigeret]]&gt;TODAY()-40)*([1]!Tabel1[[#This Row],[Er i resplan?]]&lt;&gt;"Ja")*([1]!Tabel1[[#This Row],[Status]]="Pågår")</f>
        <v>0</v>
      </c>
      <c r="AG1666" s="12">
        <f ca="1">[1]!Tabel1[[#This Row],[Vægtet Honorar]]*([1]!Tabel1[[#This Row],[Sidst redigeret]]&gt;TODAY()-40)*([1]!Tabel1[[#This Row],[Status]]="Pågår")</f>
        <v>63750</v>
      </c>
      <c r="AH1666" s="13"/>
      <c r="AI1666" s="12"/>
      <c r="AJ1666" s="12"/>
      <c r="AK1666" s="12"/>
      <c r="AL1666" s="12"/>
      <c r="AM1666" s="12"/>
      <c r="AN1666" s="12"/>
      <c r="AO1666" s="12"/>
      <c r="AP1666" s="12"/>
    </row>
    <row r="1667" spans="1:42">
      <c r="A1667" t="s">
        <v>5736</v>
      </c>
      <c r="B1667" s="8"/>
      <c r="C1667" s="8" t="s">
        <v>5737</v>
      </c>
      <c r="D1667" s="8" t="s">
        <v>1468</v>
      </c>
      <c r="E1667" s="8" t="s">
        <v>167</v>
      </c>
      <c r="F1667" s="8" t="s">
        <v>3325</v>
      </c>
      <c r="G1667" s="8" t="s">
        <v>3325</v>
      </c>
      <c r="H1667" s="9">
        <v>300000</v>
      </c>
      <c r="I1667" s="9">
        <f>[1]!Tabel1[[#This Row],[Honorar]]*[1]!Tabel1[[#This Row],[Sandsynlighed]]</f>
        <v>150000</v>
      </c>
      <c r="J1667" s="10" t="s">
        <v>1310</v>
      </c>
      <c r="K1667" s="1" t="s">
        <v>2405</v>
      </c>
      <c r="L1667" s="17"/>
      <c r="M1667" s="11">
        <v>0.95</v>
      </c>
      <c r="N1667" s="1"/>
      <c r="O1667" s="10">
        <v>46279.621527777781</v>
      </c>
      <c r="P1667" s="10" t="s">
        <v>4507</v>
      </c>
      <c r="Q1667" s="1" t="s">
        <v>46</v>
      </c>
      <c r="R1667" s="8" t="s">
        <v>47</v>
      </c>
      <c r="S166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6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6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6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6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6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6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6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6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6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6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6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6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67" s="12">
        <f ca="1">[1]!Tabel1[[#This Row],[Vægtet Honorar]]*([1]!Tabel1[[#This Row],[Sidst redigeret]]&gt;TODAY()-40)*([1]!Tabel1[[#This Row],[Er i resplan?]]&lt;&gt;"Ja")*([1]!Tabel1[[#This Row],[Status]]="Pågår")</f>
        <v>0</v>
      </c>
      <c r="AG1667" s="12">
        <f ca="1">[1]!Tabel1[[#This Row],[Vægtet Honorar]]*([1]!Tabel1[[#This Row],[Sidst redigeret]]&gt;TODAY()-40)*([1]!Tabel1[[#This Row],[Status]]="Pågår")</f>
        <v>0</v>
      </c>
      <c r="AH1667" s="13">
        <v>46198.471261574072</v>
      </c>
      <c r="AI1667" s="12"/>
      <c r="AJ1667" s="12"/>
      <c r="AK1667" s="12"/>
      <c r="AL1667" s="12"/>
      <c r="AM1667" s="12"/>
      <c r="AN1667" s="12"/>
      <c r="AO1667" s="12"/>
      <c r="AP1667" s="12"/>
    </row>
    <row r="1668" spans="1:42" ht="90">
      <c r="A1668" t="s">
        <v>5738</v>
      </c>
      <c r="B1668" s="8"/>
      <c r="C1668" s="8" t="s">
        <v>5739</v>
      </c>
      <c r="D1668" s="8" t="s">
        <v>1771</v>
      </c>
      <c r="E1668" s="8" t="s">
        <v>167</v>
      </c>
      <c r="F1668" s="8" t="s">
        <v>1996</v>
      </c>
      <c r="G1668" s="8" t="s">
        <v>1213</v>
      </c>
      <c r="H1668" s="9">
        <v>200000</v>
      </c>
      <c r="I1668" s="9">
        <f>[1]!Tabel1[[#This Row],[Honorar]]*[1]!Tabel1[[#This Row],[Sandsynlighed]]</f>
        <v>200000</v>
      </c>
      <c r="J1668" s="10" t="s">
        <v>585</v>
      </c>
      <c r="K1668" s="1" t="s">
        <v>1323</v>
      </c>
      <c r="L1668" s="17" t="s">
        <v>5740</v>
      </c>
      <c r="M1668" s="11">
        <v>0.01</v>
      </c>
      <c r="N1668" s="1"/>
      <c r="O1668" s="10">
        <v>46279.621527777781</v>
      </c>
      <c r="P1668" s="10" t="s">
        <v>4507</v>
      </c>
      <c r="Q1668" s="1" t="s">
        <v>72</v>
      </c>
      <c r="R1668" s="8" t="s">
        <v>343</v>
      </c>
      <c r="S166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6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6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6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6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6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6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6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6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6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6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6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6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68" s="12">
        <f ca="1">[1]!Tabel1[[#This Row],[Vægtet Honorar]]*([1]!Tabel1[[#This Row],[Sidst redigeret]]&gt;TODAY()-40)*([1]!Tabel1[[#This Row],[Er i resplan?]]&lt;&gt;"Ja")*([1]!Tabel1[[#This Row],[Status]]="Pågår")</f>
        <v>0</v>
      </c>
      <c r="AG1668" s="12">
        <f ca="1">[1]!Tabel1[[#This Row],[Vægtet Honorar]]*([1]!Tabel1[[#This Row],[Sidst redigeret]]&gt;TODAY()-40)*([1]!Tabel1[[#This Row],[Status]]="Pågår")</f>
        <v>200000</v>
      </c>
      <c r="AH1668" s="13"/>
      <c r="AI1668" s="12"/>
      <c r="AJ1668" s="12" t="s">
        <v>1213</v>
      </c>
      <c r="AK1668" s="12"/>
      <c r="AL1668" s="12"/>
      <c r="AM1668" s="12"/>
      <c r="AN1668" s="12"/>
      <c r="AO1668" s="12"/>
      <c r="AP1668" s="12"/>
    </row>
    <row r="1669" spans="1:42">
      <c r="A1669" t="s">
        <v>5741</v>
      </c>
      <c r="B1669" s="8"/>
      <c r="C1669" s="8" t="s">
        <v>5742</v>
      </c>
      <c r="D1669" s="8" t="s">
        <v>896</v>
      </c>
      <c r="E1669" s="8" t="s">
        <v>94</v>
      </c>
      <c r="F1669" s="8" t="s">
        <v>2008</v>
      </c>
      <c r="G1669" s="8" t="s">
        <v>2008</v>
      </c>
      <c r="H1669" s="9">
        <v>200000</v>
      </c>
      <c r="I1669" s="9">
        <f>[1]!Tabel1[[#This Row],[Honorar]]*[1]!Tabel1[[#This Row],[Sandsynlighed]]</f>
        <v>100000</v>
      </c>
      <c r="J1669" s="10" t="s">
        <v>585</v>
      </c>
      <c r="K1669" s="1" t="s">
        <v>1323</v>
      </c>
      <c r="L1669" s="17"/>
      <c r="M1669" s="11">
        <v>0.01</v>
      </c>
      <c r="N1669" s="1"/>
      <c r="O1669" s="10">
        <v>46279.621527777781</v>
      </c>
      <c r="P1669" s="10" t="s">
        <v>4507</v>
      </c>
      <c r="Q1669" s="1" t="s">
        <v>72</v>
      </c>
      <c r="R1669" s="8" t="s">
        <v>47</v>
      </c>
      <c r="S166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6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6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6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6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6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6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6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6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6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6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6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6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69" s="12">
        <f ca="1">[1]!Tabel1[[#This Row],[Vægtet Honorar]]*([1]!Tabel1[[#This Row],[Sidst redigeret]]&gt;TODAY()-40)*([1]!Tabel1[[#This Row],[Er i resplan?]]&lt;&gt;"Ja")*([1]!Tabel1[[#This Row],[Status]]="Pågår")</f>
        <v>0</v>
      </c>
      <c r="AG1669" s="12">
        <f ca="1">[1]!Tabel1[[#This Row],[Vægtet Honorar]]*([1]!Tabel1[[#This Row],[Sidst redigeret]]&gt;TODAY()-40)*([1]!Tabel1[[#This Row],[Status]]="Pågår")</f>
        <v>100000</v>
      </c>
      <c r="AH1669" s="13">
        <v>46241.420081018521</v>
      </c>
      <c r="AI1669" s="12"/>
      <c r="AJ1669" s="12"/>
      <c r="AK1669" s="12"/>
      <c r="AL1669" s="12"/>
      <c r="AM1669" s="12"/>
      <c r="AN1669" s="12"/>
      <c r="AO1669" s="12"/>
      <c r="AP1669" s="12"/>
    </row>
    <row r="1670" spans="1:42" ht="60">
      <c r="A1670" t="s">
        <v>5743</v>
      </c>
      <c r="B1670" s="8"/>
      <c r="C1670" s="8" t="s">
        <v>5744</v>
      </c>
      <c r="D1670" s="8" t="s">
        <v>896</v>
      </c>
      <c r="E1670" s="8" t="s">
        <v>94</v>
      </c>
      <c r="F1670" s="8" t="s">
        <v>1735</v>
      </c>
      <c r="G1670" s="8" t="s">
        <v>2005</v>
      </c>
      <c r="H1670" s="9">
        <v>2000000</v>
      </c>
      <c r="I1670" s="9">
        <f>[1]!Tabel1[[#This Row],[Honorar]]*[1]!Tabel1[[#This Row],[Sandsynlighed]]</f>
        <v>150000</v>
      </c>
      <c r="J1670" s="10" t="s">
        <v>585</v>
      </c>
      <c r="K1670" s="1" t="s">
        <v>1323</v>
      </c>
      <c r="L1670" s="17" t="s">
        <v>5745</v>
      </c>
      <c r="M1670" s="11">
        <v>0.01</v>
      </c>
      <c r="N1670" s="1"/>
      <c r="O1670" s="10">
        <v>46279.621527777781</v>
      </c>
      <c r="P1670" s="10" t="s">
        <v>4507</v>
      </c>
      <c r="Q1670" s="1" t="s">
        <v>72</v>
      </c>
      <c r="R1670" s="8" t="s">
        <v>343</v>
      </c>
      <c r="S167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7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7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7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7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7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7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7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7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7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7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7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7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70" s="12">
        <f ca="1">[1]!Tabel1[[#This Row],[Vægtet Honorar]]*([1]!Tabel1[[#This Row],[Sidst redigeret]]&gt;TODAY()-40)*([1]!Tabel1[[#This Row],[Er i resplan?]]&lt;&gt;"Ja")*([1]!Tabel1[[#This Row],[Status]]="Pågår")</f>
        <v>0</v>
      </c>
      <c r="AG1670" s="12">
        <f ca="1">[1]!Tabel1[[#This Row],[Vægtet Honorar]]*([1]!Tabel1[[#This Row],[Sidst redigeret]]&gt;TODAY()-40)*([1]!Tabel1[[#This Row],[Status]]="Pågår")</f>
        <v>150000</v>
      </c>
      <c r="AH1670" s="13"/>
      <c r="AI1670" s="12"/>
      <c r="AJ1670" s="12" t="s">
        <v>2005</v>
      </c>
      <c r="AK1670" s="12"/>
      <c r="AL1670" s="12"/>
      <c r="AM1670" s="12"/>
      <c r="AN1670" s="12"/>
      <c r="AO1670" s="12"/>
      <c r="AP1670" s="12"/>
    </row>
    <row r="1671" spans="1:42" ht="60">
      <c r="A1671" t="s">
        <v>5746</v>
      </c>
      <c r="B1671" s="8"/>
      <c r="C1671" s="8" t="s">
        <v>5747</v>
      </c>
      <c r="D1671" s="8" t="s">
        <v>896</v>
      </c>
      <c r="E1671" s="8" t="s">
        <v>94</v>
      </c>
      <c r="F1671" s="8" t="s">
        <v>1735</v>
      </c>
      <c r="G1671" s="8" t="s">
        <v>2005</v>
      </c>
      <c r="H1671" s="9">
        <v>2000000</v>
      </c>
      <c r="I1671" s="9">
        <f>[1]!Tabel1[[#This Row],[Honorar]]*[1]!Tabel1[[#This Row],[Sandsynlighed]]</f>
        <v>660000</v>
      </c>
      <c r="J1671" s="10" t="s">
        <v>585</v>
      </c>
      <c r="K1671" s="1" t="s">
        <v>1323</v>
      </c>
      <c r="L1671" s="17" t="s">
        <v>5745</v>
      </c>
      <c r="M1671" s="11">
        <v>0.01</v>
      </c>
      <c r="N1671" s="1"/>
      <c r="O1671" s="10">
        <v>46279.621527777781</v>
      </c>
      <c r="P1671" s="10" t="s">
        <v>4507</v>
      </c>
      <c r="Q1671" s="1" t="s">
        <v>72</v>
      </c>
      <c r="R1671" s="8" t="s">
        <v>343</v>
      </c>
      <c r="S167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7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7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7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7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7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7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7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7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7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7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7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7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71" s="12">
        <f ca="1">[1]!Tabel1[[#This Row],[Vægtet Honorar]]*([1]!Tabel1[[#This Row],[Sidst redigeret]]&gt;TODAY()-40)*([1]!Tabel1[[#This Row],[Er i resplan?]]&lt;&gt;"Ja")*([1]!Tabel1[[#This Row],[Status]]="Pågår")</f>
        <v>660000</v>
      </c>
      <c r="AG1671" s="12">
        <f ca="1">[1]!Tabel1[[#This Row],[Vægtet Honorar]]*([1]!Tabel1[[#This Row],[Sidst redigeret]]&gt;TODAY()-40)*([1]!Tabel1[[#This Row],[Status]]="Pågår")</f>
        <v>660000</v>
      </c>
      <c r="AH1671" s="13"/>
      <c r="AI1671" s="12"/>
      <c r="AJ1671" s="12" t="s">
        <v>2005</v>
      </c>
      <c r="AK1671" s="12"/>
      <c r="AL1671" s="12"/>
      <c r="AM1671" s="12"/>
      <c r="AN1671" s="12"/>
      <c r="AO1671" s="12"/>
      <c r="AP1671" s="12"/>
    </row>
    <row r="1672" spans="1:42" ht="60">
      <c r="A1672" t="s">
        <v>5748</v>
      </c>
      <c r="B1672" s="8"/>
      <c r="C1672" s="8" t="s">
        <v>5749</v>
      </c>
      <c r="D1672" s="8" t="s">
        <v>1771</v>
      </c>
      <c r="E1672" s="8" t="s">
        <v>167</v>
      </c>
      <c r="F1672" s="8" t="s">
        <v>1705</v>
      </c>
      <c r="G1672" s="8" t="s">
        <v>1705</v>
      </c>
      <c r="H1672" s="9">
        <v>1000000</v>
      </c>
      <c r="I1672" s="9">
        <f>[1]!Tabel1[[#This Row],[Honorar]]*[1]!Tabel1[[#This Row],[Sandsynlighed]]</f>
        <v>285000</v>
      </c>
      <c r="J1672" s="10" t="s">
        <v>1062</v>
      </c>
      <c r="K1672" s="1" t="s">
        <v>2105</v>
      </c>
      <c r="L1672" s="17" t="s">
        <v>5750</v>
      </c>
      <c r="M1672" s="11">
        <v>0</v>
      </c>
      <c r="N1672" s="1"/>
      <c r="O1672" s="10">
        <v>46279.621527777781</v>
      </c>
      <c r="P1672" s="10"/>
      <c r="Q1672" s="1" t="s">
        <v>72</v>
      </c>
      <c r="R1672" s="8" t="s">
        <v>49</v>
      </c>
      <c r="S167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7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7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7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7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7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7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7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7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7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7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7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7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72" s="12">
        <f ca="1">[1]!Tabel1[[#This Row],[Vægtet Honorar]]*([1]!Tabel1[[#This Row],[Sidst redigeret]]&gt;TODAY()-40)*([1]!Tabel1[[#This Row],[Er i resplan?]]&lt;&gt;"Ja")*([1]!Tabel1[[#This Row],[Status]]="Pågår")</f>
        <v>0</v>
      </c>
      <c r="AG1672" s="12">
        <f ca="1">[1]!Tabel1[[#This Row],[Vægtet Honorar]]*([1]!Tabel1[[#This Row],[Sidst redigeret]]&gt;TODAY()-40)*([1]!Tabel1[[#This Row],[Status]]="Pågår")</f>
        <v>0</v>
      </c>
      <c r="AH1672" s="13"/>
      <c r="AI1672" s="12"/>
      <c r="AJ1672" s="12"/>
      <c r="AK1672" s="12"/>
      <c r="AL1672" s="12"/>
      <c r="AM1672" s="12"/>
      <c r="AN1672" s="12"/>
      <c r="AO1672" s="12"/>
      <c r="AP1672" s="12"/>
    </row>
    <row r="1673" spans="1:42">
      <c r="A1673" t="s">
        <v>5751</v>
      </c>
      <c r="B1673" s="8"/>
      <c r="C1673" s="8" t="s">
        <v>5752</v>
      </c>
      <c r="D1673" s="8" t="s">
        <v>2886</v>
      </c>
      <c r="E1673" s="8" t="s">
        <v>120</v>
      </c>
      <c r="F1673" s="8" t="s">
        <v>691</v>
      </c>
      <c r="G1673" s="8" t="s">
        <v>691</v>
      </c>
      <c r="H1673" s="9">
        <v>1000000</v>
      </c>
      <c r="I1673" s="9">
        <f>[1]!Tabel1[[#This Row],[Honorar]]*[1]!Tabel1[[#This Row],[Sandsynlighed]]</f>
        <v>2000</v>
      </c>
      <c r="J1673" s="10" t="s">
        <v>585</v>
      </c>
      <c r="K1673" s="1" t="s">
        <v>1323</v>
      </c>
      <c r="L1673" s="17"/>
      <c r="M1673" s="11">
        <v>0.05</v>
      </c>
      <c r="N1673" s="1"/>
      <c r="O1673" s="10">
        <v>46279.621527777781</v>
      </c>
      <c r="P1673" s="10" t="s">
        <v>4507</v>
      </c>
      <c r="Q1673" s="1" t="s">
        <v>72</v>
      </c>
      <c r="R1673" s="8" t="s">
        <v>343</v>
      </c>
      <c r="S167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7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7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7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7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7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7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7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7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7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7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7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7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73" s="12">
        <f ca="1">[1]!Tabel1[[#This Row],[Vægtet Honorar]]*([1]!Tabel1[[#This Row],[Sidst redigeret]]&gt;TODAY()-40)*([1]!Tabel1[[#This Row],[Er i resplan?]]&lt;&gt;"Ja")*([1]!Tabel1[[#This Row],[Status]]="Pågår")</f>
        <v>2000</v>
      </c>
      <c r="AG1673" s="12">
        <f ca="1">[1]!Tabel1[[#This Row],[Vægtet Honorar]]*([1]!Tabel1[[#This Row],[Sidst redigeret]]&gt;TODAY()-40)*([1]!Tabel1[[#This Row],[Status]]="Pågår")</f>
        <v>2000</v>
      </c>
      <c r="AH1673" s="13"/>
      <c r="AI1673" s="12"/>
      <c r="AJ1673" s="12" t="s">
        <v>5753</v>
      </c>
      <c r="AK1673" s="12"/>
      <c r="AL1673" s="12"/>
      <c r="AM1673" s="12"/>
      <c r="AN1673" s="12"/>
      <c r="AO1673" s="12"/>
      <c r="AP1673" s="12"/>
    </row>
    <row r="1674" spans="1:42" ht="45">
      <c r="A1674" t="s">
        <v>5754</v>
      </c>
      <c r="B1674" s="8"/>
      <c r="C1674" s="8" t="s">
        <v>5755</v>
      </c>
      <c r="D1674" s="8" t="s">
        <v>1468</v>
      </c>
      <c r="E1674" s="8" t="s">
        <v>167</v>
      </c>
      <c r="F1674" s="8" t="s">
        <v>5498</v>
      </c>
      <c r="G1674" s="8" t="s">
        <v>5498</v>
      </c>
      <c r="H1674" s="9">
        <v>1500000</v>
      </c>
      <c r="I1674" s="9">
        <v>75000</v>
      </c>
      <c r="J1674" s="25" t="s">
        <v>585</v>
      </c>
      <c r="K1674" s="1" t="s">
        <v>2624</v>
      </c>
      <c r="L1674" s="17" t="s">
        <v>5756</v>
      </c>
      <c r="M1674" s="11">
        <v>0.05</v>
      </c>
      <c r="N1674" s="26"/>
      <c r="O1674" s="10">
        <v>46279.621527777781</v>
      </c>
      <c r="P1674" s="10" t="s">
        <v>46</v>
      </c>
      <c r="Q1674" s="1" t="s">
        <v>72</v>
      </c>
      <c r="R1674" s="8" t="s">
        <v>5757</v>
      </c>
      <c r="S1674" s="12" t="s">
        <v>5757</v>
      </c>
      <c r="T167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7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7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7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7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7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7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7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7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7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7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7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74" s="12">
        <f ca="1">[1]!Tabel1[[#This Row],[Vægtet Honorar]]*([1]!Tabel1[[#This Row],[Sidst redigeret]]&gt;TODAY()-40)*([1]!Tabel1[[#This Row],[Er i resplan?]]&lt;&gt;"Ja")*([1]!Tabel1[[#This Row],[Status]]="Pågår")</f>
        <v>0</v>
      </c>
      <c r="AG1674" s="12">
        <f ca="1">[1]!Tabel1[[#This Row],[Vægtet Honorar]]*([1]!Tabel1[[#This Row],[Sidst redigeret]]&gt;TODAY()-40)*([1]!Tabel1[[#This Row],[Status]]="Pågår")</f>
        <v>0</v>
      </c>
      <c r="AH1674" s="13"/>
      <c r="AI1674" s="12"/>
      <c r="AJ1674" s="12"/>
      <c r="AK1674" s="12"/>
      <c r="AL1674" s="12"/>
      <c r="AM1674" s="12"/>
      <c r="AN1674" s="12"/>
      <c r="AO1674" s="12"/>
      <c r="AP1674" s="12"/>
    </row>
    <row r="1675" spans="1:42" ht="60">
      <c r="A1675" t="s">
        <v>5758</v>
      </c>
      <c r="B1675" s="8"/>
      <c r="C1675" s="8" t="s">
        <v>5759</v>
      </c>
      <c r="D1675" s="8" t="s">
        <v>2886</v>
      </c>
      <c r="E1675" s="8" t="s">
        <v>120</v>
      </c>
      <c r="F1675" s="8" t="s">
        <v>547</v>
      </c>
      <c r="G1675" s="8" t="s">
        <v>2959</v>
      </c>
      <c r="H1675" s="9">
        <v>2500000</v>
      </c>
      <c r="I1675" s="9">
        <f>[1]!Tabel1[[#This Row],[Honorar]]*[1]!Tabel1[[#This Row],[Sandsynlighed]]</f>
        <v>20000</v>
      </c>
      <c r="J1675" s="10" t="s">
        <v>342</v>
      </c>
      <c r="K1675" s="1" t="s">
        <v>1861</v>
      </c>
      <c r="L1675" s="17" t="s">
        <v>5760</v>
      </c>
      <c r="M1675" s="11">
        <v>0.05</v>
      </c>
      <c r="N1675" s="1"/>
      <c r="O1675" s="10">
        <v>46279.621539351851</v>
      </c>
      <c r="P1675" s="10" t="s">
        <v>4507</v>
      </c>
      <c r="Q1675" s="1" t="s">
        <v>72</v>
      </c>
      <c r="R1675" s="8" t="s">
        <v>343</v>
      </c>
      <c r="S167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7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7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7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7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7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7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7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7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7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7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7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7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75" s="12">
        <f ca="1">[1]!Tabel1[[#This Row],[Vægtet Honorar]]*([1]!Tabel1[[#This Row],[Sidst redigeret]]&gt;TODAY()-40)*([1]!Tabel1[[#This Row],[Er i resplan?]]&lt;&gt;"Ja")*([1]!Tabel1[[#This Row],[Status]]="Pågår")</f>
        <v>20000</v>
      </c>
      <c r="AG1675" s="12">
        <f ca="1">[1]!Tabel1[[#This Row],[Vægtet Honorar]]*([1]!Tabel1[[#This Row],[Sidst redigeret]]&gt;TODAY()-40)*([1]!Tabel1[[#This Row],[Status]]="Pågår")</f>
        <v>20000</v>
      </c>
      <c r="AH1675" s="13"/>
      <c r="AI1675" s="12"/>
      <c r="AJ1675" s="12" t="s">
        <v>2917</v>
      </c>
      <c r="AK1675" s="12" t="s">
        <v>2959</v>
      </c>
      <c r="AL1675" s="12"/>
      <c r="AM1675" s="12"/>
      <c r="AN1675" s="12"/>
      <c r="AO1675" s="12"/>
      <c r="AP1675" s="12"/>
    </row>
    <row r="1676" spans="1:42">
      <c r="A1676" t="s">
        <v>5761</v>
      </c>
      <c r="B1676" s="8"/>
      <c r="C1676" s="8" t="s">
        <v>5762</v>
      </c>
      <c r="D1676" s="8" t="s">
        <v>5256</v>
      </c>
      <c r="E1676" s="8" t="s">
        <v>94</v>
      </c>
      <c r="F1676" s="8" t="s">
        <v>5762</v>
      </c>
      <c r="G1676" s="8" t="s">
        <v>5762</v>
      </c>
      <c r="H1676" s="9">
        <v>0</v>
      </c>
      <c r="I1676" s="9">
        <f>[1]!Tabel1[[#This Row],[Honorar]]*[1]!Tabel1[[#This Row],[Sandsynlighed]]</f>
        <v>20000</v>
      </c>
      <c r="J1676" s="10" t="s">
        <v>585</v>
      </c>
      <c r="K1676" s="1" t="s">
        <v>1062</v>
      </c>
      <c r="L1676" s="17"/>
      <c r="M1676" s="11">
        <v>0.01</v>
      </c>
      <c r="N1676" s="1">
        <v>0</v>
      </c>
      <c r="O1676" s="10">
        <v>46279.621539351851</v>
      </c>
      <c r="P1676" s="10" t="s">
        <v>4507</v>
      </c>
      <c r="Q1676" s="1" t="s">
        <v>72</v>
      </c>
      <c r="R1676" s="8" t="s">
        <v>5521</v>
      </c>
      <c r="S167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7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7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7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7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7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7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7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7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7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7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7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7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76" s="12">
        <f ca="1">[1]!Tabel1[[#This Row],[Vægtet Honorar]]*([1]!Tabel1[[#This Row],[Sidst redigeret]]&gt;TODAY()-40)*([1]!Tabel1[[#This Row],[Er i resplan?]]&lt;&gt;"Ja")*([1]!Tabel1[[#This Row],[Status]]="Pågår")</f>
        <v>20000</v>
      </c>
      <c r="AG1676" s="12">
        <f ca="1">[1]!Tabel1[[#This Row],[Vægtet Honorar]]*([1]!Tabel1[[#This Row],[Sidst redigeret]]&gt;TODAY()-40)*([1]!Tabel1[[#This Row],[Status]]="Pågår")</f>
        <v>20000</v>
      </c>
      <c r="AH1676" s="13"/>
      <c r="AI1676" s="12"/>
      <c r="AJ1676" s="12" t="s">
        <v>5763</v>
      </c>
      <c r="AK1676" s="12"/>
      <c r="AL1676" s="12"/>
      <c r="AM1676" s="12"/>
      <c r="AN1676" s="12"/>
      <c r="AO1676" s="12"/>
      <c r="AP1676" s="12"/>
    </row>
    <row r="1677" spans="1:42">
      <c r="A1677" t="s">
        <v>5764</v>
      </c>
      <c r="B1677" s="8"/>
      <c r="C1677" s="8" t="s">
        <v>5765</v>
      </c>
      <c r="D1677" s="8" t="s">
        <v>5766</v>
      </c>
      <c r="E1677" s="8" t="s">
        <v>102</v>
      </c>
      <c r="F1677" s="8" t="s">
        <v>1123</v>
      </c>
      <c r="G1677" s="8" t="s">
        <v>1123</v>
      </c>
      <c r="H1677" s="9">
        <v>300000</v>
      </c>
      <c r="I1677" s="9">
        <f>[1]!Tabel1[[#This Row],[Honorar]]*[1]!Tabel1[[#This Row],[Sandsynlighed]]</f>
        <v>0</v>
      </c>
      <c r="J1677" s="10" t="s">
        <v>1310</v>
      </c>
      <c r="K1677" s="1" t="s">
        <v>1062</v>
      </c>
      <c r="L1677" s="17"/>
      <c r="M1677" s="11">
        <v>0.25</v>
      </c>
      <c r="N1677" s="1">
        <v>0</v>
      </c>
      <c r="O1677" s="10">
        <v>46279.621539351851</v>
      </c>
      <c r="P1677" s="10" t="s">
        <v>4507</v>
      </c>
      <c r="Q1677" s="1" t="s">
        <v>72</v>
      </c>
      <c r="R1677" s="8" t="s">
        <v>343</v>
      </c>
      <c r="S167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7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7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7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7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7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7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7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7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7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7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7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7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77" s="12">
        <f ca="1">[1]!Tabel1[[#This Row],[Vægtet Honorar]]*([1]!Tabel1[[#This Row],[Sidst redigeret]]&gt;TODAY()-40)*([1]!Tabel1[[#This Row],[Er i resplan?]]&lt;&gt;"Ja")*([1]!Tabel1[[#This Row],[Status]]="Pågår")</f>
        <v>0</v>
      </c>
      <c r="AG1677" s="12">
        <f ca="1">[1]!Tabel1[[#This Row],[Vægtet Honorar]]*([1]!Tabel1[[#This Row],[Sidst redigeret]]&gt;TODAY()-40)*([1]!Tabel1[[#This Row],[Status]]="Pågår")</f>
        <v>0</v>
      </c>
      <c r="AH1677" s="13"/>
      <c r="AI1677" s="12"/>
      <c r="AJ1677" s="12" t="s">
        <v>5763</v>
      </c>
      <c r="AK1677" s="12"/>
      <c r="AL1677" s="12"/>
      <c r="AM1677" s="12"/>
      <c r="AN1677" s="12"/>
      <c r="AO1677" s="12"/>
      <c r="AP1677" s="12"/>
    </row>
    <row r="1678" spans="1:42">
      <c r="A1678" t="s">
        <v>5767</v>
      </c>
      <c r="B1678" s="8"/>
      <c r="C1678" s="8" t="s">
        <v>5768</v>
      </c>
      <c r="D1678" s="8" t="s">
        <v>2886</v>
      </c>
      <c r="E1678" s="8" t="s">
        <v>120</v>
      </c>
      <c r="F1678" s="8" t="s">
        <v>2522</v>
      </c>
      <c r="G1678" s="8" t="s">
        <v>5768</v>
      </c>
      <c r="H1678" s="9">
        <v>25000</v>
      </c>
      <c r="I1678" s="9">
        <f>[1]!Tabel1[[#This Row],[Honorar]]*[1]!Tabel1[[#This Row],[Sandsynlighed]]</f>
        <v>50000</v>
      </c>
      <c r="J1678" s="10" t="s">
        <v>1310</v>
      </c>
      <c r="K1678" s="1" t="s">
        <v>585</v>
      </c>
      <c r="L1678" s="17"/>
      <c r="M1678" s="11">
        <v>0.5</v>
      </c>
      <c r="N1678" s="1">
        <v>0</v>
      </c>
      <c r="O1678" s="10">
        <v>46279.621539351851</v>
      </c>
      <c r="P1678" s="10" t="s">
        <v>4507</v>
      </c>
      <c r="Q1678" s="1" t="s">
        <v>72</v>
      </c>
      <c r="R1678" s="8" t="s">
        <v>4031</v>
      </c>
      <c r="S167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7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7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7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7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7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7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7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7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7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7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7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7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78" s="12">
        <f ca="1">[1]!Tabel1[[#This Row],[Vægtet Honorar]]*([1]!Tabel1[[#This Row],[Sidst redigeret]]&gt;TODAY()-40)*([1]!Tabel1[[#This Row],[Er i resplan?]]&lt;&gt;"Ja")*([1]!Tabel1[[#This Row],[Status]]="Pågår")</f>
        <v>50000</v>
      </c>
      <c r="AG1678" s="12">
        <f ca="1">[1]!Tabel1[[#This Row],[Vægtet Honorar]]*([1]!Tabel1[[#This Row],[Sidst redigeret]]&gt;TODAY()-40)*([1]!Tabel1[[#This Row],[Status]]="Pågår")</f>
        <v>50000</v>
      </c>
      <c r="AH1678" s="13">
        <v>46269.500740740739</v>
      </c>
      <c r="AI1678" s="12"/>
      <c r="AJ1678" s="12" t="s">
        <v>5769</v>
      </c>
      <c r="AK1678" s="12"/>
      <c r="AL1678" s="12"/>
      <c r="AM1678" s="12"/>
      <c r="AN1678" s="12"/>
      <c r="AO1678" s="12"/>
      <c r="AP1678" s="12"/>
    </row>
    <row r="1679" spans="1:42">
      <c r="A1679" t="s">
        <v>5770</v>
      </c>
      <c r="B1679" s="8"/>
      <c r="C1679" s="8" t="s">
        <v>5771</v>
      </c>
      <c r="D1679" s="8" t="s">
        <v>125</v>
      </c>
      <c r="E1679" s="8" t="s">
        <v>71</v>
      </c>
      <c r="F1679" s="8" t="s">
        <v>478</v>
      </c>
      <c r="G1679" s="8" t="s">
        <v>478</v>
      </c>
      <c r="H1679" s="9">
        <v>300000</v>
      </c>
      <c r="I1679" s="9">
        <f>[1]!Tabel1[[#This Row],[Honorar]]*[1]!Tabel1[[#This Row],[Sandsynlighed]]</f>
        <v>75000</v>
      </c>
      <c r="J1679" s="10" t="s">
        <v>1310</v>
      </c>
      <c r="K1679" s="1" t="s">
        <v>585</v>
      </c>
      <c r="L1679" s="17"/>
      <c r="M1679" s="11">
        <v>0.9</v>
      </c>
      <c r="N1679" s="1">
        <v>1200</v>
      </c>
      <c r="O1679" s="10">
        <v>46279.621539351851</v>
      </c>
      <c r="P1679" s="10" t="s">
        <v>4507</v>
      </c>
      <c r="Q1679" s="1" t="s">
        <v>72</v>
      </c>
      <c r="R1679" s="8" t="s">
        <v>343</v>
      </c>
      <c r="S167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79" s="12" t="e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#REF!</v>
      </c>
      <c r="U1679" s="12" t="e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#REF!</v>
      </c>
      <c r="V1679" s="12" t="e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#REF!</v>
      </c>
      <c r="W1679" s="12" t="e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#REF!</v>
      </c>
      <c r="X1679" s="12" t="e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#REF!</v>
      </c>
      <c r="Y1679" s="12" t="e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#REF!</v>
      </c>
      <c r="Z1679" s="12" t="e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#REF!</v>
      </c>
      <c r="AA1679" s="12" t="e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#REF!</v>
      </c>
      <c r="AB1679" s="12" t="e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#REF!</v>
      </c>
      <c r="AC1679" s="12" t="e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#REF!</v>
      </c>
      <c r="AD1679" s="12" t="e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#REF!</v>
      </c>
      <c r="AE1679" s="12" t="e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#REF!</v>
      </c>
      <c r="AF1679" s="12">
        <f ca="1">[1]!Tabel1[[#This Row],[Vægtet Honorar]]*([1]!Tabel1[[#This Row],[Sidst redigeret]]&gt;TODAY()-40)*([1]!Tabel1[[#This Row],[Er i resplan?]]&lt;&gt;"Ja")*([1]!Tabel1[[#This Row],[Status]]="Pågår")</f>
        <v>0</v>
      </c>
      <c r="AG1679" s="12">
        <f ca="1">[1]!Tabel1[[#This Row],[Vægtet Honorar]]*([1]!Tabel1[[#This Row],[Sidst redigeret]]&gt;TODAY()-40)*([1]!Tabel1[[#This Row],[Status]]="Pågår")</f>
        <v>0</v>
      </c>
      <c r="AH1679" s="13"/>
      <c r="AI1679" s="12"/>
      <c r="AJ1679" s="12" t="s">
        <v>5769</v>
      </c>
      <c r="AK1679" s="12"/>
      <c r="AL1679" s="12"/>
      <c r="AM1679" s="12"/>
      <c r="AN1679" s="12"/>
      <c r="AO1679" s="12"/>
      <c r="AP1679" s="12"/>
    </row>
    <row r="1680" spans="1:42">
      <c r="A1680" t="s">
        <v>5772</v>
      </c>
      <c r="B1680" s="8"/>
      <c r="C1680" s="8" t="s">
        <v>5773</v>
      </c>
      <c r="D1680" s="8" t="s">
        <v>70</v>
      </c>
      <c r="E1680" s="8" t="s">
        <v>102</v>
      </c>
      <c r="F1680" s="8" t="s">
        <v>5774</v>
      </c>
      <c r="G1680" s="8" t="s">
        <v>5774</v>
      </c>
      <c r="H1680" s="9">
        <v>50000</v>
      </c>
      <c r="I1680" s="9">
        <f>[1]!Tabel1[[#This Row],[Honorar]]*[1]!Tabel1[[#This Row],[Sandsynlighed]]</f>
        <v>125000</v>
      </c>
      <c r="J1680" s="10" t="s">
        <v>1310</v>
      </c>
      <c r="K1680" s="1" t="s">
        <v>1310</v>
      </c>
      <c r="L1680" s="17"/>
      <c r="M1680" s="11">
        <v>0.5</v>
      </c>
      <c r="N1680" s="1"/>
      <c r="O1680" s="10">
        <v>46279.621539351851</v>
      </c>
      <c r="P1680" s="10" t="s">
        <v>4507</v>
      </c>
      <c r="Q1680" s="1" t="s">
        <v>72</v>
      </c>
      <c r="R1680" s="8" t="s">
        <v>343</v>
      </c>
      <c r="S168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8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8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8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8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8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8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8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8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8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8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8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8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80" s="12">
        <f ca="1">[1]!Tabel1[[#This Row],[Vægtet Honorar]]*([1]!Tabel1[[#This Row],[Sidst redigeret]]&gt;TODAY()-40)*([1]!Tabel1[[#This Row],[Er i resplan?]]&lt;&gt;"Ja")*([1]!Tabel1[[#This Row],[Status]]="Pågår")</f>
        <v>125000</v>
      </c>
      <c r="AG1680" s="12">
        <f ca="1">[1]!Tabel1[[#This Row],[Vægtet Honorar]]*([1]!Tabel1[[#This Row],[Sidst redigeret]]&gt;TODAY()-40)*([1]!Tabel1[[#This Row],[Status]]="Pågår")</f>
        <v>125000</v>
      </c>
      <c r="AH1680" s="13"/>
      <c r="AI1680" s="12"/>
      <c r="AJ1680" s="12" t="s">
        <v>5769</v>
      </c>
      <c r="AK1680" s="12"/>
      <c r="AL1680" s="12"/>
      <c r="AM1680" s="12"/>
      <c r="AN1680" s="12"/>
      <c r="AO1680" s="12"/>
      <c r="AP1680" s="12"/>
    </row>
    <row r="1681" spans="1:42">
      <c r="A1681" t="s">
        <v>5775</v>
      </c>
      <c r="B1681" s="8"/>
      <c r="C1681" s="8" t="s">
        <v>5776</v>
      </c>
      <c r="D1681" s="8" t="s">
        <v>4254</v>
      </c>
      <c r="E1681" s="8" t="s">
        <v>167</v>
      </c>
      <c r="F1681" s="8" t="s">
        <v>5109</v>
      </c>
      <c r="G1681" s="8" t="s">
        <v>5109</v>
      </c>
      <c r="H1681" s="9">
        <v>500000</v>
      </c>
      <c r="I1681" s="9">
        <f>[1]!Tabel1[[#This Row],[Honorar]]*[1]!Tabel1[[#This Row],[Sandsynlighed]]</f>
        <v>0</v>
      </c>
      <c r="J1681" s="10" t="s">
        <v>1310</v>
      </c>
      <c r="K1681" s="1" t="s">
        <v>1861</v>
      </c>
      <c r="L1681" s="17"/>
      <c r="M1681" s="11">
        <v>0.25</v>
      </c>
      <c r="N1681" s="1"/>
      <c r="O1681" s="10">
        <v>46279.621539351851</v>
      </c>
      <c r="P1681" s="10" t="s">
        <v>4507</v>
      </c>
      <c r="Q1681" s="1" t="s">
        <v>72</v>
      </c>
      <c r="R1681" s="8" t="s">
        <v>343</v>
      </c>
      <c r="S168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8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8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8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8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8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8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8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8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8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8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8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8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81" s="12">
        <f ca="1">[1]!Tabel1[[#This Row],[Vægtet Honorar]]*([1]!Tabel1[[#This Row],[Sidst redigeret]]&gt;TODAY()-40)*([1]!Tabel1[[#This Row],[Er i resplan?]]&lt;&gt;"Ja")*([1]!Tabel1[[#This Row],[Status]]="Pågår")</f>
        <v>0</v>
      </c>
      <c r="AG1681" s="12">
        <f ca="1">[1]!Tabel1[[#This Row],[Vægtet Honorar]]*([1]!Tabel1[[#This Row],[Sidst redigeret]]&gt;TODAY()-40)*([1]!Tabel1[[#This Row],[Status]]="Pågår")</f>
        <v>0</v>
      </c>
      <c r="AH1681" s="13"/>
      <c r="AI1681" s="12"/>
      <c r="AJ1681" s="12" t="s">
        <v>5769</v>
      </c>
      <c r="AK1681" s="12"/>
      <c r="AL1681" s="12"/>
      <c r="AM1681" s="12"/>
      <c r="AN1681" s="12"/>
      <c r="AO1681" s="12"/>
      <c r="AP1681" s="12"/>
    </row>
    <row r="1682" spans="1:42">
      <c r="A1682" t="s">
        <v>5777</v>
      </c>
      <c r="B1682" s="8"/>
      <c r="C1682" s="8" t="s">
        <v>5778</v>
      </c>
      <c r="D1682" s="8" t="s">
        <v>2633</v>
      </c>
      <c r="E1682" s="8" t="s">
        <v>71</v>
      </c>
      <c r="F1682" s="8" t="s">
        <v>1687</v>
      </c>
      <c r="G1682" s="8" t="s">
        <v>1687</v>
      </c>
      <c r="H1682" s="9">
        <v>150000</v>
      </c>
      <c r="I1682" s="9">
        <f>[1]!Tabel1[[#This Row],[Honorar]]*[1]!Tabel1[[#This Row],[Sandsynlighed]]</f>
        <v>75000</v>
      </c>
      <c r="J1682" s="10" t="s">
        <v>1310</v>
      </c>
      <c r="K1682" s="1" t="s">
        <v>342</v>
      </c>
      <c r="L1682" s="17"/>
      <c r="M1682" s="11">
        <v>0.75</v>
      </c>
      <c r="N1682" s="1">
        <v>3000</v>
      </c>
      <c r="O1682" s="10">
        <v>46279.621539351851</v>
      </c>
      <c r="P1682" s="10" t="s">
        <v>4507</v>
      </c>
      <c r="Q1682" s="1" t="s">
        <v>46</v>
      </c>
      <c r="R1682" s="8" t="s">
        <v>343</v>
      </c>
      <c r="S168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8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8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8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8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8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8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8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8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8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8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8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8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82" s="12">
        <f ca="1">[1]!Tabel1[[#This Row],[Vægtet Honorar]]*([1]!Tabel1[[#This Row],[Sidst redigeret]]&gt;TODAY()-40)*([1]!Tabel1[[#This Row],[Er i resplan?]]&lt;&gt;"Ja")*([1]!Tabel1[[#This Row],[Status]]="Pågår")</f>
        <v>75000</v>
      </c>
      <c r="AG1682" s="12">
        <f ca="1">[1]!Tabel1[[#This Row],[Vægtet Honorar]]*([1]!Tabel1[[#This Row],[Sidst redigeret]]&gt;TODAY()-40)*([1]!Tabel1[[#This Row],[Status]]="Pågår")</f>
        <v>75000</v>
      </c>
      <c r="AH1682" s="13"/>
      <c r="AI1682" s="12"/>
      <c r="AJ1682" s="12" t="s">
        <v>5769</v>
      </c>
      <c r="AK1682" s="12"/>
      <c r="AL1682" s="12"/>
      <c r="AM1682" s="12"/>
      <c r="AN1682" s="12"/>
      <c r="AO1682" s="12"/>
      <c r="AP1682" s="12"/>
    </row>
    <row r="1683" spans="1:42">
      <c r="A1683" t="s">
        <v>5779</v>
      </c>
      <c r="B1683" s="8"/>
      <c r="C1683" s="8" t="s">
        <v>5780</v>
      </c>
      <c r="D1683" s="8" t="s">
        <v>5781</v>
      </c>
      <c r="E1683" s="8" t="s">
        <v>102</v>
      </c>
      <c r="F1683" s="8" t="s">
        <v>5782</v>
      </c>
      <c r="G1683" s="8" t="s">
        <v>5783</v>
      </c>
      <c r="H1683" s="9">
        <v>600000</v>
      </c>
      <c r="I1683" s="9">
        <f>[1]!Tabel1[[#This Row],[Honorar]]*[1]!Tabel1[[#This Row],[Sandsynlighed]]</f>
        <v>12500</v>
      </c>
      <c r="J1683" s="10" t="s">
        <v>1310</v>
      </c>
      <c r="K1683" s="1" t="s">
        <v>1861</v>
      </c>
      <c r="L1683" s="17"/>
      <c r="M1683" s="11">
        <v>0.25</v>
      </c>
      <c r="N1683" s="1"/>
      <c r="O1683" s="10">
        <v>46279.621539351851</v>
      </c>
      <c r="P1683" s="10"/>
      <c r="Q1683" s="1" t="s">
        <v>46</v>
      </c>
      <c r="R1683" s="8" t="s">
        <v>343</v>
      </c>
      <c r="S168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8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8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8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8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8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8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8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8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8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8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8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8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83" s="12">
        <f ca="1">[1]!Tabel1[[#This Row],[Vægtet Honorar]]*([1]!Tabel1[[#This Row],[Sidst redigeret]]&gt;TODAY()-40)*([1]!Tabel1[[#This Row],[Er i resplan?]]&lt;&gt;"Ja")*([1]!Tabel1[[#This Row],[Status]]="Pågår")</f>
        <v>0</v>
      </c>
      <c r="AG1683" s="12">
        <f ca="1">[1]!Tabel1[[#This Row],[Vægtet Honorar]]*([1]!Tabel1[[#This Row],[Sidst redigeret]]&gt;TODAY()-40)*([1]!Tabel1[[#This Row],[Status]]="Pågår")</f>
        <v>0</v>
      </c>
      <c r="AH1683" s="13"/>
      <c r="AI1683" s="12"/>
      <c r="AJ1683" s="12" t="s">
        <v>5769</v>
      </c>
      <c r="AK1683" s="12"/>
      <c r="AL1683" s="12"/>
      <c r="AM1683" s="12"/>
      <c r="AN1683" s="12"/>
      <c r="AO1683" s="12"/>
      <c r="AP1683" s="12"/>
    </row>
    <row r="1684" spans="1:42">
      <c r="A1684" t="s">
        <v>5784</v>
      </c>
      <c r="B1684" s="8"/>
      <c r="C1684" s="8" t="s">
        <v>5785</v>
      </c>
      <c r="D1684" s="8" t="s">
        <v>2886</v>
      </c>
      <c r="E1684" s="8" t="s">
        <v>120</v>
      </c>
      <c r="F1684" s="8" t="s">
        <v>1671</v>
      </c>
      <c r="G1684" s="8" t="s">
        <v>2917</v>
      </c>
      <c r="H1684" s="9">
        <v>1500000</v>
      </c>
      <c r="I1684" s="9">
        <f>[1]!Tabel1[[#This Row],[Honorar]]*[1]!Tabel1[[#This Row],[Sandsynlighed]]</f>
        <v>270000</v>
      </c>
      <c r="J1684" s="10" t="s">
        <v>585</v>
      </c>
      <c r="K1684" s="1" t="s">
        <v>1323</v>
      </c>
      <c r="L1684" s="17"/>
      <c r="M1684" s="11">
        <v>0.05</v>
      </c>
      <c r="N1684" s="1"/>
      <c r="O1684" s="10">
        <v>46279.621539351851</v>
      </c>
      <c r="P1684" s="10" t="s">
        <v>4507</v>
      </c>
      <c r="Q1684" s="1" t="s">
        <v>72</v>
      </c>
      <c r="R1684" s="8" t="s">
        <v>343</v>
      </c>
      <c r="S168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8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8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8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8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8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8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8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8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8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8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8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8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84" s="12">
        <f ca="1">[1]!Tabel1[[#This Row],[Vægtet Honorar]]*([1]!Tabel1[[#This Row],[Sidst redigeret]]&gt;TODAY()-40)*([1]!Tabel1[[#This Row],[Er i resplan?]]&lt;&gt;"Ja")*([1]!Tabel1[[#This Row],[Status]]="Pågår")</f>
        <v>270000</v>
      </c>
      <c r="AG1684" s="12">
        <f ca="1">[1]!Tabel1[[#This Row],[Vægtet Honorar]]*([1]!Tabel1[[#This Row],[Sidst redigeret]]&gt;TODAY()-40)*([1]!Tabel1[[#This Row],[Status]]="Pågår")</f>
        <v>270000</v>
      </c>
      <c r="AH1684" s="13"/>
      <c r="AI1684" s="12"/>
      <c r="AJ1684" s="12" t="s">
        <v>2917</v>
      </c>
      <c r="AK1684" s="12"/>
      <c r="AL1684" s="12"/>
      <c r="AM1684" s="12"/>
      <c r="AN1684" s="12"/>
      <c r="AO1684" s="12"/>
      <c r="AP1684" s="12"/>
    </row>
    <row r="1685" spans="1:42" ht="60">
      <c r="A1685" t="s">
        <v>5786</v>
      </c>
      <c r="B1685" s="8"/>
      <c r="C1685" s="8" t="s">
        <v>5787</v>
      </c>
      <c r="D1685" s="8" t="s">
        <v>1771</v>
      </c>
      <c r="E1685" s="8" t="s">
        <v>167</v>
      </c>
      <c r="F1685" s="8"/>
      <c r="G1685" s="8" t="s">
        <v>812</v>
      </c>
      <c r="H1685" s="9">
        <v>250000</v>
      </c>
      <c r="I1685" s="9">
        <f>[1]!Tabel1[[#This Row],[Honorar]]*[1]!Tabel1[[#This Row],[Sandsynlighed]]</f>
        <v>25000</v>
      </c>
      <c r="J1685" s="10" t="s">
        <v>1310</v>
      </c>
      <c r="K1685" s="1" t="s">
        <v>2405</v>
      </c>
      <c r="L1685" s="17" t="s">
        <v>5788</v>
      </c>
      <c r="M1685" s="11">
        <v>0.5</v>
      </c>
      <c r="N1685" s="1"/>
      <c r="O1685" s="10">
        <v>46279.621539351851</v>
      </c>
      <c r="P1685" s="10" t="s">
        <v>4507</v>
      </c>
      <c r="Q1685" s="1" t="s">
        <v>72</v>
      </c>
      <c r="R1685" s="8" t="s">
        <v>343</v>
      </c>
      <c r="S168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8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8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8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8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8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8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8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8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8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8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8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8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85" s="12">
        <f ca="1">[1]!Tabel1[[#This Row],[Vægtet Honorar]]*([1]!Tabel1[[#This Row],[Sidst redigeret]]&gt;TODAY()-40)*([1]!Tabel1[[#This Row],[Er i resplan?]]&lt;&gt;"Ja")*([1]!Tabel1[[#This Row],[Status]]="Pågår")</f>
        <v>25000</v>
      </c>
      <c r="AG1685" s="12">
        <f ca="1">[1]!Tabel1[[#This Row],[Vægtet Honorar]]*([1]!Tabel1[[#This Row],[Sidst redigeret]]&gt;TODAY()-40)*([1]!Tabel1[[#This Row],[Status]]="Pågår")</f>
        <v>25000</v>
      </c>
      <c r="AH1685" s="13"/>
      <c r="AI1685" s="12"/>
      <c r="AJ1685" s="12" t="s">
        <v>2917</v>
      </c>
      <c r="AK1685" s="12"/>
      <c r="AL1685" s="12"/>
      <c r="AM1685" s="12"/>
      <c r="AN1685" s="12"/>
      <c r="AO1685" s="12"/>
      <c r="AP1685" s="12"/>
    </row>
    <row r="1686" spans="1:42" ht="30">
      <c r="A1686" t="s">
        <v>5789</v>
      </c>
      <c r="B1686" s="8"/>
      <c r="C1686" s="8" t="s">
        <v>5790</v>
      </c>
      <c r="D1686" s="8" t="s">
        <v>1468</v>
      </c>
      <c r="E1686" s="8" t="s">
        <v>167</v>
      </c>
      <c r="F1686" s="8" t="s">
        <v>2183</v>
      </c>
      <c r="G1686" s="8" t="s">
        <v>2183</v>
      </c>
      <c r="H1686" s="9">
        <v>1000000</v>
      </c>
      <c r="I1686" s="9">
        <f>[1]!Tabel1[[#This Row],[Honorar]]*[1]!Tabel1[[#This Row],[Sandsynlighed]]</f>
        <v>125000</v>
      </c>
      <c r="J1686" s="10" t="s">
        <v>1310</v>
      </c>
      <c r="K1686" s="1" t="s">
        <v>1861</v>
      </c>
      <c r="L1686" s="17" t="s">
        <v>5499</v>
      </c>
      <c r="M1686" s="11">
        <v>0.5</v>
      </c>
      <c r="N1686" s="1"/>
      <c r="O1686" s="10">
        <v>46279.621539351851</v>
      </c>
      <c r="P1686" s="10" t="s">
        <v>4507</v>
      </c>
      <c r="Q1686" s="1" t="s">
        <v>46</v>
      </c>
      <c r="R1686" s="8" t="s">
        <v>75</v>
      </c>
      <c r="S168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8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8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8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8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8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8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8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8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8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8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8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8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86" s="12">
        <f ca="1">[1]!Tabel1[[#This Row],[Vægtet Honorar]]*([1]!Tabel1[[#This Row],[Sidst redigeret]]&gt;TODAY()-40)*([1]!Tabel1[[#This Row],[Er i resplan?]]&lt;&gt;"Ja")*([1]!Tabel1[[#This Row],[Status]]="Pågår")</f>
        <v>125000</v>
      </c>
      <c r="AG1686" s="12">
        <f ca="1">[1]!Tabel1[[#This Row],[Vægtet Honorar]]*([1]!Tabel1[[#This Row],[Sidst redigeret]]&gt;TODAY()-40)*([1]!Tabel1[[#This Row],[Status]]="Pågår")</f>
        <v>125000</v>
      </c>
      <c r="AH1686" s="13"/>
      <c r="AI1686" s="12"/>
      <c r="AJ1686" s="12" t="s">
        <v>2917</v>
      </c>
      <c r="AK1686" s="12"/>
      <c r="AL1686" s="12"/>
      <c r="AM1686" s="12"/>
      <c r="AN1686" s="12"/>
      <c r="AO1686" s="12"/>
      <c r="AP1686" s="12"/>
    </row>
    <row r="1687" spans="1:42" ht="45">
      <c r="A1687" t="s">
        <v>5791</v>
      </c>
      <c r="B1687" s="8"/>
      <c r="C1687" s="8" t="s">
        <v>5792</v>
      </c>
      <c r="D1687" s="8" t="s">
        <v>1771</v>
      </c>
      <c r="E1687" s="8" t="s">
        <v>167</v>
      </c>
      <c r="F1687" s="8" t="s">
        <v>5793</v>
      </c>
      <c r="G1687" s="8" t="s">
        <v>5793</v>
      </c>
      <c r="H1687" s="9">
        <v>4000000</v>
      </c>
      <c r="I1687" s="9">
        <f>[1]!Tabel1[[#This Row],[Honorar]]*[1]!Tabel1[[#This Row],[Sandsynlighed]]</f>
        <v>112500</v>
      </c>
      <c r="J1687" s="10" t="s">
        <v>585</v>
      </c>
      <c r="K1687" s="1" t="s">
        <v>1709</v>
      </c>
      <c r="L1687" s="17" t="s">
        <v>5794</v>
      </c>
      <c r="M1687" s="11">
        <v>0</v>
      </c>
      <c r="N1687" s="1"/>
      <c r="O1687" s="10">
        <v>46279.621539351851</v>
      </c>
      <c r="P1687" s="10"/>
      <c r="Q1687" s="1" t="s">
        <v>72</v>
      </c>
      <c r="R1687" s="8" t="s">
        <v>49</v>
      </c>
      <c r="S168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8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8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8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8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8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8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8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8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8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8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8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8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87" s="12">
        <f ca="1">[1]!Tabel1[[#This Row],[Vægtet Honorar]]*([1]!Tabel1[[#This Row],[Sidst redigeret]]&gt;TODAY()-40)*([1]!Tabel1[[#This Row],[Er i resplan?]]&lt;&gt;"Ja")*([1]!Tabel1[[#This Row],[Status]]="Pågår")</f>
        <v>0</v>
      </c>
      <c r="AG1687" s="12">
        <f ca="1">[1]!Tabel1[[#This Row],[Vægtet Honorar]]*([1]!Tabel1[[#This Row],[Sidst redigeret]]&gt;TODAY()-40)*([1]!Tabel1[[#This Row],[Status]]="Pågår")</f>
        <v>112500</v>
      </c>
      <c r="AH1687" s="13"/>
      <c r="AI1687" s="12"/>
      <c r="AJ1687" s="12" t="s">
        <v>5795</v>
      </c>
      <c r="AK1687" s="12"/>
      <c r="AL1687" s="12"/>
      <c r="AM1687" s="12"/>
      <c r="AN1687" s="12"/>
      <c r="AO1687" s="12"/>
      <c r="AP1687" s="12"/>
    </row>
    <row r="1688" spans="1:42" ht="60">
      <c r="A1688" t="s">
        <v>5796</v>
      </c>
      <c r="B1688" s="8"/>
      <c r="C1688" s="8" t="s">
        <v>5797</v>
      </c>
      <c r="D1688" s="8" t="s">
        <v>1771</v>
      </c>
      <c r="E1688" s="8" t="s">
        <v>167</v>
      </c>
      <c r="F1688" s="8" t="s">
        <v>1357</v>
      </c>
      <c r="G1688" s="8" t="s">
        <v>1357</v>
      </c>
      <c r="H1688" s="9">
        <v>3000000</v>
      </c>
      <c r="I1688" s="9">
        <f>[1]!Tabel1[[#This Row],[Honorar]]*[1]!Tabel1[[#This Row],[Sandsynlighed]]</f>
        <v>150000</v>
      </c>
      <c r="J1688" s="10" t="s">
        <v>3601</v>
      </c>
      <c r="K1688" s="1"/>
      <c r="L1688" s="17" t="s">
        <v>5798</v>
      </c>
      <c r="M1688" s="11">
        <v>0.01</v>
      </c>
      <c r="N1688" s="1" t="s">
        <v>5799</v>
      </c>
      <c r="O1688" s="10">
        <v>46279.621539351851</v>
      </c>
      <c r="P1688" s="10"/>
      <c r="Q1688" s="1" t="s">
        <v>72</v>
      </c>
      <c r="R1688" s="8" t="s">
        <v>343</v>
      </c>
      <c r="S168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8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8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8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8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8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8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8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8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8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8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8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8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88" s="12">
        <f ca="1">[1]!Tabel1[[#This Row],[Vægtet Honorar]]*([1]!Tabel1[[#This Row],[Sidst redigeret]]&gt;TODAY()-40)*([1]!Tabel1[[#This Row],[Er i resplan?]]&lt;&gt;"Ja")*([1]!Tabel1[[#This Row],[Status]]="Pågår")</f>
        <v>0</v>
      </c>
      <c r="AG1688" s="12">
        <f ca="1">[1]!Tabel1[[#This Row],[Vægtet Honorar]]*([1]!Tabel1[[#This Row],[Sidst redigeret]]&gt;TODAY()-40)*([1]!Tabel1[[#This Row],[Status]]="Pågår")</f>
        <v>150000</v>
      </c>
      <c r="AH1688" s="13"/>
      <c r="AI1688" s="12"/>
      <c r="AJ1688" s="12" t="s">
        <v>5795</v>
      </c>
      <c r="AK1688" s="12"/>
      <c r="AL1688" s="12"/>
      <c r="AM1688" s="12"/>
      <c r="AN1688" s="12"/>
      <c r="AO1688" s="12"/>
      <c r="AP1688" s="12"/>
    </row>
    <row r="1689" spans="1:42" ht="45">
      <c r="A1689" t="s">
        <v>5800</v>
      </c>
      <c r="B1689" s="8"/>
      <c r="C1689" s="8" t="s">
        <v>5801</v>
      </c>
      <c r="D1689" s="8" t="s">
        <v>1771</v>
      </c>
      <c r="E1689" s="8" t="s">
        <v>167</v>
      </c>
      <c r="F1689" s="8" t="s">
        <v>1357</v>
      </c>
      <c r="G1689" s="8" t="s">
        <v>1357</v>
      </c>
      <c r="H1689" s="9">
        <v>3000000</v>
      </c>
      <c r="I1689" s="9">
        <f>[1]!Tabel1[[#This Row],[Honorar]]*[1]!Tabel1[[#This Row],[Sandsynlighed]]</f>
        <v>75000</v>
      </c>
      <c r="J1689" s="10" t="s">
        <v>3601</v>
      </c>
      <c r="K1689" s="1"/>
      <c r="L1689" s="17" t="s">
        <v>5802</v>
      </c>
      <c r="M1689" s="11">
        <v>0.01</v>
      </c>
      <c r="N1689" s="1" t="s">
        <v>5803</v>
      </c>
      <c r="O1689" s="10">
        <v>46279.621539351851</v>
      </c>
      <c r="P1689" s="10"/>
      <c r="Q1689" s="1" t="s">
        <v>72</v>
      </c>
      <c r="R1689" s="8" t="s">
        <v>343</v>
      </c>
      <c r="S168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8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8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8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8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8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8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8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8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8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8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8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8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89" s="12">
        <f ca="1">[1]!Tabel1[[#This Row],[Vægtet Honorar]]*([1]!Tabel1[[#This Row],[Sidst redigeret]]&gt;TODAY()-40)*([1]!Tabel1[[#This Row],[Er i resplan?]]&lt;&gt;"Ja")*([1]!Tabel1[[#This Row],[Status]]="Pågår")</f>
        <v>75000</v>
      </c>
      <c r="AG1689" s="12">
        <f ca="1">[1]!Tabel1[[#This Row],[Vægtet Honorar]]*([1]!Tabel1[[#This Row],[Sidst redigeret]]&gt;TODAY()-40)*([1]!Tabel1[[#This Row],[Status]]="Pågår")</f>
        <v>75000</v>
      </c>
      <c r="AH1689" s="13"/>
      <c r="AI1689" s="12"/>
      <c r="AJ1689" s="12" t="s">
        <v>5795</v>
      </c>
      <c r="AK1689" s="12"/>
      <c r="AL1689" s="12"/>
      <c r="AM1689" s="12"/>
      <c r="AN1689" s="12"/>
      <c r="AO1689" s="12"/>
      <c r="AP1689" s="12"/>
    </row>
    <row r="1690" spans="1:42">
      <c r="A1690" t="s">
        <v>5804</v>
      </c>
      <c r="B1690" s="8"/>
      <c r="C1690" s="8" t="s">
        <v>5805</v>
      </c>
      <c r="D1690" s="8" t="s">
        <v>1771</v>
      </c>
      <c r="E1690" s="8" t="s">
        <v>167</v>
      </c>
      <c r="F1690" s="8" t="s">
        <v>5806</v>
      </c>
      <c r="G1690" s="8" t="s">
        <v>5807</v>
      </c>
      <c r="H1690" s="9">
        <v>1500000</v>
      </c>
      <c r="I1690" s="9">
        <f>[1]!Tabel1[[#This Row],[Honorar]]*[1]!Tabel1[[#This Row],[Sandsynlighed]]</f>
        <v>125000</v>
      </c>
      <c r="J1690" s="10" t="s">
        <v>585</v>
      </c>
      <c r="K1690" s="1" t="s">
        <v>1861</v>
      </c>
      <c r="L1690" s="17"/>
      <c r="M1690" s="11">
        <v>0.5</v>
      </c>
      <c r="N1690" s="1" t="s">
        <v>5808</v>
      </c>
      <c r="O1690" s="10">
        <v>46279.621539351851</v>
      </c>
      <c r="P1690" s="10" t="s">
        <v>4507</v>
      </c>
      <c r="Q1690" s="1" t="s">
        <v>72</v>
      </c>
      <c r="R1690" s="8" t="s">
        <v>343</v>
      </c>
      <c r="S169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9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9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9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9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9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9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9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9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9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9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9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9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90" s="12">
        <f ca="1">[1]!Tabel1[[#This Row],[Vægtet Honorar]]*([1]!Tabel1[[#This Row],[Sidst redigeret]]&gt;TODAY()-40)*([1]!Tabel1[[#This Row],[Er i resplan?]]&lt;&gt;"Ja")*([1]!Tabel1[[#This Row],[Status]]="Pågår")</f>
        <v>125000</v>
      </c>
      <c r="AG1690" s="12">
        <f ca="1">[1]!Tabel1[[#This Row],[Vægtet Honorar]]*([1]!Tabel1[[#This Row],[Sidst redigeret]]&gt;TODAY()-40)*([1]!Tabel1[[#This Row],[Status]]="Pågår")</f>
        <v>125000</v>
      </c>
      <c r="AH1690" s="13"/>
      <c r="AI1690" s="12"/>
      <c r="AJ1690" s="12" t="s">
        <v>5795</v>
      </c>
      <c r="AK1690" s="12"/>
      <c r="AL1690" s="12"/>
      <c r="AM1690" s="12"/>
      <c r="AN1690" s="12"/>
      <c r="AO1690" s="12"/>
      <c r="AP1690" s="12"/>
    </row>
    <row r="1691" spans="1:42">
      <c r="A1691" t="s">
        <v>5809</v>
      </c>
      <c r="B1691" s="8"/>
      <c r="C1691" s="8" t="s">
        <v>5810</v>
      </c>
      <c r="D1691" s="8" t="s">
        <v>896</v>
      </c>
      <c r="E1691" s="8" t="s">
        <v>94</v>
      </c>
      <c r="F1691" s="8" t="s">
        <v>5811</v>
      </c>
      <c r="G1691" s="8" t="s">
        <v>4923</v>
      </c>
      <c r="H1691" s="9">
        <v>1500000</v>
      </c>
      <c r="I1691" s="9">
        <f>[1]!Tabel1[[#This Row],[Honorar]]*[1]!Tabel1[[#This Row],[Sandsynlighed]]</f>
        <v>500000</v>
      </c>
      <c r="J1691" s="10" t="s">
        <v>585</v>
      </c>
      <c r="K1691" s="1" t="s">
        <v>1861</v>
      </c>
      <c r="L1691" s="17"/>
      <c r="M1691" s="11">
        <v>0.01</v>
      </c>
      <c r="N1691" s="1"/>
      <c r="O1691" s="10">
        <v>46279.621539351851</v>
      </c>
      <c r="P1691" s="10" t="s">
        <v>4507</v>
      </c>
      <c r="Q1691" s="1" t="s">
        <v>72</v>
      </c>
      <c r="R1691" s="8" t="s">
        <v>75</v>
      </c>
      <c r="S169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9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9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9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9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9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9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9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9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9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9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9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9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91" s="12">
        <f ca="1">[1]!Tabel1[[#This Row],[Vægtet Honorar]]*([1]!Tabel1[[#This Row],[Sidst redigeret]]&gt;TODAY()-40)*([1]!Tabel1[[#This Row],[Er i resplan?]]&lt;&gt;"Ja")*([1]!Tabel1[[#This Row],[Status]]="Pågår")</f>
        <v>0</v>
      </c>
      <c r="AG1691" s="12">
        <f ca="1">[1]!Tabel1[[#This Row],[Vægtet Honorar]]*([1]!Tabel1[[#This Row],[Sidst redigeret]]&gt;TODAY()-40)*([1]!Tabel1[[#This Row],[Status]]="Pågår")</f>
        <v>0</v>
      </c>
      <c r="AH1691" s="13"/>
      <c r="AI1691" s="12"/>
      <c r="AJ1691" s="12"/>
      <c r="AK1691" s="12"/>
      <c r="AL1691" s="12"/>
      <c r="AM1691" s="12"/>
      <c r="AN1691" s="12"/>
      <c r="AO1691" s="12"/>
      <c r="AP1691" s="12"/>
    </row>
    <row r="1692" spans="1:42">
      <c r="A1692" t="s">
        <v>5812</v>
      </c>
      <c r="B1692" s="8"/>
      <c r="C1692" s="8" t="s">
        <v>5813</v>
      </c>
      <c r="D1692" s="8" t="s">
        <v>896</v>
      </c>
      <c r="E1692" s="8" t="s">
        <v>94</v>
      </c>
      <c r="F1692" s="8" t="s">
        <v>5187</v>
      </c>
      <c r="G1692" s="8" t="s">
        <v>5814</v>
      </c>
      <c r="H1692" s="9">
        <v>500000</v>
      </c>
      <c r="I1692" s="9">
        <f>[1]!Tabel1[[#This Row],[Honorar]]*[1]!Tabel1[[#This Row],[Sandsynlighed]]</f>
        <v>0</v>
      </c>
      <c r="J1692" s="10" t="s">
        <v>585</v>
      </c>
      <c r="K1692" s="1" t="s">
        <v>1861</v>
      </c>
      <c r="L1692" s="17"/>
      <c r="M1692" s="11">
        <v>0.01</v>
      </c>
      <c r="N1692" s="1"/>
      <c r="O1692" s="10">
        <v>46279.621539351851</v>
      </c>
      <c r="P1692" s="10" t="s">
        <v>4507</v>
      </c>
      <c r="Q1692" s="1" t="s">
        <v>72</v>
      </c>
      <c r="R1692" s="8" t="s">
        <v>75</v>
      </c>
      <c r="S169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9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9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9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9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9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9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9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9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9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9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9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9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92" s="12">
        <f ca="1">[1]!Tabel1[[#This Row],[Vægtet Honorar]]*([1]!Tabel1[[#This Row],[Sidst redigeret]]&gt;TODAY()-40)*([1]!Tabel1[[#This Row],[Er i resplan?]]&lt;&gt;"Ja")*([1]!Tabel1[[#This Row],[Status]]="Pågår")</f>
        <v>0</v>
      </c>
      <c r="AG1692" s="12">
        <f ca="1">[1]!Tabel1[[#This Row],[Vægtet Honorar]]*([1]!Tabel1[[#This Row],[Sidst redigeret]]&gt;TODAY()-40)*([1]!Tabel1[[#This Row],[Status]]="Pågår")</f>
        <v>0</v>
      </c>
      <c r="AH1692" s="13"/>
      <c r="AI1692" s="12"/>
      <c r="AJ1692" s="12" t="s">
        <v>5814</v>
      </c>
      <c r="AK1692" s="12"/>
      <c r="AL1692" s="12"/>
      <c r="AM1692" s="12"/>
      <c r="AN1692" s="12"/>
      <c r="AO1692" s="12"/>
      <c r="AP1692" s="12"/>
    </row>
    <row r="1693" spans="1:42">
      <c r="A1693" t="s">
        <v>5815</v>
      </c>
      <c r="B1693" s="8"/>
      <c r="C1693" s="8" t="s">
        <v>5816</v>
      </c>
      <c r="D1693" s="8" t="s">
        <v>2886</v>
      </c>
      <c r="E1693" s="8" t="s">
        <v>120</v>
      </c>
      <c r="F1693" s="8" t="s">
        <v>5817</v>
      </c>
      <c r="G1693" s="8" t="s">
        <v>5817</v>
      </c>
      <c r="H1693" s="9">
        <v>1000000</v>
      </c>
      <c r="I1693" s="9">
        <f>[1]!Tabel1[[#This Row],[Honorar]]*[1]!Tabel1[[#This Row],[Sandsynlighed]]</f>
        <v>30000</v>
      </c>
      <c r="J1693" s="10" t="s">
        <v>1062</v>
      </c>
      <c r="K1693" s="1" t="s">
        <v>2105</v>
      </c>
      <c r="L1693" s="17"/>
      <c r="M1693" s="11">
        <v>0.05</v>
      </c>
      <c r="N1693" s="1"/>
      <c r="O1693" s="10">
        <v>46279.621539351851</v>
      </c>
      <c r="P1693" s="10" t="s">
        <v>4507</v>
      </c>
      <c r="Q1693" s="1" t="s">
        <v>72</v>
      </c>
      <c r="R1693" s="8" t="s">
        <v>1265</v>
      </c>
      <c r="S169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9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9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9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9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9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9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9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9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9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9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9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9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93" s="12">
        <f ca="1">[1]!Tabel1[[#This Row],[Vægtet Honorar]]*([1]!Tabel1[[#This Row],[Sidst redigeret]]&gt;TODAY()-40)*([1]!Tabel1[[#This Row],[Er i resplan?]]&lt;&gt;"Ja")*([1]!Tabel1[[#This Row],[Status]]="Pågår")</f>
        <v>30000</v>
      </c>
      <c r="AG1693" s="12">
        <f ca="1">[1]!Tabel1[[#This Row],[Vægtet Honorar]]*([1]!Tabel1[[#This Row],[Sidst redigeret]]&gt;TODAY()-40)*([1]!Tabel1[[#This Row],[Status]]="Pågår")</f>
        <v>30000</v>
      </c>
      <c r="AH1693" s="13"/>
      <c r="AI1693" s="12"/>
      <c r="AJ1693" s="12" t="s">
        <v>5818</v>
      </c>
      <c r="AK1693" s="12"/>
      <c r="AL1693" s="12"/>
      <c r="AM1693" s="12"/>
      <c r="AN1693" s="12"/>
      <c r="AO1693" s="12"/>
      <c r="AP1693" s="12"/>
    </row>
    <row r="1694" spans="1:42">
      <c r="A1694" t="s">
        <v>5819</v>
      </c>
      <c r="B1694" s="8"/>
      <c r="C1694" s="8" t="s">
        <v>5820</v>
      </c>
      <c r="D1694" s="8" t="s">
        <v>1771</v>
      </c>
      <c r="E1694" s="8" t="s">
        <v>167</v>
      </c>
      <c r="F1694" s="8" t="s">
        <v>5025</v>
      </c>
      <c r="G1694" s="8" t="s">
        <v>5025</v>
      </c>
      <c r="H1694" s="9">
        <v>800000</v>
      </c>
      <c r="I1694" s="9">
        <f>[1]!Tabel1[[#This Row],[Honorar]]*[1]!Tabel1[[#This Row],[Sandsynlighed]]</f>
        <v>30000</v>
      </c>
      <c r="J1694" s="10" t="s">
        <v>1310</v>
      </c>
      <c r="K1694" s="1" t="s">
        <v>1323</v>
      </c>
      <c r="L1694" s="17"/>
      <c r="M1694" s="11">
        <v>0.85</v>
      </c>
      <c r="N1694" s="1" t="s">
        <v>5821</v>
      </c>
      <c r="O1694" s="10">
        <v>46279.621539351851</v>
      </c>
      <c r="P1694" s="10" t="s">
        <v>4507</v>
      </c>
      <c r="Q1694" s="1" t="s">
        <v>72</v>
      </c>
      <c r="R1694" s="8" t="s">
        <v>343</v>
      </c>
      <c r="S169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9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9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9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9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9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9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9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9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9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9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9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9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94" s="12">
        <f ca="1">[1]!Tabel1[[#This Row],[Vægtet Honorar]]*([1]!Tabel1[[#This Row],[Sidst redigeret]]&gt;TODAY()-40)*([1]!Tabel1[[#This Row],[Er i resplan?]]&lt;&gt;"Ja")*([1]!Tabel1[[#This Row],[Status]]="Pågår")</f>
        <v>30000</v>
      </c>
      <c r="AG1694" s="12">
        <f ca="1">[1]!Tabel1[[#This Row],[Vægtet Honorar]]*([1]!Tabel1[[#This Row],[Sidst redigeret]]&gt;TODAY()-40)*([1]!Tabel1[[#This Row],[Status]]="Pågår")</f>
        <v>30000</v>
      </c>
      <c r="AH1694" s="13"/>
      <c r="AI1694" s="12"/>
      <c r="AJ1694" s="12" t="s">
        <v>5818</v>
      </c>
      <c r="AK1694" s="12"/>
      <c r="AL1694" s="12"/>
      <c r="AM1694" s="12"/>
      <c r="AN1694" s="12"/>
      <c r="AO1694" s="12"/>
      <c r="AP1694" s="12"/>
    </row>
    <row r="1695" spans="1:42" ht="30">
      <c r="A1695" t="s">
        <v>5822</v>
      </c>
      <c r="B1695" s="8"/>
      <c r="C1695" s="8" t="s">
        <v>5823</v>
      </c>
      <c r="D1695" s="8" t="s">
        <v>158</v>
      </c>
      <c r="E1695" s="8" t="s">
        <v>167</v>
      </c>
      <c r="F1695" s="8" t="s">
        <v>1351</v>
      </c>
      <c r="G1695" s="8" t="s">
        <v>2153</v>
      </c>
      <c r="H1695" s="9">
        <v>1</v>
      </c>
      <c r="I1695" s="9">
        <f>[1]!Tabel1[[#This Row],[Honorar]]*[1]!Tabel1[[#This Row],[Sandsynlighed]]</f>
        <v>750000</v>
      </c>
      <c r="J1695" s="10" t="s">
        <v>342</v>
      </c>
      <c r="K1695" s="1" t="s">
        <v>1323</v>
      </c>
      <c r="L1695" s="17" t="s">
        <v>5824</v>
      </c>
      <c r="M1695" s="11">
        <v>0.01</v>
      </c>
      <c r="N1695" s="1"/>
      <c r="O1695" s="10">
        <v>46279.621539351851</v>
      </c>
      <c r="P1695" s="10" t="s">
        <v>4507</v>
      </c>
      <c r="Q1695" s="1" t="s">
        <v>72</v>
      </c>
      <c r="R1695" s="8" t="s">
        <v>343</v>
      </c>
      <c r="S169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9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9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9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9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9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9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9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9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9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9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9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9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95" s="12">
        <f ca="1">[1]!Tabel1[[#This Row],[Vægtet Honorar]]*([1]!Tabel1[[#This Row],[Sidst redigeret]]&gt;TODAY()-40)*([1]!Tabel1[[#This Row],[Er i resplan?]]&lt;&gt;"Ja")*([1]!Tabel1[[#This Row],[Status]]="Pågår")</f>
        <v>750000</v>
      </c>
      <c r="AG1695" s="12">
        <f ca="1">[1]!Tabel1[[#This Row],[Vægtet Honorar]]*([1]!Tabel1[[#This Row],[Sidst redigeret]]&gt;TODAY()-40)*([1]!Tabel1[[#This Row],[Status]]="Pågår")</f>
        <v>750000</v>
      </c>
      <c r="AH1695" s="13"/>
      <c r="AI1695" s="12"/>
      <c r="AJ1695" s="12" t="s">
        <v>5825</v>
      </c>
      <c r="AK1695" s="12"/>
      <c r="AL1695" s="12"/>
      <c r="AM1695" s="12"/>
      <c r="AN1695" s="12"/>
      <c r="AO1695" s="12"/>
      <c r="AP1695" s="12"/>
    </row>
    <row r="1696" spans="1:42" ht="45">
      <c r="A1696" t="s">
        <v>5826</v>
      </c>
      <c r="B1696" s="8" t="s">
        <v>5827</v>
      </c>
      <c r="C1696" s="8" t="s">
        <v>5828</v>
      </c>
      <c r="D1696" s="8" t="s">
        <v>1771</v>
      </c>
      <c r="E1696" s="8" t="s">
        <v>167</v>
      </c>
      <c r="F1696" s="8" t="s">
        <v>5829</v>
      </c>
      <c r="G1696" s="8" t="s">
        <v>1166</v>
      </c>
      <c r="H1696" s="9">
        <v>300000</v>
      </c>
      <c r="I1696" s="9">
        <f>[1]!Tabel1[[#This Row],[Honorar]]*[1]!Tabel1[[#This Row],[Sandsynlighed]]</f>
        <v>15000</v>
      </c>
      <c r="J1696" s="10" t="s">
        <v>1310</v>
      </c>
      <c r="K1696" s="1" t="s">
        <v>1323</v>
      </c>
      <c r="L1696" s="17" t="s">
        <v>252</v>
      </c>
      <c r="M1696" s="11">
        <v>1</v>
      </c>
      <c r="N1696" s="1"/>
      <c r="O1696" s="10">
        <v>46279.621539351851</v>
      </c>
      <c r="P1696" s="10" t="s">
        <v>4507</v>
      </c>
      <c r="Q1696" s="1" t="s">
        <v>4507</v>
      </c>
      <c r="R1696" s="8" t="s">
        <v>4031</v>
      </c>
      <c r="S169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9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9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9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9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9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9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9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9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9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9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9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9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96" s="12">
        <f ca="1">[1]!Tabel1[[#This Row],[Vægtet Honorar]]*([1]!Tabel1[[#This Row],[Sidst redigeret]]&gt;TODAY()-40)*([1]!Tabel1[[#This Row],[Er i resplan?]]&lt;&gt;"Ja")*([1]!Tabel1[[#This Row],[Status]]="Pågår")</f>
        <v>0</v>
      </c>
      <c r="AG1696" s="12">
        <f ca="1">[1]!Tabel1[[#This Row],[Vægtet Honorar]]*([1]!Tabel1[[#This Row],[Sidst redigeret]]&gt;TODAY()-40)*([1]!Tabel1[[#This Row],[Status]]="Pågår")</f>
        <v>0</v>
      </c>
      <c r="AH1696" s="13">
        <v>46185.477708333332</v>
      </c>
      <c r="AI1696" s="12"/>
      <c r="AJ1696" s="12" t="s">
        <v>5825</v>
      </c>
      <c r="AK1696" s="12"/>
      <c r="AL1696" s="12"/>
      <c r="AM1696" s="12"/>
      <c r="AN1696" s="12"/>
      <c r="AO1696" s="12"/>
      <c r="AP1696" s="12"/>
    </row>
    <row r="1697" spans="1:42" ht="30">
      <c r="A1697" t="s">
        <v>5830</v>
      </c>
      <c r="B1697" s="8"/>
      <c r="C1697" s="8" t="s">
        <v>5831</v>
      </c>
      <c r="D1697" s="8" t="s">
        <v>1771</v>
      </c>
      <c r="E1697" s="8" t="s">
        <v>167</v>
      </c>
      <c r="F1697" s="8" t="s">
        <v>5829</v>
      </c>
      <c r="G1697" s="8" t="s">
        <v>5829</v>
      </c>
      <c r="H1697" s="9">
        <v>1200000</v>
      </c>
      <c r="I1697" s="9">
        <f>[1]!Tabel1[[#This Row],[Honorar]]*[1]!Tabel1[[#This Row],[Sandsynlighed]]</f>
        <v>5000</v>
      </c>
      <c r="J1697" s="10" t="s">
        <v>585</v>
      </c>
      <c r="K1697" s="1" t="s">
        <v>1323</v>
      </c>
      <c r="L1697" s="17" t="s">
        <v>577</v>
      </c>
      <c r="M1697" s="11">
        <v>0.25</v>
      </c>
      <c r="N1697" s="1" t="s">
        <v>5832</v>
      </c>
      <c r="O1697" s="10">
        <v>46279.621539351851</v>
      </c>
      <c r="P1697" s="10" t="s">
        <v>4507</v>
      </c>
      <c r="Q1697" s="1" t="s">
        <v>72</v>
      </c>
      <c r="R1697" s="8" t="s">
        <v>343</v>
      </c>
      <c r="S169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9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9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9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9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9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9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9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9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9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9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9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9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97" s="12">
        <f ca="1">[1]!Tabel1[[#This Row],[Vægtet Honorar]]*([1]!Tabel1[[#This Row],[Sidst redigeret]]&gt;TODAY()-40)*([1]!Tabel1[[#This Row],[Er i resplan?]]&lt;&gt;"Ja")*([1]!Tabel1[[#This Row],[Status]]="Pågår")</f>
        <v>0</v>
      </c>
      <c r="AG1697" s="12">
        <f ca="1">[1]!Tabel1[[#This Row],[Vægtet Honorar]]*([1]!Tabel1[[#This Row],[Sidst redigeret]]&gt;TODAY()-40)*([1]!Tabel1[[#This Row],[Status]]="Pågår")</f>
        <v>0</v>
      </c>
      <c r="AH1697" s="13"/>
      <c r="AI1697" s="12"/>
      <c r="AJ1697" s="12" t="s">
        <v>1166</v>
      </c>
      <c r="AK1697" s="12"/>
      <c r="AL1697" s="12"/>
      <c r="AM1697" s="12"/>
      <c r="AN1697" s="12"/>
      <c r="AO1697" s="12"/>
      <c r="AP1697" s="12"/>
    </row>
    <row r="1698" spans="1:42">
      <c r="A1698" t="s">
        <v>5833</v>
      </c>
      <c r="B1698" s="8"/>
      <c r="C1698" s="8" t="s">
        <v>5834</v>
      </c>
      <c r="D1698" s="8" t="s">
        <v>4254</v>
      </c>
      <c r="E1698" s="8" t="s">
        <v>167</v>
      </c>
      <c r="F1698" s="8" t="s">
        <v>5835</v>
      </c>
      <c r="G1698" s="8" t="s">
        <v>5836</v>
      </c>
      <c r="H1698" s="9">
        <v>250000</v>
      </c>
      <c r="I1698" s="9">
        <f>[1]!Tabel1[[#This Row],[Honorar]]*[1]!Tabel1[[#This Row],[Sandsynlighed]]</f>
        <v>50000</v>
      </c>
      <c r="J1698" s="10" t="s">
        <v>1310</v>
      </c>
      <c r="K1698" s="1" t="s">
        <v>2405</v>
      </c>
      <c r="L1698" s="17"/>
      <c r="M1698" s="11">
        <v>0.75</v>
      </c>
      <c r="N1698" s="1"/>
      <c r="O1698" s="10">
        <v>46279.621539351851</v>
      </c>
      <c r="P1698" s="10" t="s">
        <v>4507</v>
      </c>
      <c r="Q1698" s="1" t="s">
        <v>72</v>
      </c>
      <c r="R1698" s="8" t="s">
        <v>343</v>
      </c>
      <c r="S169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9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9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9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9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9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9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9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9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9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9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9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9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98" s="12">
        <f ca="1">[1]!Tabel1[[#This Row],[Vægtet Honorar]]*([1]!Tabel1[[#This Row],[Sidst redigeret]]&gt;TODAY()-40)*([1]!Tabel1[[#This Row],[Er i resplan?]]&lt;&gt;"Ja")*([1]!Tabel1[[#This Row],[Status]]="Pågår")</f>
        <v>0</v>
      </c>
      <c r="AG1698" s="12">
        <f ca="1">[1]!Tabel1[[#This Row],[Vægtet Honorar]]*([1]!Tabel1[[#This Row],[Sidst redigeret]]&gt;TODAY()-40)*([1]!Tabel1[[#This Row],[Status]]="Pågår")</f>
        <v>0</v>
      </c>
      <c r="AH1698" s="13"/>
      <c r="AI1698" s="12"/>
      <c r="AJ1698" s="12" t="s">
        <v>1166</v>
      </c>
      <c r="AK1698" s="12"/>
      <c r="AL1698" s="12"/>
      <c r="AM1698" s="12"/>
      <c r="AN1698" s="12"/>
      <c r="AO1698" s="12"/>
      <c r="AP1698" s="12"/>
    </row>
    <row r="1699" spans="1:42">
      <c r="A1699" t="s">
        <v>5837</v>
      </c>
      <c r="B1699" s="8"/>
      <c r="C1699" s="8" t="s">
        <v>5838</v>
      </c>
      <c r="D1699" s="8" t="s">
        <v>896</v>
      </c>
      <c r="E1699" s="8" t="s">
        <v>94</v>
      </c>
      <c r="F1699" s="8"/>
      <c r="G1699" s="8"/>
      <c r="H1699" s="9"/>
      <c r="I1699" s="9">
        <f>[1]!Tabel1[[#This Row],[Honorar]]*[1]!Tabel1[[#This Row],[Sandsynlighed]]</f>
        <v>680000</v>
      </c>
      <c r="J1699" s="10" t="s">
        <v>1310</v>
      </c>
      <c r="K1699" s="1" t="s">
        <v>2405</v>
      </c>
      <c r="L1699" s="17"/>
      <c r="M1699" s="11">
        <v>0.01</v>
      </c>
      <c r="N1699" s="1"/>
      <c r="O1699" s="10">
        <v>46279.621539351851</v>
      </c>
      <c r="P1699" s="10" t="s">
        <v>4507</v>
      </c>
      <c r="Q1699" s="1" t="s">
        <v>72</v>
      </c>
      <c r="R1699" s="8" t="s">
        <v>4031</v>
      </c>
      <c r="S169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69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69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69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69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69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69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69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69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69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69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69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69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699" s="12">
        <f ca="1">[1]!Tabel1[[#This Row],[Vægtet Honorar]]*([1]!Tabel1[[#This Row],[Sidst redigeret]]&gt;TODAY()-40)*([1]!Tabel1[[#This Row],[Er i resplan?]]&lt;&gt;"Ja")*([1]!Tabel1[[#This Row],[Status]]="Pågår")</f>
        <v>680000</v>
      </c>
      <c r="AG1699" s="12">
        <f ca="1">[1]!Tabel1[[#This Row],[Vægtet Honorar]]*([1]!Tabel1[[#This Row],[Sidst redigeret]]&gt;TODAY()-40)*([1]!Tabel1[[#This Row],[Status]]="Pågår")</f>
        <v>680000</v>
      </c>
      <c r="AH1699" s="13">
        <v>46241.419525462959</v>
      </c>
      <c r="AI1699" s="12"/>
      <c r="AJ1699" s="12" t="s">
        <v>1166</v>
      </c>
      <c r="AK1699" s="12"/>
      <c r="AL1699" s="12"/>
      <c r="AM1699" s="12"/>
      <c r="AN1699" s="12"/>
      <c r="AO1699" s="12"/>
      <c r="AP1699" s="12"/>
    </row>
    <row r="1700" spans="1:42">
      <c r="A1700" t="s">
        <v>5839</v>
      </c>
      <c r="B1700" s="8"/>
      <c r="C1700" s="8" t="s">
        <v>5840</v>
      </c>
      <c r="D1700" s="8" t="s">
        <v>1771</v>
      </c>
      <c r="E1700" s="8" t="s">
        <v>167</v>
      </c>
      <c r="F1700" s="8" t="s">
        <v>2222</v>
      </c>
      <c r="G1700" s="8" t="s">
        <v>5841</v>
      </c>
      <c r="H1700" s="9">
        <v>1500000</v>
      </c>
      <c r="I1700" s="9">
        <f>[1]!Tabel1[[#This Row],[Honorar]]*[1]!Tabel1[[#This Row],[Sandsynlighed]]</f>
        <v>0.01</v>
      </c>
      <c r="J1700" s="10" t="s">
        <v>342</v>
      </c>
      <c r="K1700" s="1" t="s">
        <v>1861</v>
      </c>
      <c r="L1700" s="17"/>
      <c r="M1700" s="11">
        <v>0</v>
      </c>
      <c r="N1700" s="1" t="s">
        <v>4625</v>
      </c>
      <c r="O1700" s="10">
        <v>46279.621539351851</v>
      </c>
      <c r="P1700" s="10" t="s">
        <v>4507</v>
      </c>
      <c r="Q1700" s="1" t="s">
        <v>72</v>
      </c>
      <c r="R1700" s="8" t="s">
        <v>49</v>
      </c>
      <c r="S170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0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0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0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0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0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0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0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0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0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0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0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0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00" s="12">
        <f ca="1">[1]!Tabel1[[#This Row],[Vægtet Honorar]]*([1]!Tabel1[[#This Row],[Sidst redigeret]]&gt;TODAY()-40)*([1]!Tabel1[[#This Row],[Er i resplan?]]&lt;&gt;"Ja")*([1]!Tabel1[[#This Row],[Status]]="Pågår")</f>
        <v>0.01</v>
      </c>
      <c r="AG1700" s="12">
        <f ca="1">[1]!Tabel1[[#This Row],[Vægtet Honorar]]*([1]!Tabel1[[#This Row],[Sidst redigeret]]&gt;TODAY()-40)*([1]!Tabel1[[#This Row],[Status]]="Pågår")</f>
        <v>0.01</v>
      </c>
      <c r="AH1700" s="13"/>
      <c r="AI1700" s="12"/>
      <c r="AJ1700" s="12"/>
      <c r="AK1700" s="12"/>
      <c r="AL1700" s="12"/>
      <c r="AM1700" s="12"/>
      <c r="AN1700" s="12"/>
      <c r="AO1700" s="12"/>
      <c r="AP1700" s="12"/>
    </row>
    <row r="1701" spans="1:42">
      <c r="A1701" t="s">
        <v>5842</v>
      </c>
      <c r="B1701" s="8"/>
      <c r="C1701" s="8" t="s">
        <v>5843</v>
      </c>
      <c r="D1701" s="8" t="s">
        <v>1771</v>
      </c>
      <c r="E1701" s="8" t="s">
        <v>167</v>
      </c>
      <c r="F1701" s="8" t="s">
        <v>2222</v>
      </c>
      <c r="G1701" s="8" t="s">
        <v>5841</v>
      </c>
      <c r="H1701" s="9">
        <v>1500000</v>
      </c>
      <c r="I1701" s="9">
        <f>[1]!Tabel1[[#This Row],[Honorar]]*[1]!Tabel1[[#This Row],[Sandsynlighed]]</f>
        <v>300000</v>
      </c>
      <c r="J1701" s="10" t="s">
        <v>1861</v>
      </c>
      <c r="K1701" s="1" t="s">
        <v>898</v>
      </c>
      <c r="L1701" s="17"/>
      <c r="M1701" s="11">
        <v>0</v>
      </c>
      <c r="N1701" s="1" t="s">
        <v>4625</v>
      </c>
      <c r="O1701" s="10">
        <v>46279.621539351851</v>
      </c>
      <c r="P1701" s="10" t="s">
        <v>4507</v>
      </c>
      <c r="Q1701" s="1" t="s">
        <v>72</v>
      </c>
      <c r="R1701" s="8" t="s">
        <v>49</v>
      </c>
      <c r="S170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0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0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0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0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0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0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0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0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0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0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0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0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01" s="12">
        <f ca="1">[1]!Tabel1[[#This Row],[Vægtet Honorar]]*([1]!Tabel1[[#This Row],[Sidst redigeret]]&gt;TODAY()-40)*([1]!Tabel1[[#This Row],[Er i resplan?]]&lt;&gt;"Ja")*([1]!Tabel1[[#This Row],[Status]]="Pågår")</f>
        <v>0</v>
      </c>
      <c r="AG1701" s="12">
        <f ca="1">[1]!Tabel1[[#This Row],[Vægtet Honorar]]*([1]!Tabel1[[#This Row],[Sidst redigeret]]&gt;TODAY()-40)*([1]!Tabel1[[#This Row],[Status]]="Pågår")</f>
        <v>0</v>
      </c>
      <c r="AH1701" s="13"/>
      <c r="AI1701" s="12"/>
      <c r="AJ1701" s="12"/>
      <c r="AK1701" s="12"/>
      <c r="AL1701" s="12"/>
      <c r="AM1701" s="12"/>
      <c r="AN1701" s="12"/>
      <c r="AO1701" s="12"/>
      <c r="AP1701" s="12"/>
    </row>
    <row r="1702" spans="1:42" ht="60">
      <c r="A1702" t="s">
        <v>5844</v>
      </c>
      <c r="B1702" s="8"/>
      <c r="C1702" s="8" t="s">
        <v>5845</v>
      </c>
      <c r="D1702" s="8" t="s">
        <v>70</v>
      </c>
      <c r="E1702" s="8" t="s">
        <v>102</v>
      </c>
      <c r="F1702" s="8" t="s">
        <v>5846</v>
      </c>
      <c r="G1702" s="8" t="s">
        <v>1592</v>
      </c>
      <c r="H1702" s="9">
        <v>500000</v>
      </c>
      <c r="I1702" s="9">
        <f>[1]!Tabel1[[#This Row],[Honorar]]*[1]!Tabel1[[#This Row],[Sandsynlighed]]</f>
        <v>300000</v>
      </c>
      <c r="J1702" s="10" t="s">
        <v>585</v>
      </c>
      <c r="K1702" s="1" t="s">
        <v>1062</v>
      </c>
      <c r="L1702" s="17" t="s">
        <v>5847</v>
      </c>
      <c r="M1702" s="11">
        <v>0.01</v>
      </c>
      <c r="N1702" s="1" t="s">
        <v>5848</v>
      </c>
      <c r="O1702" s="10">
        <v>46279.621539351851</v>
      </c>
      <c r="P1702" s="10" t="s">
        <v>4507</v>
      </c>
      <c r="Q1702" s="1" t="s">
        <v>72</v>
      </c>
      <c r="R1702" s="8" t="s">
        <v>49</v>
      </c>
      <c r="S170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0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0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0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0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0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0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0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0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0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0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0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0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02" s="12">
        <f ca="1">[1]!Tabel1[[#This Row],[Vægtet Honorar]]*([1]!Tabel1[[#This Row],[Sidst redigeret]]&gt;TODAY()-40)*([1]!Tabel1[[#This Row],[Er i resplan?]]&lt;&gt;"Ja")*([1]!Tabel1[[#This Row],[Status]]="Pågår")</f>
        <v>300000</v>
      </c>
      <c r="AG1702" s="12">
        <f ca="1">[1]!Tabel1[[#This Row],[Vægtet Honorar]]*([1]!Tabel1[[#This Row],[Sidst redigeret]]&gt;TODAY()-40)*([1]!Tabel1[[#This Row],[Status]]="Pågår")</f>
        <v>300000</v>
      </c>
      <c r="AH1702" s="13"/>
      <c r="AI1702" s="12"/>
      <c r="AJ1702" s="12"/>
      <c r="AK1702" s="12"/>
      <c r="AL1702" s="12"/>
      <c r="AM1702" s="12"/>
      <c r="AN1702" s="12"/>
      <c r="AO1702" s="12"/>
      <c r="AP1702" s="12"/>
    </row>
    <row r="1703" spans="1:42">
      <c r="A1703" t="s">
        <v>5849</v>
      </c>
      <c r="B1703" s="8"/>
      <c r="C1703" s="8" t="s">
        <v>5850</v>
      </c>
      <c r="D1703" s="8" t="s">
        <v>70</v>
      </c>
      <c r="E1703" s="8" t="s">
        <v>102</v>
      </c>
      <c r="F1703" s="8" t="s">
        <v>5851</v>
      </c>
      <c r="G1703" s="8" t="s">
        <v>1592</v>
      </c>
      <c r="H1703" s="9">
        <v>1500000</v>
      </c>
      <c r="I1703" s="9">
        <f>[1]!Tabel1[[#This Row],[Honorar]]*[1]!Tabel1[[#This Row],[Sandsynlighed]]</f>
        <v>187500</v>
      </c>
      <c r="J1703" s="10" t="s">
        <v>585</v>
      </c>
      <c r="K1703" s="1" t="s">
        <v>1062</v>
      </c>
      <c r="L1703" s="17"/>
      <c r="M1703" s="11">
        <v>0.5</v>
      </c>
      <c r="N1703" s="1" t="s">
        <v>5087</v>
      </c>
      <c r="O1703" s="10">
        <v>46279.621539351851</v>
      </c>
      <c r="P1703" s="10" t="s">
        <v>4507</v>
      </c>
      <c r="Q1703" s="1" t="s">
        <v>72</v>
      </c>
      <c r="R1703" s="8" t="s">
        <v>343</v>
      </c>
      <c r="S170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0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0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0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0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0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0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0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0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0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0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0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0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03" s="12">
        <f ca="1">[1]!Tabel1[[#This Row],[Vægtet Honorar]]*([1]!Tabel1[[#This Row],[Sidst redigeret]]&gt;TODAY()-40)*([1]!Tabel1[[#This Row],[Er i resplan?]]&lt;&gt;"Ja")*([1]!Tabel1[[#This Row],[Status]]="Pågår")</f>
        <v>187500</v>
      </c>
      <c r="AG1703" s="12">
        <f ca="1">[1]!Tabel1[[#This Row],[Vægtet Honorar]]*([1]!Tabel1[[#This Row],[Sidst redigeret]]&gt;TODAY()-40)*([1]!Tabel1[[#This Row],[Status]]="Pågår")</f>
        <v>187500</v>
      </c>
      <c r="AH1703" s="13"/>
      <c r="AI1703" s="12"/>
      <c r="AJ1703" s="12"/>
      <c r="AK1703" s="12"/>
      <c r="AL1703" s="12"/>
      <c r="AM1703" s="12"/>
      <c r="AN1703" s="12"/>
      <c r="AO1703" s="12"/>
      <c r="AP1703" s="12"/>
    </row>
    <row r="1704" spans="1:42">
      <c r="A1704" t="s">
        <v>5852</v>
      </c>
      <c r="B1704" s="8"/>
      <c r="C1704" s="8" t="s">
        <v>5853</v>
      </c>
      <c r="D1704" s="8" t="s">
        <v>3790</v>
      </c>
      <c r="E1704" s="8" t="s">
        <v>71</v>
      </c>
      <c r="F1704" s="8" t="s">
        <v>5854</v>
      </c>
      <c r="G1704" s="8" t="s">
        <v>5855</v>
      </c>
      <c r="H1704" s="9">
        <v>153000</v>
      </c>
      <c r="I1704" s="9">
        <f>[1]!Tabel1[[#This Row],[Honorar]]*[1]!Tabel1[[#This Row],[Sandsynlighed]]</f>
        <v>0</v>
      </c>
      <c r="J1704" s="10" t="s">
        <v>585</v>
      </c>
      <c r="K1704" s="1" t="s">
        <v>1062</v>
      </c>
      <c r="L1704" s="17"/>
      <c r="M1704" s="11">
        <v>0.5</v>
      </c>
      <c r="N1704" s="1">
        <v>1600</v>
      </c>
      <c r="O1704" s="10">
        <v>46279.621539351851</v>
      </c>
      <c r="P1704" s="10" t="s">
        <v>4507</v>
      </c>
      <c r="Q1704" s="1" t="s">
        <v>72</v>
      </c>
      <c r="R1704" s="8" t="s">
        <v>343</v>
      </c>
      <c r="S170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0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0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0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0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0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0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0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0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0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0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0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0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04" s="12">
        <f ca="1">[1]!Tabel1[[#This Row],[Vægtet Honorar]]*([1]!Tabel1[[#This Row],[Sidst redigeret]]&gt;TODAY()-40)*([1]!Tabel1[[#This Row],[Er i resplan?]]&lt;&gt;"Ja")*([1]!Tabel1[[#This Row],[Status]]="Pågår")</f>
        <v>0</v>
      </c>
      <c r="AG1704" s="12">
        <f ca="1">[1]!Tabel1[[#This Row],[Vægtet Honorar]]*([1]!Tabel1[[#This Row],[Sidst redigeret]]&gt;TODAY()-40)*([1]!Tabel1[[#This Row],[Status]]="Pågår")</f>
        <v>0</v>
      </c>
      <c r="AH1704" s="13"/>
      <c r="AI1704" s="12"/>
      <c r="AJ1704" s="12"/>
      <c r="AK1704" s="12"/>
      <c r="AL1704" s="12"/>
      <c r="AM1704" s="12"/>
      <c r="AN1704" s="12"/>
      <c r="AO1704" s="12"/>
      <c r="AP1704" s="12"/>
    </row>
    <row r="1705" spans="1:42">
      <c r="A1705" t="s">
        <v>5856</v>
      </c>
      <c r="B1705" s="8"/>
      <c r="C1705" s="8" t="s">
        <v>5857</v>
      </c>
      <c r="D1705" s="8" t="s">
        <v>720</v>
      </c>
      <c r="E1705" s="8" t="s">
        <v>71</v>
      </c>
      <c r="F1705" s="8" t="s">
        <v>5858</v>
      </c>
      <c r="G1705" s="8" t="s">
        <v>5859</v>
      </c>
      <c r="H1705" s="9">
        <v>1000000</v>
      </c>
      <c r="I1705" s="9">
        <f>[1]!Tabel1[[#This Row],[Honorar]]*[1]!Tabel1[[#This Row],[Sandsynlighed]]</f>
        <v>0</v>
      </c>
      <c r="J1705" s="10" t="s">
        <v>585</v>
      </c>
      <c r="K1705" s="1" t="s">
        <v>1709</v>
      </c>
      <c r="L1705" s="17"/>
      <c r="M1705" s="11">
        <v>0.05</v>
      </c>
      <c r="N1705" s="1"/>
      <c r="O1705" s="10">
        <v>46279.621539351851</v>
      </c>
      <c r="P1705" s="10" t="s">
        <v>4507</v>
      </c>
      <c r="Q1705" s="1" t="s">
        <v>72</v>
      </c>
      <c r="R1705" s="8" t="s">
        <v>343</v>
      </c>
      <c r="S170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0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0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0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0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0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0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0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0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0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0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0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0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05" s="12">
        <f ca="1">[1]!Tabel1[[#This Row],[Vægtet Honorar]]*([1]!Tabel1[[#This Row],[Sidst redigeret]]&gt;TODAY()-40)*([1]!Tabel1[[#This Row],[Er i resplan?]]&lt;&gt;"Ja")*([1]!Tabel1[[#This Row],[Status]]="Pågår")</f>
        <v>0</v>
      </c>
      <c r="AG1705" s="12">
        <f ca="1">[1]!Tabel1[[#This Row],[Vægtet Honorar]]*([1]!Tabel1[[#This Row],[Sidst redigeret]]&gt;TODAY()-40)*([1]!Tabel1[[#This Row],[Status]]="Pågår")</f>
        <v>0</v>
      </c>
      <c r="AH1705" s="13"/>
      <c r="AI1705" s="12"/>
      <c r="AJ1705" s="12"/>
      <c r="AK1705" s="12"/>
      <c r="AL1705" s="12"/>
      <c r="AM1705" s="12"/>
      <c r="AN1705" s="12"/>
      <c r="AO1705" s="12"/>
      <c r="AP1705" s="12"/>
    </row>
    <row r="1706" spans="1:42">
      <c r="A1706" t="s">
        <v>5860</v>
      </c>
      <c r="B1706" s="8"/>
      <c r="C1706" s="8" t="s">
        <v>5861</v>
      </c>
      <c r="D1706" s="8" t="s">
        <v>125</v>
      </c>
      <c r="E1706" s="8" t="s">
        <v>71</v>
      </c>
      <c r="F1706" s="8" t="s">
        <v>5862</v>
      </c>
      <c r="G1706" s="8" t="s">
        <v>5863</v>
      </c>
      <c r="H1706" s="9">
        <v>500000</v>
      </c>
      <c r="I1706" s="9">
        <f>[1]!Tabel1[[#This Row],[Honorar]]*[1]!Tabel1[[#This Row],[Sandsynlighed]]</f>
        <v>0</v>
      </c>
      <c r="J1706" s="10" t="s">
        <v>585</v>
      </c>
      <c r="K1706" s="1" t="s">
        <v>1709</v>
      </c>
      <c r="L1706" s="17"/>
      <c r="M1706" s="11">
        <v>0.5</v>
      </c>
      <c r="N1706" s="1">
        <v>750</v>
      </c>
      <c r="O1706" s="10">
        <v>46279.621539351851</v>
      </c>
      <c r="P1706" s="10" t="s">
        <v>4507</v>
      </c>
      <c r="Q1706" s="1" t="s">
        <v>72</v>
      </c>
      <c r="R1706" s="8" t="s">
        <v>343</v>
      </c>
      <c r="S170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0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0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0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0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0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0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0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0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0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0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0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0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06" s="12">
        <f ca="1">[1]!Tabel1[[#This Row],[Vægtet Honorar]]*([1]!Tabel1[[#This Row],[Sidst redigeret]]&gt;TODAY()-40)*([1]!Tabel1[[#This Row],[Er i resplan?]]&lt;&gt;"Ja")*([1]!Tabel1[[#This Row],[Status]]="Pågår")</f>
        <v>0</v>
      </c>
      <c r="AG1706" s="12">
        <f ca="1">[1]!Tabel1[[#This Row],[Vægtet Honorar]]*([1]!Tabel1[[#This Row],[Sidst redigeret]]&gt;TODAY()-40)*([1]!Tabel1[[#This Row],[Status]]="Pågår")</f>
        <v>0</v>
      </c>
      <c r="AH1706" s="13"/>
      <c r="AI1706" s="12"/>
      <c r="AJ1706" s="12"/>
      <c r="AK1706" s="12"/>
      <c r="AL1706" s="12"/>
      <c r="AM1706" s="12"/>
      <c r="AN1706" s="12"/>
      <c r="AO1706" s="12"/>
      <c r="AP1706" s="12"/>
    </row>
    <row r="1707" spans="1:42">
      <c r="A1707" t="s">
        <v>5864</v>
      </c>
      <c r="B1707" s="8"/>
      <c r="C1707" s="8" t="s">
        <v>5865</v>
      </c>
      <c r="D1707" s="8" t="s">
        <v>2886</v>
      </c>
      <c r="E1707" s="8" t="s">
        <v>120</v>
      </c>
      <c r="F1707" s="8" t="s">
        <v>5239</v>
      </c>
      <c r="G1707" s="8" t="s">
        <v>5239</v>
      </c>
      <c r="H1707" s="9">
        <v>3570000</v>
      </c>
      <c r="I1707" s="9">
        <f>[1]!Tabel1[[#This Row],[Honorar]]*[1]!Tabel1[[#This Row],[Sandsynlighed]]</f>
        <v>5000</v>
      </c>
      <c r="J1707" s="10" t="s">
        <v>585</v>
      </c>
      <c r="K1707" s="1" t="s">
        <v>1323</v>
      </c>
      <c r="L1707" s="17"/>
      <c r="M1707" s="11">
        <v>0.33</v>
      </c>
      <c r="N1707" s="1"/>
      <c r="O1707" s="10">
        <v>46279.621539351851</v>
      </c>
      <c r="P1707" s="10" t="s">
        <v>4507</v>
      </c>
      <c r="Q1707" s="1" t="s">
        <v>72</v>
      </c>
      <c r="R1707" s="8" t="s">
        <v>343</v>
      </c>
      <c r="S170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0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0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0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0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0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0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0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0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0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0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0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0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07" s="12">
        <f ca="1">[1]!Tabel1[[#This Row],[Vægtet Honorar]]*([1]!Tabel1[[#This Row],[Sidst redigeret]]&gt;TODAY()-40)*([1]!Tabel1[[#This Row],[Er i resplan?]]&lt;&gt;"Ja")*([1]!Tabel1[[#This Row],[Status]]="Pågår")</f>
        <v>0</v>
      </c>
      <c r="AG1707" s="12">
        <f ca="1">[1]!Tabel1[[#This Row],[Vægtet Honorar]]*([1]!Tabel1[[#This Row],[Sidst redigeret]]&gt;TODAY()-40)*([1]!Tabel1[[#This Row],[Status]]="Pågår")</f>
        <v>0</v>
      </c>
      <c r="AH1707" s="13"/>
      <c r="AI1707" s="12"/>
      <c r="AJ1707" s="12" t="s">
        <v>2110</v>
      </c>
      <c r="AK1707" s="12"/>
      <c r="AL1707" s="12"/>
      <c r="AM1707" s="12"/>
      <c r="AN1707" s="12"/>
      <c r="AO1707" s="12"/>
      <c r="AP1707" s="12"/>
    </row>
    <row r="1708" spans="1:42">
      <c r="A1708" t="s">
        <v>5866</v>
      </c>
      <c r="B1708" s="8"/>
      <c r="C1708" s="8" t="s">
        <v>5867</v>
      </c>
      <c r="D1708" s="8" t="s">
        <v>158</v>
      </c>
      <c r="E1708" s="8" t="s">
        <v>167</v>
      </c>
      <c r="F1708" s="8" t="s">
        <v>1127</v>
      </c>
      <c r="G1708" s="8" t="s">
        <v>5656</v>
      </c>
      <c r="H1708" s="9">
        <v>1500000</v>
      </c>
      <c r="I1708" s="9">
        <f>[1]!Tabel1[[#This Row],[Honorar]]*[1]!Tabel1[[#This Row],[Sandsynlighed]]</f>
        <v>750000</v>
      </c>
      <c r="J1708" s="10" t="s">
        <v>585</v>
      </c>
      <c r="K1708" s="1" t="s">
        <v>1323</v>
      </c>
      <c r="L1708" s="17"/>
      <c r="M1708" s="11">
        <v>0.01</v>
      </c>
      <c r="N1708" s="1"/>
      <c r="O1708" s="10">
        <v>46279.621539351851</v>
      </c>
      <c r="P1708" s="10" t="s">
        <v>4507</v>
      </c>
      <c r="Q1708" s="1" t="s">
        <v>72</v>
      </c>
      <c r="R1708" s="8" t="s">
        <v>343</v>
      </c>
      <c r="S170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0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0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0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0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0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0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0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0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0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0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0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0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08" s="12">
        <f ca="1">[1]!Tabel1[[#This Row],[Vægtet Honorar]]*([1]!Tabel1[[#This Row],[Sidst redigeret]]&gt;TODAY()-40)*([1]!Tabel1[[#This Row],[Er i resplan?]]&lt;&gt;"Ja")*([1]!Tabel1[[#This Row],[Status]]="Pågår")</f>
        <v>750000</v>
      </c>
      <c r="AG1708" s="12">
        <f ca="1">[1]!Tabel1[[#This Row],[Vægtet Honorar]]*([1]!Tabel1[[#This Row],[Sidst redigeret]]&gt;TODAY()-40)*([1]!Tabel1[[#This Row],[Status]]="Pågår")</f>
        <v>750000</v>
      </c>
      <c r="AH1708" s="13" t="s">
        <v>1265</v>
      </c>
      <c r="AI1708" s="12"/>
      <c r="AJ1708" s="12" t="s">
        <v>5656</v>
      </c>
      <c r="AK1708" s="12"/>
      <c r="AL1708" s="12"/>
      <c r="AM1708" s="12"/>
      <c r="AN1708" s="12"/>
      <c r="AO1708" s="12"/>
      <c r="AP1708" s="12"/>
    </row>
    <row r="1709" spans="1:42" ht="30">
      <c r="A1709" t="s">
        <v>5868</v>
      </c>
      <c r="B1709" s="8"/>
      <c r="C1709" s="8" t="s">
        <v>5869</v>
      </c>
      <c r="D1709" s="8" t="s">
        <v>5870</v>
      </c>
      <c r="E1709" s="8" t="s">
        <v>167</v>
      </c>
      <c r="F1709" s="8" t="s">
        <v>4987</v>
      </c>
      <c r="G1709" s="8" t="s">
        <v>4987</v>
      </c>
      <c r="H1709" s="9">
        <v>1400000</v>
      </c>
      <c r="I1709" s="9">
        <f>[1]!Tabel1[[#This Row],[Honorar]]*[1]!Tabel1[[#This Row],[Sandsynlighed]]</f>
        <v>76500</v>
      </c>
      <c r="J1709" s="10" t="s">
        <v>585</v>
      </c>
      <c r="K1709" s="1" t="s">
        <v>1323</v>
      </c>
      <c r="L1709" s="17" t="s">
        <v>577</v>
      </c>
      <c r="M1709" s="11">
        <v>0</v>
      </c>
      <c r="N1709" s="1" t="s">
        <v>5871</v>
      </c>
      <c r="O1709" s="10">
        <v>46279.621539351851</v>
      </c>
      <c r="P1709" s="10" t="s">
        <v>4507</v>
      </c>
      <c r="Q1709" s="1" t="s">
        <v>72</v>
      </c>
      <c r="R1709" s="8" t="s">
        <v>75</v>
      </c>
      <c r="S170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0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0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0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0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0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0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0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0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0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0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0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0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09" s="12">
        <f ca="1">[1]!Tabel1[[#This Row],[Vægtet Honorar]]*([1]!Tabel1[[#This Row],[Sidst redigeret]]&gt;TODAY()-40)*([1]!Tabel1[[#This Row],[Er i resplan?]]&lt;&gt;"Ja")*([1]!Tabel1[[#This Row],[Status]]="Pågår")</f>
        <v>76500</v>
      </c>
      <c r="AG1709" s="12">
        <f ca="1">[1]!Tabel1[[#This Row],[Vægtet Honorar]]*([1]!Tabel1[[#This Row],[Sidst redigeret]]&gt;TODAY()-40)*([1]!Tabel1[[#This Row],[Status]]="Pågår")</f>
        <v>76500</v>
      </c>
      <c r="AH1709" s="13"/>
      <c r="AI1709" s="12"/>
      <c r="AJ1709" s="12" t="s">
        <v>5656</v>
      </c>
      <c r="AK1709" s="12"/>
      <c r="AL1709" s="12"/>
      <c r="AM1709" s="12"/>
      <c r="AN1709" s="12"/>
      <c r="AO1709" s="12"/>
      <c r="AP1709" s="12"/>
    </row>
    <row r="1710" spans="1:42">
      <c r="A1710" t="s">
        <v>5872</v>
      </c>
      <c r="B1710" s="8"/>
      <c r="C1710" s="8" t="s">
        <v>5873</v>
      </c>
      <c r="D1710" s="8" t="s">
        <v>1468</v>
      </c>
      <c r="E1710" s="8" t="s">
        <v>167</v>
      </c>
      <c r="F1710" s="8" t="s">
        <v>5874</v>
      </c>
      <c r="G1710" s="8" t="s">
        <v>5874</v>
      </c>
      <c r="H1710" s="9">
        <v>25000</v>
      </c>
      <c r="I1710" s="9">
        <f>[1]!Tabel1[[#This Row],[Honorar]]*[1]!Tabel1[[#This Row],[Sandsynlighed]]</f>
        <v>50000</v>
      </c>
      <c r="J1710" s="10" t="s">
        <v>1310</v>
      </c>
      <c r="K1710" s="1" t="s">
        <v>585</v>
      </c>
      <c r="L1710" s="17"/>
      <c r="M1710" s="11">
        <v>0.9</v>
      </c>
      <c r="N1710" s="1"/>
      <c r="O1710" s="10">
        <v>46279.621539351851</v>
      </c>
      <c r="P1710" s="10" t="s">
        <v>4507</v>
      </c>
      <c r="Q1710" s="1" t="s">
        <v>72</v>
      </c>
      <c r="R1710" s="8" t="s">
        <v>49</v>
      </c>
      <c r="S171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1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1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1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1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1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1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1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1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1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1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1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1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10" s="12">
        <f ca="1">[1]!Tabel1[[#This Row],[Vægtet Honorar]]*([1]!Tabel1[[#This Row],[Sidst redigeret]]&gt;TODAY()-40)*([1]!Tabel1[[#This Row],[Er i resplan?]]&lt;&gt;"Ja")*([1]!Tabel1[[#This Row],[Status]]="Pågår")</f>
        <v>50000</v>
      </c>
      <c r="AG1710" s="12">
        <f ca="1">[1]!Tabel1[[#This Row],[Vægtet Honorar]]*([1]!Tabel1[[#This Row],[Sidst redigeret]]&gt;TODAY()-40)*([1]!Tabel1[[#This Row],[Status]]="Pågår")</f>
        <v>50000</v>
      </c>
      <c r="AH1710" s="13"/>
      <c r="AI1710" s="12"/>
      <c r="AJ1710" s="12" t="s">
        <v>5656</v>
      </c>
      <c r="AK1710" s="12"/>
      <c r="AL1710" s="12"/>
      <c r="AM1710" s="12"/>
      <c r="AN1710" s="12"/>
      <c r="AO1710" s="12"/>
      <c r="AP1710" s="12"/>
    </row>
    <row r="1711" spans="1:42" ht="60">
      <c r="A1711" t="s">
        <v>5875</v>
      </c>
      <c r="B1711" s="8"/>
      <c r="C1711" s="8" t="s">
        <v>5876</v>
      </c>
      <c r="D1711" s="8" t="s">
        <v>1771</v>
      </c>
      <c r="E1711" s="8" t="s">
        <v>167</v>
      </c>
      <c r="F1711" s="8" t="s">
        <v>5877</v>
      </c>
      <c r="G1711" s="8" t="s">
        <v>4476</v>
      </c>
      <c r="H1711" s="9">
        <v>400000</v>
      </c>
      <c r="I1711" s="9">
        <f>[1]!Tabel1[[#This Row],[Honorar]]*[1]!Tabel1[[#This Row],[Sandsynlighed]]</f>
        <v>250000</v>
      </c>
      <c r="J1711" s="10" t="s">
        <v>1310</v>
      </c>
      <c r="K1711" s="1" t="s">
        <v>342</v>
      </c>
      <c r="L1711" s="17" t="s">
        <v>5878</v>
      </c>
      <c r="M1711" s="11">
        <v>0.5</v>
      </c>
      <c r="N1711" s="1"/>
      <c r="O1711" s="10">
        <v>46279.621539351851</v>
      </c>
      <c r="P1711" s="10" t="s">
        <v>4507</v>
      </c>
      <c r="Q1711" s="1" t="s">
        <v>72</v>
      </c>
      <c r="R1711" s="8" t="s">
        <v>343</v>
      </c>
      <c r="S171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1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1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1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1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1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1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1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1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1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1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1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1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11" s="12">
        <f ca="1">[1]!Tabel1[[#This Row],[Vægtet Honorar]]*([1]!Tabel1[[#This Row],[Sidst redigeret]]&gt;TODAY()-40)*([1]!Tabel1[[#This Row],[Er i resplan?]]&lt;&gt;"Ja")*([1]!Tabel1[[#This Row],[Status]]="Pågår")</f>
        <v>250000</v>
      </c>
      <c r="AG1711" s="12">
        <f ca="1">[1]!Tabel1[[#This Row],[Vægtet Honorar]]*([1]!Tabel1[[#This Row],[Sidst redigeret]]&gt;TODAY()-40)*([1]!Tabel1[[#This Row],[Status]]="Pågår")</f>
        <v>250000</v>
      </c>
      <c r="AH1711" s="13"/>
      <c r="AI1711" s="12"/>
      <c r="AJ1711" s="12" t="s">
        <v>5656</v>
      </c>
      <c r="AK1711" s="12"/>
      <c r="AL1711" s="12"/>
      <c r="AM1711" s="12"/>
      <c r="AN1711" s="12"/>
      <c r="AO1711" s="12"/>
      <c r="AP1711" s="12"/>
    </row>
    <row r="1712" spans="1:42">
      <c r="A1712" t="s">
        <v>5879</v>
      </c>
      <c r="B1712" s="8"/>
      <c r="C1712" s="8" t="s">
        <v>5880</v>
      </c>
      <c r="D1712" s="8" t="s">
        <v>2886</v>
      </c>
      <c r="E1712" s="8" t="s">
        <v>120</v>
      </c>
      <c r="F1712" s="8" t="s">
        <v>5881</v>
      </c>
      <c r="G1712" s="8" t="s">
        <v>5881</v>
      </c>
      <c r="H1712" s="9">
        <v>150000</v>
      </c>
      <c r="I1712" s="9">
        <f>[1]!Tabel1[[#This Row],[Honorar]]*[1]!Tabel1[[#This Row],[Sandsynlighed]]</f>
        <v>1178100</v>
      </c>
      <c r="J1712" s="10" t="s">
        <v>1310</v>
      </c>
      <c r="K1712" s="1" t="s">
        <v>342</v>
      </c>
      <c r="L1712" s="17"/>
      <c r="M1712" s="11">
        <v>0.5</v>
      </c>
      <c r="N1712" s="1"/>
      <c r="O1712" s="10">
        <v>46279.621539351851</v>
      </c>
      <c r="P1712" s="10" t="s">
        <v>4507</v>
      </c>
      <c r="Q1712" s="1" t="s">
        <v>72</v>
      </c>
      <c r="R1712" s="8" t="s">
        <v>1265</v>
      </c>
      <c r="S171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1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1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1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1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1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1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1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1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1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1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1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1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12" s="12">
        <f ca="1">[1]!Tabel1[[#This Row],[Vægtet Honorar]]*([1]!Tabel1[[#This Row],[Sidst redigeret]]&gt;TODAY()-40)*([1]!Tabel1[[#This Row],[Er i resplan?]]&lt;&gt;"Ja")*([1]!Tabel1[[#This Row],[Status]]="Pågår")</f>
        <v>1178100</v>
      </c>
      <c r="AG1712" s="12">
        <f ca="1">[1]!Tabel1[[#This Row],[Vægtet Honorar]]*([1]!Tabel1[[#This Row],[Sidst redigeret]]&gt;TODAY()-40)*([1]!Tabel1[[#This Row],[Status]]="Pågår")</f>
        <v>1178100</v>
      </c>
      <c r="AH1712" s="13"/>
      <c r="AI1712" s="12"/>
      <c r="AJ1712" s="12" t="s">
        <v>5881</v>
      </c>
      <c r="AK1712" s="12"/>
      <c r="AL1712" s="12"/>
      <c r="AM1712" s="12"/>
      <c r="AN1712" s="12"/>
      <c r="AO1712" s="12"/>
      <c r="AP1712" s="12"/>
    </row>
    <row r="1713" spans="1:42">
      <c r="A1713" t="s">
        <v>5882</v>
      </c>
      <c r="B1713" s="8"/>
      <c r="C1713" s="8" t="s">
        <v>5883</v>
      </c>
      <c r="D1713" s="8" t="s">
        <v>158</v>
      </c>
      <c r="E1713" s="8" t="s">
        <v>167</v>
      </c>
      <c r="F1713" s="8" t="s">
        <v>1351</v>
      </c>
      <c r="G1713" s="8" t="s">
        <v>4090</v>
      </c>
      <c r="H1713" s="9">
        <v>300000</v>
      </c>
      <c r="I1713" s="9">
        <f>[1]!Tabel1[[#This Row],[Honorar]]*[1]!Tabel1[[#This Row],[Sandsynlighed]]</f>
        <v>15000</v>
      </c>
      <c r="J1713" s="10" t="s">
        <v>585</v>
      </c>
      <c r="K1713" s="1" t="s">
        <v>1861</v>
      </c>
      <c r="L1713" s="17"/>
      <c r="M1713" s="11">
        <v>0.01</v>
      </c>
      <c r="N1713" s="1"/>
      <c r="O1713" s="10">
        <v>46279.621539351851</v>
      </c>
      <c r="P1713" s="10" t="s">
        <v>4507</v>
      </c>
      <c r="Q1713" s="1" t="s">
        <v>72</v>
      </c>
      <c r="R1713" s="8" t="s">
        <v>343</v>
      </c>
      <c r="S171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1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1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1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1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1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1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1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1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1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1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1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1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13" s="12">
        <f ca="1">[1]!Tabel1[[#This Row],[Vægtet Honorar]]*([1]!Tabel1[[#This Row],[Sidst redigeret]]&gt;TODAY()-40)*([1]!Tabel1[[#This Row],[Er i resplan?]]&lt;&gt;"Ja")*([1]!Tabel1[[#This Row],[Status]]="Pågår")</f>
        <v>15000</v>
      </c>
      <c r="AG1713" s="12">
        <f ca="1">[1]!Tabel1[[#This Row],[Vægtet Honorar]]*([1]!Tabel1[[#This Row],[Sidst redigeret]]&gt;TODAY()-40)*([1]!Tabel1[[#This Row],[Status]]="Pågår")</f>
        <v>15000</v>
      </c>
      <c r="AH1713" s="13"/>
      <c r="AI1713" s="12"/>
      <c r="AJ1713" s="12" t="s">
        <v>5134</v>
      </c>
      <c r="AK1713" s="12"/>
      <c r="AL1713" s="12"/>
      <c r="AM1713" s="12"/>
      <c r="AN1713" s="12"/>
      <c r="AO1713" s="12"/>
      <c r="AP1713" s="12"/>
    </row>
    <row r="1714" spans="1:42">
      <c r="A1714" t="s">
        <v>5884</v>
      </c>
      <c r="B1714" s="8"/>
      <c r="C1714" s="8" t="s">
        <v>5885</v>
      </c>
      <c r="D1714" s="8" t="s">
        <v>1771</v>
      </c>
      <c r="E1714" s="8" t="s">
        <v>167</v>
      </c>
      <c r="F1714" s="8" t="s">
        <v>5886</v>
      </c>
      <c r="G1714" s="8" t="s">
        <v>5198</v>
      </c>
      <c r="H1714" s="9">
        <v>300000</v>
      </c>
      <c r="I1714" s="9">
        <f>[1]!Tabel1[[#This Row],[Honorar]]*[1]!Tabel1[[#This Row],[Sandsynlighed]]</f>
        <v>0</v>
      </c>
      <c r="J1714" s="10" t="s">
        <v>585</v>
      </c>
      <c r="K1714" s="1" t="s">
        <v>1323</v>
      </c>
      <c r="L1714" s="17"/>
      <c r="M1714" s="11">
        <v>0.5</v>
      </c>
      <c r="N1714" s="1" t="s">
        <v>5887</v>
      </c>
      <c r="O1714" s="10">
        <v>46279.621539351851</v>
      </c>
      <c r="P1714" s="10" t="s">
        <v>4507</v>
      </c>
      <c r="Q1714" s="1" t="s">
        <v>72</v>
      </c>
      <c r="R1714" s="8" t="s">
        <v>343</v>
      </c>
      <c r="S171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1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1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1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1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1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1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1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1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1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1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1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1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14" s="12">
        <f ca="1">[1]!Tabel1[[#This Row],[Vægtet Honorar]]*([1]!Tabel1[[#This Row],[Sidst redigeret]]&gt;TODAY()-40)*([1]!Tabel1[[#This Row],[Er i resplan?]]&lt;&gt;"Ja")*([1]!Tabel1[[#This Row],[Status]]="Pågår")</f>
        <v>0</v>
      </c>
      <c r="AG1714" s="12">
        <f ca="1">[1]!Tabel1[[#This Row],[Vægtet Honorar]]*([1]!Tabel1[[#This Row],[Sidst redigeret]]&gt;TODAY()-40)*([1]!Tabel1[[#This Row],[Status]]="Pågår")</f>
        <v>0</v>
      </c>
      <c r="AH1714" s="13"/>
      <c r="AI1714" s="12"/>
      <c r="AJ1714" s="12" t="s">
        <v>5134</v>
      </c>
      <c r="AK1714" s="12"/>
      <c r="AL1714" s="12"/>
      <c r="AM1714" s="12"/>
      <c r="AN1714" s="12"/>
      <c r="AO1714" s="12"/>
      <c r="AP1714" s="12"/>
    </row>
    <row r="1715" spans="1:42">
      <c r="A1715" t="s">
        <v>5888</v>
      </c>
      <c r="B1715" s="8"/>
      <c r="C1715" s="8" t="s">
        <v>5889</v>
      </c>
      <c r="D1715" s="8" t="s">
        <v>720</v>
      </c>
      <c r="E1715" s="8" t="s">
        <v>71</v>
      </c>
      <c r="F1715" s="8" t="s">
        <v>5890</v>
      </c>
      <c r="G1715" s="8" t="s">
        <v>5891</v>
      </c>
      <c r="H1715" s="9"/>
      <c r="I1715" s="9">
        <f>[1]!Tabel1[[#This Row],[Honorar]]*[1]!Tabel1[[#This Row],[Sandsynlighed]]</f>
        <v>22500</v>
      </c>
      <c r="J1715" s="10" t="s">
        <v>1062</v>
      </c>
      <c r="K1715" s="1" t="s">
        <v>2093</v>
      </c>
      <c r="L1715" s="17"/>
      <c r="M1715" s="11">
        <v>0.01</v>
      </c>
      <c r="N1715" s="1"/>
      <c r="O1715" s="10">
        <v>46279.621539351851</v>
      </c>
      <c r="P1715" s="10"/>
      <c r="Q1715" s="1" t="s">
        <v>72</v>
      </c>
      <c r="R1715" s="8" t="s">
        <v>343</v>
      </c>
      <c r="S171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1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1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1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1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1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1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1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1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1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1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1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1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15" s="12">
        <f ca="1">[1]!Tabel1[[#This Row],[Vægtet Honorar]]*([1]!Tabel1[[#This Row],[Sidst redigeret]]&gt;TODAY()-40)*([1]!Tabel1[[#This Row],[Er i resplan?]]&lt;&gt;"Ja")*([1]!Tabel1[[#This Row],[Status]]="Pågår")</f>
        <v>0</v>
      </c>
      <c r="AG1715" s="12">
        <f ca="1">[1]!Tabel1[[#This Row],[Vægtet Honorar]]*([1]!Tabel1[[#This Row],[Sidst redigeret]]&gt;TODAY()-40)*([1]!Tabel1[[#This Row],[Status]]="Pågår")</f>
        <v>0</v>
      </c>
      <c r="AH1715" s="13"/>
      <c r="AI1715" s="12"/>
      <c r="AJ1715" s="12" t="s">
        <v>5134</v>
      </c>
      <c r="AK1715" s="12"/>
      <c r="AL1715" s="12"/>
      <c r="AM1715" s="12"/>
      <c r="AN1715" s="12"/>
      <c r="AO1715" s="12"/>
      <c r="AP1715" s="12"/>
    </row>
    <row r="1716" spans="1:42">
      <c r="A1716" t="s">
        <v>5892</v>
      </c>
      <c r="B1716" s="8"/>
      <c r="C1716" s="8" t="s">
        <v>5893</v>
      </c>
      <c r="D1716" s="8" t="s">
        <v>2886</v>
      </c>
      <c r="E1716" s="8" t="s">
        <v>120</v>
      </c>
      <c r="F1716" s="8" t="s">
        <v>5890</v>
      </c>
      <c r="G1716" s="8" t="s">
        <v>2895</v>
      </c>
      <c r="H1716" s="9">
        <v>1000000</v>
      </c>
      <c r="I1716" s="9">
        <f>[1]!Tabel1[[#This Row],[Honorar]]*[1]!Tabel1[[#This Row],[Sandsynlighed]]</f>
        <v>200000</v>
      </c>
      <c r="J1716" s="10" t="s">
        <v>1062</v>
      </c>
      <c r="K1716" s="1" t="s">
        <v>2105</v>
      </c>
      <c r="L1716" s="17"/>
      <c r="M1716" s="11">
        <v>0.05</v>
      </c>
      <c r="N1716" s="1"/>
      <c r="O1716" s="10">
        <v>46279.621539351851</v>
      </c>
      <c r="P1716" s="10" t="s">
        <v>4507</v>
      </c>
      <c r="Q1716" s="1" t="s">
        <v>72</v>
      </c>
      <c r="R1716" s="8" t="s">
        <v>4031</v>
      </c>
      <c r="S171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1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1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1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1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1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1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1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1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1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1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1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1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16" s="12">
        <f ca="1">[1]!Tabel1[[#This Row],[Vægtet Honorar]]*([1]!Tabel1[[#This Row],[Sidst redigeret]]&gt;TODAY()-40)*([1]!Tabel1[[#This Row],[Er i resplan?]]&lt;&gt;"Ja")*([1]!Tabel1[[#This Row],[Status]]="Pågår")</f>
        <v>200000</v>
      </c>
      <c r="AG1716" s="12">
        <f ca="1">[1]!Tabel1[[#This Row],[Vægtet Honorar]]*([1]!Tabel1[[#This Row],[Sidst redigeret]]&gt;TODAY()-40)*([1]!Tabel1[[#This Row],[Status]]="Pågår")</f>
        <v>200000</v>
      </c>
      <c r="AH1716" s="13">
        <v>46269.500960648147</v>
      </c>
      <c r="AI1716" s="12"/>
      <c r="AJ1716" s="12" t="s">
        <v>2895</v>
      </c>
      <c r="AK1716" s="12"/>
      <c r="AL1716" s="12"/>
      <c r="AM1716" s="12"/>
      <c r="AN1716" s="12"/>
      <c r="AO1716" s="12"/>
      <c r="AP1716" s="12"/>
    </row>
    <row r="1717" spans="1:42">
      <c r="A1717" t="s">
        <v>5894</v>
      </c>
      <c r="B1717" s="8"/>
      <c r="C1717" s="8" t="s">
        <v>5895</v>
      </c>
      <c r="D1717" s="8" t="s">
        <v>1771</v>
      </c>
      <c r="E1717" s="8" t="s">
        <v>167</v>
      </c>
      <c r="F1717" s="8" t="s">
        <v>1357</v>
      </c>
      <c r="G1717" s="8" t="s">
        <v>5309</v>
      </c>
      <c r="H1717" s="9">
        <v>200000</v>
      </c>
      <c r="I1717" s="9">
        <f>[1]!Tabel1[[#This Row],[Honorar]]*[1]!Tabel1[[#This Row],[Sandsynlighed]]</f>
        <v>75000</v>
      </c>
      <c r="J1717" s="10" t="s">
        <v>342</v>
      </c>
      <c r="K1717" s="1" t="s">
        <v>1861</v>
      </c>
      <c r="L1717" s="17"/>
      <c r="M1717" s="11">
        <v>0.2</v>
      </c>
      <c r="N1717" s="1"/>
      <c r="O1717" s="10">
        <v>46279.621539351851</v>
      </c>
      <c r="P1717" s="10" t="s">
        <v>4507</v>
      </c>
      <c r="Q1717" s="1" t="s">
        <v>72</v>
      </c>
      <c r="R1717" s="8" t="s">
        <v>343</v>
      </c>
      <c r="S171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1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1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1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1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1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1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1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1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1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1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1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1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17" s="12">
        <f ca="1">[1]!Tabel1[[#This Row],[Vægtet Honorar]]*([1]!Tabel1[[#This Row],[Sidst redigeret]]&gt;TODAY()-40)*([1]!Tabel1[[#This Row],[Er i resplan?]]&lt;&gt;"Ja")*([1]!Tabel1[[#This Row],[Status]]="Pågår")</f>
        <v>0</v>
      </c>
      <c r="AG1717" s="12">
        <f ca="1">[1]!Tabel1[[#This Row],[Vægtet Honorar]]*([1]!Tabel1[[#This Row],[Sidst redigeret]]&gt;TODAY()-40)*([1]!Tabel1[[#This Row],[Status]]="Pågår")</f>
        <v>0</v>
      </c>
      <c r="AH1717" s="13"/>
      <c r="AI1717" s="12"/>
      <c r="AJ1717" s="12" t="s">
        <v>5309</v>
      </c>
      <c r="AK1717" s="12" t="s">
        <v>5896</v>
      </c>
      <c r="AL1717" s="12"/>
      <c r="AM1717" s="12"/>
      <c r="AN1717" s="12"/>
      <c r="AO1717" s="12"/>
      <c r="AP1717" s="12"/>
    </row>
    <row r="1718" spans="1:42">
      <c r="A1718" t="s">
        <v>5897</v>
      </c>
      <c r="B1718" s="8"/>
      <c r="C1718" s="8" t="s">
        <v>5898</v>
      </c>
      <c r="D1718" s="8" t="s">
        <v>896</v>
      </c>
      <c r="E1718" s="8" t="s">
        <v>94</v>
      </c>
      <c r="F1718" s="8" t="s">
        <v>589</v>
      </c>
      <c r="G1718" s="8" t="s">
        <v>4517</v>
      </c>
      <c r="H1718" s="9">
        <v>2000000</v>
      </c>
      <c r="I1718" s="9">
        <f>[1]!Tabel1[[#This Row],[Honorar]]*[1]!Tabel1[[#This Row],[Sandsynlighed]]</f>
        <v>3000</v>
      </c>
      <c r="J1718" s="10" t="s">
        <v>342</v>
      </c>
      <c r="K1718" s="1" t="s">
        <v>1861</v>
      </c>
      <c r="L1718" s="17"/>
      <c r="M1718" s="11">
        <v>0.01</v>
      </c>
      <c r="N1718" s="1"/>
      <c r="O1718" s="10">
        <v>46279.621539351851</v>
      </c>
      <c r="P1718" s="10" t="s">
        <v>4507</v>
      </c>
      <c r="Q1718" s="1" t="s">
        <v>72</v>
      </c>
      <c r="R1718" s="8" t="s">
        <v>49</v>
      </c>
      <c r="S171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1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1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1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1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1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1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1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1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1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1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1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1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18" s="12">
        <f ca="1">[1]!Tabel1[[#This Row],[Vægtet Honorar]]*([1]!Tabel1[[#This Row],[Sidst redigeret]]&gt;TODAY()-40)*([1]!Tabel1[[#This Row],[Er i resplan?]]&lt;&gt;"Ja")*([1]!Tabel1[[#This Row],[Status]]="Pågår")</f>
        <v>3000</v>
      </c>
      <c r="AG1718" s="12">
        <f ca="1">[1]!Tabel1[[#This Row],[Vægtet Honorar]]*([1]!Tabel1[[#This Row],[Sidst redigeret]]&gt;TODAY()-40)*([1]!Tabel1[[#This Row],[Status]]="Pågår")</f>
        <v>3000</v>
      </c>
      <c r="AH1718" s="13"/>
      <c r="AI1718" s="12"/>
      <c r="AJ1718" s="12" t="s">
        <v>4517</v>
      </c>
      <c r="AK1718" s="12"/>
      <c r="AL1718" s="12"/>
      <c r="AM1718" s="12"/>
      <c r="AN1718" s="12"/>
      <c r="AO1718" s="12"/>
      <c r="AP1718" s="12"/>
    </row>
    <row r="1719" spans="1:42">
      <c r="A1719" t="s">
        <v>5899</v>
      </c>
      <c r="B1719" s="8"/>
      <c r="C1719" s="8" t="s">
        <v>5900</v>
      </c>
      <c r="D1719" s="8" t="s">
        <v>1623</v>
      </c>
      <c r="E1719" s="8" t="s">
        <v>102</v>
      </c>
      <c r="F1719" s="8" t="s">
        <v>5901</v>
      </c>
      <c r="G1719" s="8" t="s">
        <v>5901</v>
      </c>
      <c r="H1719" s="9">
        <v>2000000</v>
      </c>
      <c r="I1719" s="9">
        <f>[1]!Tabel1[[#This Row],[Honorar]]*[1]!Tabel1[[#This Row],[Sandsynlighed]]</f>
        <v>150000</v>
      </c>
      <c r="J1719" s="10" t="s">
        <v>342</v>
      </c>
      <c r="K1719" s="1" t="s">
        <v>1861</v>
      </c>
      <c r="L1719" s="17"/>
      <c r="M1719" s="11">
        <v>0.01</v>
      </c>
      <c r="N1719" s="1"/>
      <c r="O1719" s="10">
        <v>46279.621539351851</v>
      </c>
      <c r="P1719" s="10" t="s">
        <v>4507</v>
      </c>
      <c r="Q1719" s="1" t="s">
        <v>72</v>
      </c>
      <c r="R1719" s="8" t="s">
        <v>343</v>
      </c>
      <c r="S171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1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1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1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1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1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1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1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1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1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1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1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1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19" s="12">
        <f ca="1">[1]!Tabel1[[#This Row],[Vægtet Honorar]]*([1]!Tabel1[[#This Row],[Sidst redigeret]]&gt;TODAY()-40)*([1]!Tabel1[[#This Row],[Er i resplan?]]&lt;&gt;"Ja")*([1]!Tabel1[[#This Row],[Status]]="Pågår")</f>
        <v>150000</v>
      </c>
      <c r="AG1719" s="12">
        <f ca="1">[1]!Tabel1[[#This Row],[Vægtet Honorar]]*([1]!Tabel1[[#This Row],[Sidst redigeret]]&gt;TODAY()-40)*([1]!Tabel1[[#This Row],[Status]]="Pågår")</f>
        <v>150000</v>
      </c>
      <c r="AH1719" s="13"/>
      <c r="AI1719" s="12"/>
      <c r="AJ1719" s="12" t="s">
        <v>4008</v>
      </c>
      <c r="AK1719" s="12"/>
      <c r="AL1719" s="12"/>
      <c r="AM1719" s="12"/>
      <c r="AN1719" s="12"/>
      <c r="AO1719" s="12"/>
      <c r="AP1719" s="12"/>
    </row>
    <row r="1720" spans="1:42">
      <c r="A1720" t="s">
        <v>5902</v>
      </c>
      <c r="B1720" s="8"/>
      <c r="C1720" s="8" t="s">
        <v>5903</v>
      </c>
      <c r="D1720" s="8" t="s">
        <v>1771</v>
      </c>
      <c r="E1720" s="8" t="s">
        <v>167</v>
      </c>
      <c r="F1720" s="8" t="s">
        <v>5904</v>
      </c>
      <c r="G1720" s="8" t="s">
        <v>5905</v>
      </c>
      <c r="H1720" s="9">
        <v>50000</v>
      </c>
      <c r="I1720" s="9">
        <f>[1]!Tabel1[[#This Row],[Honorar]]*[1]!Tabel1[[#This Row],[Sandsynlighed]]</f>
        <v>0</v>
      </c>
      <c r="J1720" s="10" t="s">
        <v>585</v>
      </c>
      <c r="K1720" s="1" t="s">
        <v>342</v>
      </c>
      <c r="L1720" s="17" t="s">
        <v>5906</v>
      </c>
      <c r="M1720" s="11">
        <v>0.5</v>
      </c>
      <c r="N1720" s="1"/>
      <c r="O1720" s="10">
        <v>46279.621539351851</v>
      </c>
      <c r="P1720" s="10" t="s">
        <v>4507</v>
      </c>
      <c r="Q1720" s="1" t="s">
        <v>72</v>
      </c>
      <c r="R1720" s="8" t="s">
        <v>343</v>
      </c>
      <c r="S172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2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2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2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2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2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2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2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2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2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2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2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2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20" s="12">
        <f ca="1">[1]!Tabel1[[#This Row],[Vægtet Honorar]]*([1]!Tabel1[[#This Row],[Sidst redigeret]]&gt;TODAY()-40)*([1]!Tabel1[[#This Row],[Er i resplan?]]&lt;&gt;"Ja")*([1]!Tabel1[[#This Row],[Status]]="Pågår")</f>
        <v>0</v>
      </c>
      <c r="AG1720" s="12">
        <f ca="1">[1]!Tabel1[[#This Row],[Vægtet Honorar]]*([1]!Tabel1[[#This Row],[Sidst redigeret]]&gt;TODAY()-40)*([1]!Tabel1[[#This Row],[Status]]="Pågår")</f>
        <v>0</v>
      </c>
      <c r="AH1720" s="13"/>
      <c r="AI1720" s="12"/>
      <c r="AJ1720" s="12" t="s">
        <v>4008</v>
      </c>
      <c r="AK1720" s="12"/>
      <c r="AL1720" s="12"/>
      <c r="AM1720" s="12"/>
      <c r="AN1720" s="12"/>
      <c r="AO1720" s="12"/>
      <c r="AP1720" s="12"/>
    </row>
    <row r="1721" spans="1:42" ht="165">
      <c r="A1721" t="s">
        <v>5907</v>
      </c>
      <c r="B1721" s="8"/>
      <c r="C1721" s="8" t="s">
        <v>5908</v>
      </c>
      <c r="D1721" s="8" t="s">
        <v>896</v>
      </c>
      <c r="E1721" s="8" t="s">
        <v>94</v>
      </c>
      <c r="F1721" s="8" t="s">
        <v>5908</v>
      </c>
      <c r="G1721" s="8" t="s">
        <v>2426</v>
      </c>
      <c r="H1721" s="9">
        <v>2250000</v>
      </c>
      <c r="I1721" s="9">
        <f>[1]!Tabel1[[#This Row],[Honorar]]*[1]!Tabel1[[#This Row],[Sandsynlighed]]</f>
        <v>50000</v>
      </c>
      <c r="J1721" s="10" t="s">
        <v>585</v>
      </c>
      <c r="K1721" s="1" t="s">
        <v>342</v>
      </c>
      <c r="L1721" s="17" t="s">
        <v>5909</v>
      </c>
      <c r="M1721" s="11">
        <v>0.19</v>
      </c>
      <c r="N1721" s="1"/>
      <c r="O1721" s="10">
        <v>46279.621539351851</v>
      </c>
      <c r="P1721" s="10" t="s">
        <v>4507</v>
      </c>
      <c r="Q1721" s="1" t="s">
        <v>72</v>
      </c>
      <c r="R1721" s="8" t="s">
        <v>343</v>
      </c>
      <c r="S172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2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2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2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2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2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2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2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2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2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2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2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2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21" s="12">
        <f ca="1">[1]!Tabel1[[#This Row],[Vægtet Honorar]]*([1]!Tabel1[[#This Row],[Sidst redigeret]]&gt;TODAY()-40)*([1]!Tabel1[[#This Row],[Er i resplan?]]&lt;&gt;"Ja")*([1]!Tabel1[[#This Row],[Status]]="Pågår")</f>
        <v>0</v>
      </c>
      <c r="AG1721" s="12">
        <f ca="1">[1]!Tabel1[[#This Row],[Vægtet Honorar]]*([1]!Tabel1[[#This Row],[Sidst redigeret]]&gt;TODAY()-40)*([1]!Tabel1[[#This Row],[Status]]="Pågår")</f>
        <v>0</v>
      </c>
      <c r="AH1721" s="13"/>
      <c r="AI1721" s="12"/>
      <c r="AJ1721" s="12" t="s">
        <v>2426</v>
      </c>
      <c r="AK1721" s="12"/>
      <c r="AL1721" s="12"/>
      <c r="AM1721" s="12"/>
      <c r="AN1721" s="12"/>
      <c r="AO1721" s="12"/>
      <c r="AP1721" s="12"/>
    </row>
    <row r="1722" spans="1:42">
      <c r="A1722" t="s">
        <v>5910</v>
      </c>
      <c r="B1722" s="8"/>
      <c r="C1722" s="8" t="s">
        <v>5911</v>
      </c>
      <c r="D1722" s="8" t="s">
        <v>203</v>
      </c>
      <c r="E1722" s="8" t="s">
        <v>167</v>
      </c>
      <c r="F1722" s="8" t="s">
        <v>3861</v>
      </c>
      <c r="G1722" s="8" t="s">
        <v>3861</v>
      </c>
      <c r="H1722" s="9">
        <v>1000000</v>
      </c>
      <c r="I1722" s="9">
        <f>[1]!Tabel1[[#This Row],[Honorar]]*[1]!Tabel1[[#This Row],[Sandsynlighed]]</f>
        <v>40000</v>
      </c>
      <c r="J1722" s="10" t="s">
        <v>585</v>
      </c>
      <c r="K1722" s="1" t="s">
        <v>342</v>
      </c>
      <c r="L1722" s="17"/>
      <c r="M1722" s="11">
        <v>0.01</v>
      </c>
      <c r="N1722" s="1"/>
      <c r="O1722" s="10">
        <v>46279.616863425923</v>
      </c>
      <c r="P1722" s="10" t="s">
        <v>4591</v>
      </c>
      <c r="Q1722" s="1" t="s">
        <v>72</v>
      </c>
      <c r="R1722" s="8" t="s">
        <v>343</v>
      </c>
      <c r="S172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2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2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2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2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2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2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2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2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2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2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2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2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22" s="12">
        <f ca="1">[1]!Tabel1[[#This Row],[Vægtet Honorar]]*([1]!Tabel1[[#This Row],[Sidst redigeret]]&gt;TODAY()-40)*([1]!Tabel1[[#This Row],[Er i resplan?]]&lt;&gt;"Ja")*([1]!Tabel1[[#This Row],[Status]]="Pågår")</f>
        <v>40000</v>
      </c>
      <c r="AG1722" s="12">
        <f ca="1">[1]!Tabel1[[#This Row],[Vægtet Honorar]]*([1]!Tabel1[[#This Row],[Sidst redigeret]]&gt;TODAY()-40)*([1]!Tabel1[[#This Row],[Status]]="Pågår")</f>
        <v>40000</v>
      </c>
      <c r="AH1722" s="13"/>
      <c r="AI1722" s="12"/>
      <c r="AJ1722" s="12" t="s">
        <v>2426</v>
      </c>
      <c r="AK1722" s="12"/>
      <c r="AL1722" s="12"/>
      <c r="AM1722" s="12"/>
      <c r="AN1722" s="12"/>
      <c r="AO1722" s="12"/>
      <c r="AP1722" s="12"/>
    </row>
    <row r="1723" spans="1:42">
      <c r="A1723" t="s">
        <v>5912</v>
      </c>
      <c r="B1723" s="8"/>
      <c r="C1723" s="8" t="s">
        <v>5913</v>
      </c>
      <c r="D1723" s="8" t="s">
        <v>44</v>
      </c>
      <c r="E1723" s="8" t="s">
        <v>71</v>
      </c>
      <c r="F1723" s="8" t="s">
        <v>5914</v>
      </c>
      <c r="G1723" s="8" t="s">
        <v>5855</v>
      </c>
      <c r="H1723" s="9">
        <v>300000</v>
      </c>
      <c r="I1723" s="9">
        <f>[1]!Tabel1[[#This Row],[Honorar]]*[1]!Tabel1[[#This Row],[Sandsynlighed]]</f>
        <v>20000</v>
      </c>
      <c r="J1723" s="10" t="s">
        <v>342</v>
      </c>
      <c r="K1723" s="1" t="s">
        <v>2405</v>
      </c>
      <c r="L1723" s="17"/>
      <c r="M1723" s="11">
        <v>0.75</v>
      </c>
      <c r="N1723" s="1"/>
      <c r="O1723" s="10">
        <v>46279.616863425923</v>
      </c>
      <c r="P1723" s="10" t="s">
        <v>4591</v>
      </c>
      <c r="Q1723" s="1" t="s">
        <v>72</v>
      </c>
      <c r="R1723" s="8" t="s">
        <v>343</v>
      </c>
      <c r="S172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2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2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2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2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2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2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2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2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2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2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2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2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23" s="12">
        <f ca="1">[1]!Tabel1[[#This Row],[Vægtet Honorar]]*([1]!Tabel1[[#This Row],[Sidst redigeret]]&gt;TODAY()-40)*([1]!Tabel1[[#This Row],[Er i resplan?]]&lt;&gt;"Ja")*([1]!Tabel1[[#This Row],[Status]]="Pågår")</f>
        <v>0</v>
      </c>
      <c r="AG1723" s="12">
        <f ca="1">[1]!Tabel1[[#This Row],[Vægtet Honorar]]*([1]!Tabel1[[#This Row],[Sidst redigeret]]&gt;TODAY()-40)*([1]!Tabel1[[#This Row],[Status]]="Pågår")</f>
        <v>0</v>
      </c>
      <c r="AH1723" s="13"/>
      <c r="AI1723" s="12"/>
      <c r="AJ1723" s="12" t="s">
        <v>2426</v>
      </c>
      <c r="AK1723" s="12"/>
      <c r="AL1723" s="12"/>
      <c r="AM1723" s="12"/>
      <c r="AN1723" s="12"/>
      <c r="AO1723" s="12"/>
      <c r="AP1723" s="12"/>
    </row>
    <row r="1724" spans="1:42">
      <c r="A1724" t="s">
        <v>5915</v>
      </c>
      <c r="B1724" s="8"/>
      <c r="C1724" s="8" t="s">
        <v>5916</v>
      </c>
      <c r="D1724" s="8" t="s">
        <v>134</v>
      </c>
      <c r="E1724" s="8" t="s">
        <v>94</v>
      </c>
      <c r="F1724" s="8" t="s">
        <v>2068</v>
      </c>
      <c r="G1724" s="8" t="s">
        <v>2068</v>
      </c>
      <c r="H1724" s="9">
        <v>300000</v>
      </c>
      <c r="I1724" s="9">
        <f>[1]!Tabel1[[#This Row],[Honorar]]*[1]!Tabel1[[#This Row],[Sandsynlighed]]</f>
        <v>20000</v>
      </c>
      <c r="J1724" s="10" t="s">
        <v>1310</v>
      </c>
      <c r="K1724" s="1" t="s">
        <v>585</v>
      </c>
      <c r="L1724" s="17"/>
      <c r="M1724" s="11">
        <v>0.5</v>
      </c>
      <c r="N1724" s="1"/>
      <c r="O1724" s="10">
        <v>46279.616863425923</v>
      </c>
      <c r="P1724" s="10" t="s">
        <v>4507</v>
      </c>
      <c r="Q1724" s="1" t="s">
        <v>72</v>
      </c>
      <c r="R1724" s="8" t="s">
        <v>4031</v>
      </c>
      <c r="S172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2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2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2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2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2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2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2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2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2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2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2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2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24" s="12">
        <f ca="1">[1]!Tabel1[[#This Row],[Vægtet Honorar]]*([1]!Tabel1[[#This Row],[Sidst redigeret]]&gt;TODAY()-40)*([1]!Tabel1[[#This Row],[Er i resplan?]]&lt;&gt;"Ja")*([1]!Tabel1[[#This Row],[Status]]="Pågår")</f>
        <v>20000</v>
      </c>
      <c r="AG1724" s="12">
        <f ca="1">[1]!Tabel1[[#This Row],[Vægtet Honorar]]*([1]!Tabel1[[#This Row],[Sidst redigeret]]&gt;TODAY()-40)*([1]!Tabel1[[#This Row],[Status]]="Pågår")</f>
        <v>20000</v>
      </c>
      <c r="AH1724" s="13">
        <v>46266.408113425925</v>
      </c>
      <c r="AI1724" s="12"/>
      <c r="AJ1724" s="12" t="s">
        <v>2426</v>
      </c>
      <c r="AK1724" s="12"/>
      <c r="AL1724" s="12"/>
      <c r="AM1724" s="12"/>
      <c r="AN1724" s="12"/>
      <c r="AO1724" s="12"/>
      <c r="AP1724" s="12"/>
    </row>
    <row r="1725" spans="1:42" ht="45">
      <c r="A1725" t="s">
        <v>5917</v>
      </c>
      <c r="B1725" s="8"/>
      <c r="C1725" s="8" t="s">
        <v>5918</v>
      </c>
      <c r="D1725" s="8" t="s">
        <v>896</v>
      </c>
      <c r="E1725" s="8" t="s">
        <v>94</v>
      </c>
      <c r="F1725" s="8" t="s">
        <v>5918</v>
      </c>
      <c r="G1725" s="8" t="s">
        <v>1864</v>
      </c>
      <c r="H1725" s="9">
        <v>3000000</v>
      </c>
      <c r="I1725" s="9">
        <f>[1]!Tabel1[[#This Row],[Honorar]]*[1]!Tabel1[[#This Row],[Sandsynlighed]]</f>
        <v>25000</v>
      </c>
      <c r="J1725" s="10" t="s">
        <v>342</v>
      </c>
      <c r="K1725" s="1" t="s">
        <v>1323</v>
      </c>
      <c r="L1725" s="17" t="s">
        <v>3013</v>
      </c>
      <c r="M1725" s="11">
        <v>0.01</v>
      </c>
      <c r="N1725" s="1"/>
      <c r="O1725" s="10">
        <v>46279.616863425923</v>
      </c>
      <c r="P1725" s="10" t="s">
        <v>4507</v>
      </c>
      <c r="Q1725" s="1" t="s">
        <v>72</v>
      </c>
      <c r="R1725" s="8" t="s">
        <v>1052</v>
      </c>
      <c r="S172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2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2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2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2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2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2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2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2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2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2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2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2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25" s="12">
        <f ca="1">[1]!Tabel1[[#This Row],[Vægtet Honorar]]*([1]!Tabel1[[#This Row],[Sidst redigeret]]&gt;TODAY()-40)*([1]!Tabel1[[#This Row],[Er i resplan?]]&lt;&gt;"Ja")*([1]!Tabel1[[#This Row],[Status]]="Pågår")</f>
        <v>25000</v>
      </c>
      <c r="AG1725" s="12">
        <f ca="1">[1]!Tabel1[[#This Row],[Vægtet Honorar]]*([1]!Tabel1[[#This Row],[Sidst redigeret]]&gt;TODAY()-40)*([1]!Tabel1[[#This Row],[Status]]="Pågår")</f>
        <v>25000</v>
      </c>
      <c r="AH1725" s="13"/>
      <c r="AI1725" s="12"/>
      <c r="AJ1725" s="12" t="s">
        <v>1864</v>
      </c>
      <c r="AK1725" s="12"/>
      <c r="AL1725" s="12"/>
      <c r="AM1725" s="12"/>
      <c r="AN1725" s="12"/>
      <c r="AO1725" s="12"/>
      <c r="AP1725" s="12"/>
    </row>
    <row r="1726" spans="1:42">
      <c r="A1726" t="s">
        <v>5919</v>
      </c>
      <c r="B1726" s="8"/>
      <c r="C1726" s="8" t="s">
        <v>5920</v>
      </c>
      <c r="D1726" s="8" t="s">
        <v>158</v>
      </c>
      <c r="E1726" s="8" t="s">
        <v>167</v>
      </c>
      <c r="F1726" s="8" t="s">
        <v>5921</v>
      </c>
      <c r="G1726" s="8" t="s">
        <v>4090</v>
      </c>
      <c r="H1726" s="9">
        <v>200000</v>
      </c>
      <c r="I1726" s="9">
        <f>[1]!Tabel1[[#This Row],[Honorar]]*[1]!Tabel1[[#This Row],[Sandsynlighed]]</f>
        <v>427500</v>
      </c>
      <c r="J1726" s="10" t="s">
        <v>1310</v>
      </c>
      <c r="K1726" s="1" t="s">
        <v>1861</v>
      </c>
      <c r="L1726" s="17"/>
      <c r="M1726" s="11">
        <v>0.01</v>
      </c>
      <c r="N1726" s="1"/>
      <c r="O1726" s="10">
        <v>46279.616863425923</v>
      </c>
      <c r="P1726" s="10" t="s">
        <v>4507</v>
      </c>
      <c r="Q1726" s="1" t="s">
        <v>72</v>
      </c>
      <c r="R1726" s="8" t="s">
        <v>343</v>
      </c>
      <c r="S172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2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2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2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2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2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2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2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2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2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2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2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2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26" s="12">
        <f ca="1">[1]!Tabel1[[#This Row],[Vægtet Honorar]]*([1]!Tabel1[[#This Row],[Sidst redigeret]]&gt;TODAY()-40)*([1]!Tabel1[[#This Row],[Er i resplan?]]&lt;&gt;"Ja")*([1]!Tabel1[[#This Row],[Status]]="Pågår")</f>
        <v>427500</v>
      </c>
      <c r="AG1726" s="12">
        <f ca="1">[1]!Tabel1[[#This Row],[Vægtet Honorar]]*([1]!Tabel1[[#This Row],[Sidst redigeret]]&gt;TODAY()-40)*([1]!Tabel1[[#This Row],[Status]]="Pågår")</f>
        <v>427500</v>
      </c>
      <c r="AH1726" s="13"/>
      <c r="AI1726" s="12"/>
      <c r="AJ1726" s="12" t="s">
        <v>1864</v>
      </c>
      <c r="AK1726" s="12"/>
      <c r="AL1726" s="12"/>
      <c r="AM1726" s="12"/>
      <c r="AN1726" s="12"/>
      <c r="AO1726" s="12"/>
      <c r="AP1726" s="12"/>
    </row>
    <row r="1727" spans="1:42" ht="45">
      <c r="A1727" t="s">
        <v>5922</v>
      </c>
      <c r="B1727" s="8"/>
      <c r="C1727" s="8" t="s">
        <v>5923</v>
      </c>
      <c r="D1727" s="8" t="s">
        <v>896</v>
      </c>
      <c r="E1727" s="8" t="s">
        <v>94</v>
      </c>
      <c r="F1727" s="8" t="s">
        <v>5924</v>
      </c>
      <c r="G1727" s="8" t="s">
        <v>5924</v>
      </c>
      <c r="H1727" s="9">
        <v>200000</v>
      </c>
      <c r="I1727" s="9">
        <f>[1]!Tabel1[[#This Row],[Honorar]]*[1]!Tabel1[[#This Row],[Sandsynlighed]]</f>
        <v>10000</v>
      </c>
      <c r="J1727" s="10" t="s">
        <v>1310</v>
      </c>
      <c r="K1727" s="1" t="s">
        <v>1861</v>
      </c>
      <c r="L1727" s="17" t="s">
        <v>5925</v>
      </c>
      <c r="M1727" s="11">
        <v>0.01</v>
      </c>
      <c r="N1727" s="1"/>
      <c r="O1727" s="10">
        <v>46279.616863425923</v>
      </c>
      <c r="P1727" s="10" t="s">
        <v>4507</v>
      </c>
      <c r="Q1727" s="1" t="s">
        <v>72</v>
      </c>
      <c r="R1727" s="8" t="s">
        <v>343</v>
      </c>
      <c r="S172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2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2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2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2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2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2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2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2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2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2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2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2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27" s="12">
        <f ca="1">[1]!Tabel1[[#This Row],[Vægtet Honorar]]*([1]!Tabel1[[#This Row],[Sidst redigeret]]&gt;TODAY()-40)*([1]!Tabel1[[#This Row],[Er i resplan?]]&lt;&gt;"Ja")*([1]!Tabel1[[#This Row],[Status]]="Pågår")</f>
        <v>10000</v>
      </c>
      <c r="AG1727" s="12">
        <f ca="1">[1]!Tabel1[[#This Row],[Vægtet Honorar]]*([1]!Tabel1[[#This Row],[Sidst redigeret]]&gt;TODAY()-40)*([1]!Tabel1[[#This Row],[Status]]="Pågår")</f>
        <v>10000</v>
      </c>
      <c r="AH1727" s="13"/>
      <c r="AI1727" s="12"/>
      <c r="AJ1727" s="12" t="s">
        <v>1864</v>
      </c>
      <c r="AK1727" s="12"/>
      <c r="AL1727" s="12"/>
      <c r="AM1727" s="12"/>
      <c r="AN1727" s="12"/>
      <c r="AO1727" s="12"/>
      <c r="AP1727" s="12"/>
    </row>
    <row r="1728" spans="1:42">
      <c r="A1728" t="s">
        <v>5926</v>
      </c>
      <c r="B1728" s="8"/>
      <c r="C1728" s="8" t="s">
        <v>5927</v>
      </c>
      <c r="D1728" s="8" t="s">
        <v>4254</v>
      </c>
      <c r="E1728" s="8" t="s">
        <v>167</v>
      </c>
      <c r="F1728" s="8" t="s">
        <v>2450</v>
      </c>
      <c r="G1728" s="8" t="s">
        <v>2450</v>
      </c>
      <c r="H1728" s="9">
        <v>100000</v>
      </c>
      <c r="I1728" s="9">
        <f>[1]!Tabel1[[#This Row],[Honorar]]*[1]!Tabel1[[#This Row],[Sandsynlighed]]</f>
        <v>225000</v>
      </c>
      <c r="J1728" s="10" t="s">
        <v>1310</v>
      </c>
      <c r="K1728" s="1" t="s">
        <v>1062</v>
      </c>
      <c r="L1728" s="17"/>
      <c r="M1728" s="11">
        <v>0.5</v>
      </c>
      <c r="N1728" s="1"/>
      <c r="O1728" s="10">
        <v>46279.616863425923</v>
      </c>
      <c r="P1728" s="10" t="s">
        <v>4507</v>
      </c>
      <c r="Q1728" s="1" t="s">
        <v>72</v>
      </c>
      <c r="R1728" s="8" t="s">
        <v>343</v>
      </c>
      <c r="S172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2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2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2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2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2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2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2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2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2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2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2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2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28" s="12">
        <f ca="1">[1]!Tabel1[[#This Row],[Vægtet Honorar]]*([1]!Tabel1[[#This Row],[Sidst redigeret]]&gt;TODAY()-40)*([1]!Tabel1[[#This Row],[Er i resplan?]]&lt;&gt;"Ja")*([1]!Tabel1[[#This Row],[Status]]="Pågår")</f>
        <v>225000</v>
      </c>
      <c r="AG1728" s="12">
        <f ca="1">[1]!Tabel1[[#This Row],[Vægtet Honorar]]*([1]!Tabel1[[#This Row],[Sidst redigeret]]&gt;TODAY()-40)*([1]!Tabel1[[#This Row],[Status]]="Pågår")</f>
        <v>225000</v>
      </c>
      <c r="AH1728" s="13"/>
      <c r="AI1728" s="12"/>
      <c r="AJ1728" s="12" t="s">
        <v>1864</v>
      </c>
      <c r="AK1728" s="12"/>
      <c r="AL1728" s="12"/>
      <c r="AM1728" s="12"/>
      <c r="AN1728" s="12"/>
      <c r="AO1728" s="12"/>
      <c r="AP1728" s="12"/>
    </row>
    <row r="1729" spans="1:42" ht="45">
      <c r="A1729" t="s">
        <v>5928</v>
      </c>
      <c r="B1729" s="8"/>
      <c r="C1729" s="8" t="s">
        <v>5929</v>
      </c>
      <c r="D1729" s="8" t="s">
        <v>1623</v>
      </c>
      <c r="E1729" s="8" t="s">
        <v>102</v>
      </c>
      <c r="F1729" s="8" t="s">
        <v>1123</v>
      </c>
      <c r="G1729" s="8" t="s">
        <v>1123</v>
      </c>
      <c r="H1729" s="9">
        <v>800000</v>
      </c>
      <c r="I1729" s="9">
        <f>[1]!Tabel1[[#This Row],[Honorar]]*[1]!Tabel1[[#This Row],[Sandsynlighed]]</f>
        <v>150000</v>
      </c>
      <c r="J1729" s="10" t="s">
        <v>585</v>
      </c>
      <c r="K1729" s="1" t="s">
        <v>2405</v>
      </c>
      <c r="L1729" s="17" t="s">
        <v>5930</v>
      </c>
      <c r="M1729" s="11">
        <v>0.75</v>
      </c>
      <c r="N1729" s="1"/>
      <c r="O1729" s="10">
        <v>46279.616863425923</v>
      </c>
      <c r="P1729" s="10" t="s">
        <v>4507</v>
      </c>
      <c r="Q1729" s="1" t="s">
        <v>72</v>
      </c>
      <c r="R1729" s="8" t="s">
        <v>343</v>
      </c>
      <c r="S172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2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2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2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2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2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2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2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2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2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2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2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2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29" s="12">
        <f ca="1">[1]!Tabel1[[#This Row],[Vægtet Honorar]]*([1]!Tabel1[[#This Row],[Sidst redigeret]]&gt;TODAY()-40)*([1]!Tabel1[[#This Row],[Er i resplan?]]&lt;&gt;"Ja")*([1]!Tabel1[[#This Row],[Status]]="Pågår")</f>
        <v>0</v>
      </c>
      <c r="AG1729" s="12">
        <f ca="1">[1]!Tabel1[[#This Row],[Vægtet Honorar]]*([1]!Tabel1[[#This Row],[Sidst redigeret]]&gt;TODAY()-40)*([1]!Tabel1[[#This Row],[Status]]="Pågår")</f>
        <v>0</v>
      </c>
      <c r="AH1729" s="13"/>
      <c r="AI1729" s="12"/>
      <c r="AJ1729" s="12" t="s">
        <v>1864</v>
      </c>
      <c r="AK1729" s="12"/>
      <c r="AL1729" s="12"/>
      <c r="AM1729" s="12"/>
      <c r="AN1729" s="12"/>
      <c r="AO1729" s="12"/>
      <c r="AP1729" s="12"/>
    </row>
    <row r="1730" spans="1:42">
      <c r="A1730" t="s">
        <v>5931</v>
      </c>
      <c r="B1730" s="8"/>
      <c r="C1730" s="8" t="s">
        <v>5932</v>
      </c>
      <c r="D1730" s="8" t="s">
        <v>896</v>
      </c>
      <c r="E1730" s="8" t="s">
        <v>94</v>
      </c>
      <c r="F1730" s="8" t="s">
        <v>1954</v>
      </c>
      <c r="G1730" s="8" t="s">
        <v>5075</v>
      </c>
      <c r="H1730" s="9">
        <v>800000</v>
      </c>
      <c r="I1730" s="9">
        <f>[1]!Tabel1[[#This Row],[Honorar]]*[1]!Tabel1[[#This Row],[Sandsynlighed]]</f>
        <v>30000</v>
      </c>
      <c r="J1730" s="10" t="s">
        <v>585</v>
      </c>
      <c r="K1730" s="1" t="s">
        <v>2405</v>
      </c>
      <c r="L1730" s="17"/>
      <c r="M1730" s="11">
        <v>0.01</v>
      </c>
      <c r="N1730" s="1"/>
      <c r="O1730" s="10">
        <v>46279.616863425923</v>
      </c>
      <c r="P1730" s="10" t="s">
        <v>4507</v>
      </c>
      <c r="Q1730" s="1" t="s">
        <v>72</v>
      </c>
      <c r="R1730" s="8" t="s">
        <v>49</v>
      </c>
      <c r="S173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3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3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3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3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3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3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3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3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3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3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3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3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30" s="12">
        <f ca="1">[1]!Tabel1[[#This Row],[Vægtet Honorar]]*([1]!Tabel1[[#This Row],[Sidst redigeret]]&gt;TODAY()-40)*([1]!Tabel1[[#This Row],[Er i resplan?]]&lt;&gt;"Ja")*([1]!Tabel1[[#This Row],[Status]]="Pågår")</f>
        <v>0</v>
      </c>
      <c r="AG1730" s="12">
        <f ca="1">[1]!Tabel1[[#This Row],[Vægtet Honorar]]*([1]!Tabel1[[#This Row],[Sidst redigeret]]&gt;TODAY()-40)*([1]!Tabel1[[#This Row],[Status]]="Pågår")</f>
        <v>0</v>
      </c>
      <c r="AH1730" s="13"/>
      <c r="AI1730" s="12"/>
      <c r="AJ1730" s="12" t="s">
        <v>5075</v>
      </c>
      <c r="AK1730" s="12"/>
      <c r="AL1730" s="12"/>
      <c r="AM1730" s="12"/>
      <c r="AN1730" s="12"/>
      <c r="AO1730" s="12"/>
      <c r="AP1730" s="12"/>
    </row>
    <row r="1731" spans="1:42" ht="60">
      <c r="A1731" t="s">
        <v>5933</v>
      </c>
      <c r="B1731" s="8"/>
      <c r="C1731" s="8" t="s">
        <v>5934</v>
      </c>
      <c r="D1731" s="8" t="s">
        <v>896</v>
      </c>
      <c r="E1731" s="8" t="s">
        <v>94</v>
      </c>
      <c r="F1731" s="8" t="s">
        <v>5935</v>
      </c>
      <c r="G1731" s="8" t="s">
        <v>2967</v>
      </c>
      <c r="H1731" s="9">
        <v>800000</v>
      </c>
      <c r="I1731" s="9">
        <f>[1]!Tabel1[[#This Row],[Honorar]]*[1]!Tabel1[[#This Row],[Sandsynlighed]]</f>
        <v>2000</v>
      </c>
      <c r="J1731" s="10" t="s">
        <v>585</v>
      </c>
      <c r="K1731" s="1" t="s">
        <v>2405</v>
      </c>
      <c r="L1731" s="17" t="s">
        <v>5936</v>
      </c>
      <c r="M1731" s="11">
        <v>0.01</v>
      </c>
      <c r="N1731" s="1"/>
      <c r="O1731" s="10">
        <v>46279.616863425923</v>
      </c>
      <c r="P1731" s="10" t="s">
        <v>4507</v>
      </c>
      <c r="Q1731" s="1" t="s">
        <v>72</v>
      </c>
      <c r="R1731" s="8" t="s">
        <v>343</v>
      </c>
      <c r="S173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3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3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3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3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3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3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3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3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3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3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3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3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31" s="12">
        <f ca="1">[1]!Tabel1[[#This Row],[Vægtet Honorar]]*([1]!Tabel1[[#This Row],[Sidst redigeret]]&gt;TODAY()-40)*([1]!Tabel1[[#This Row],[Er i resplan?]]&lt;&gt;"Ja")*([1]!Tabel1[[#This Row],[Status]]="Pågår")</f>
        <v>2000</v>
      </c>
      <c r="AG1731" s="12">
        <f ca="1">[1]!Tabel1[[#This Row],[Vægtet Honorar]]*([1]!Tabel1[[#This Row],[Sidst redigeret]]&gt;TODAY()-40)*([1]!Tabel1[[#This Row],[Status]]="Pågår")</f>
        <v>2000</v>
      </c>
      <c r="AH1731" s="13"/>
      <c r="AI1731" s="12"/>
      <c r="AJ1731" s="12" t="s">
        <v>2967</v>
      </c>
      <c r="AK1731" s="12"/>
      <c r="AL1731" s="12"/>
      <c r="AM1731" s="12"/>
      <c r="AN1731" s="12"/>
      <c r="AO1731" s="12"/>
      <c r="AP1731" s="12"/>
    </row>
    <row r="1732" spans="1:42">
      <c r="A1732" t="s">
        <v>5937</v>
      </c>
      <c r="B1732" s="8"/>
      <c r="C1732" s="8" t="s">
        <v>5938</v>
      </c>
      <c r="D1732" s="8" t="s">
        <v>44</v>
      </c>
      <c r="E1732" s="8" t="s">
        <v>71</v>
      </c>
      <c r="F1732" s="8" t="s">
        <v>5938</v>
      </c>
      <c r="G1732" s="8" t="s">
        <v>5939</v>
      </c>
      <c r="H1732" s="9">
        <v>125000</v>
      </c>
      <c r="I1732" s="9">
        <f>[1]!Tabel1[[#This Row],[Honorar]]*[1]!Tabel1[[#This Row],[Sandsynlighed]]</f>
        <v>2000</v>
      </c>
      <c r="J1732" s="10" t="s">
        <v>1310</v>
      </c>
      <c r="K1732" s="1" t="s">
        <v>585</v>
      </c>
      <c r="L1732" s="17"/>
      <c r="M1732" s="11">
        <v>0.75</v>
      </c>
      <c r="N1732" s="1">
        <v>200</v>
      </c>
      <c r="O1732" s="10">
        <v>46279.616863425923</v>
      </c>
      <c r="P1732" s="10" t="s">
        <v>4507</v>
      </c>
      <c r="Q1732" s="1" t="s">
        <v>72</v>
      </c>
      <c r="R1732" s="8" t="s">
        <v>343</v>
      </c>
      <c r="S173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3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3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3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3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3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3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3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3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3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3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3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3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32" s="12">
        <f ca="1">[1]!Tabel1[[#This Row],[Vægtet Honorar]]*([1]!Tabel1[[#This Row],[Sidst redigeret]]&gt;TODAY()-40)*([1]!Tabel1[[#This Row],[Er i resplan?]]&lt;&gt;"Ja")*([1]!Tabel1[[#This Row],[Status]]="Pågår")</f>
        <v>2000</v>
      </c>
      <c r="AG1732" s="12">
        <f ca="1">[1]!Tabel1[[#This Row],[Vægtet Honorar]]*([1]!Tabel1[[#This Row],[Sidst redigeret]]&gt;TODAY()-40)*([1]!Tabel1[[#This Row],[Status]]="Pågår")</f>
        <v>2000</v>
      </c>
      <c r="AH1732" s="13"/>
      <c r="AI1732" s="12"/>
      <c r="AJ1732" s="12" t="s">
        <v>2967</v>
      </c>
      <c r="AK1732" s="12"/>
      <c r="AL1732" s="12"/>
      <c r="AM1732" s="12"/>
      <c r="AN1732" s="12"/>
      <c r="AO1732" s="12"/>
      <c r="AP1732" s="12"/>
    </row>
    <row r="1733" spans="1:42" ht="60">
      <c r="A1733" t="s">
        <v>5940</v>
      </c>
      <c r="B1733" s="8"/>
      <c r="C1733" s="8" t="s">
        <v>5941</v>
      </c>
      <c r="D1733" s="8" t="s">
        <v>5488</v>
      </c>
      <c r="E1733" s="8" t="s">
        <v>71</v>
      </c>
      <c r="F1733" s="8" t="s">
        <v>5942</v>
      </c>
      <c r="G1733" s="8" t="s">
        <v>5942</v>
      </c>
      <c r="H1733" s="9">
        <v>175000</v>
      </c>
      <c r="I1733" s="9">
        <f>[1]!Tabel1[[#This Row],[Honorar]]*[1]!Tabel1[[#This Row],[Sandsynlighed]]</f>
        <v>50000</v>
      </c>
      <c r="J1733" s="10" t="s">
        <v>585</v>
      </c>
      <c r="K1733" s="1" t="s">
        <v>612</v>
      </c>
      <c r="L1733" s="17" t="s">
        <v>5943</v>
      </c>
      <c r="M1733" s="11">
        <v>0.75</v>
      </c>
      <c r="N1733" s="1"/>
      <c r="O1733" s="10">
        <v>46279.616863425923</v>
      </c>
      <c r="P1733" s="10" t="s">
        <v>4507</v>
      </c>
      <c r="Q1733" s="1" t="s">
        <v>72</v>
      </c>
      <c r="R1733" s="8" t="s">
        <v>343</v>
      </c>
      <c r="S173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3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3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3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3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3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3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3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3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3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3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3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3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33" s="12">
        <f ca="1">[1]!Tabel1[[#This Row],[Vægtet Honorar]]*([1]!Tabel1[[#This Row],[Sidst redigeret]]&gt;TODAY()-40)*([1]!Tabel1[[#This Row],[Er i resplan?]]&lt;&gt;"Ja")*([1]!Tabel1[[#This Row],[Status]]="Pågår")</f>
        <v>50000</v>
      </c>
      <c r="AG1733" s="12">
        <f ca="1">[1]!Tabel1[[#This Row],[Vægtet Honorar]]*([1]!Tabel1[[#This Row],[Sidst redigeret]]&gt;TODAY()-40)*([1]!Tabel1[[#This Row],[Status]]="Pågår")</f>
        <v>50000</v>
      </c>
      <c r="AH1733" s="13"/>
      <c r="AI1733" s="12"/>
      <c r="AJ1733" s="12" t="s">
        <v>2967</v>
      </c>
      <c r="AK1733" s="12"/>
      <c r="AL1733" s="12"/>
      <c r="AM1733" s="12"/>
      <c r="AN1733" s="12"/>
      <c r="AO1733" s="12"/>
      <c r="AP1733" s="12"/>
    </row>
    <row r="1734" spans="1:42" ht="60">
      <c r="A1734" t="s">
        <v>5944</v>
      </c>
      <c r="B1734" s="8"/>
      <c r="C1734" s="8" t="s">
        <v>5945</v>
      </c>
      <c r="D1734" s="8" t="s">
        <v>2377</v>
      </c>
      <c r="E1734" s="8" t="s">
        <v>94</v>
      </c>
      <c r="F1734" s="8" t="s">
        <v>5945</v>
      </c>
      <c r="G1734" s="8" t="s">
        <v>460</v>
      </c>
      <c r="H1734" s="9">
        <v>150000</v>
      </c>
      <c r="I1734" s="9">
        <f>[1]!Tabel1[[#This Row],[Honorar]]*[1]!Tabel1[[#This Row],[Sandsynlighed]]</f>
        <v>600000</v>
      </c>
      <c r="J1734" s="10" t="s">
        <v>585</v>
      </c>
      <c r="K1734" s="1" t="s">
        <v>342</v>
      </c>
      <c r="L1734" s="17" t="s">
        <v>5946</v>
      </c>
      <c r="M1734" s="11">
        <v>0.85</v>
      </c>
      <c r="N1734" s="1"/>
      <c r="O1734" s="10">
        <v>46279.616863425923</v>
      </c>
      <c r="P1734" s="10" t="s">
        <v>46</v>
      </c>
      <c r="Q1734" s="1" t="s">
        <v>72</v>
      </c>
      <c r="R1734" s="8" t="s">
        <v>343</v>
      </c>
      <c r="S173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3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3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3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3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3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3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3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3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3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3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3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3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34" s="12">
        <f ca="1">[1]!Tabel1[[#This Row],[Vægtet Honorar]]*([1]!Tabel1[[#This Row],[Sidst redigeret]]&gt;TODAY()-40)*([1]!Tabel1[[#This Row],[Er i resplan?]]&lt;&gt;"Ja")*([1]!Tabel1[[#This Row],[Status]]="Pågår")</f>
        <v>600000</v>
      </c>
      <c r="AG1734" s="12">
        <f ca="1">[1]!Tabel1[[#This Row],[Vægtet Honorar]]*([1]!Tabel1[[#This Row],[Sidst redigeret]]&gt;TODAY()-40)*([1]!Tabel1[[#This Row],[Status]]="Pågår")</f>
        <v>600000</v>
      </c>
      <c r="AH1734" s="13"/>
      <c r="AI1734" s="12"/>
      <c r="AJ1734" s="12"/>
      <c r="AK1734" s="12"/>
      <c r="AL1734" s="12"/>
      <c r="AM1734" s="12"/>
      <c r="AN1734" s="12"/>
      <c r="AO1734" s="12"/>
      <c r="AP1734" s="12"/>
    </row>
    <row r="1735" spans="1:42">
      <c r="A1735" t="s">
        <v>5947</v>
      </c>
      <c r="B1735" s="8"/>
      <c r="C1735" s="8" t="s">
        <v>5948</v>
      </c>
      <c r="D1735" s="8" t="s">
        <v>2886</v>
      </c>
      <c r="E1735" s="8" t="s">
        <v>120</v>
      </c>
      <c r="F1735" s="8" t="s">
        <v>2687</v>
      </c>
      <c r="G1735" s="8" t="s">
        <v>5949</v>
      </c>
      <c r="H1735" s="9">
        <v>2500000</v>
      </c>
      <c r="I1735" s="9">
        <f>[1]!Tabel1[[#This Row],[Honorar]]*[1]!Tabel1[[#This Row],[Sandsynlighed]]</f>
        <v>8000</v>
      </c>
      <c r="J1735" s="10" t="s">
        <v>1062</v>
      </c>
      <c r="K1735" s="1" t="s">
        <v>2105</v>
      </c>
      <c r="L1735" s="17"/>
      <c r="M1735" s="11">
        <v>0.05</v>
      </c>
      <c r="N1735" s="1"/>
      <c r="O1735" s="10">
        <v>46279.616863425923</v>
      </c>
      <c r="P1735" s="10" t="s">
        <v>46</v>
      </c>
      <c r="Q1735" s="1" t="s">
        <v>72</v>
      </c>
      <c r="R1735" s="8" t="s">
        <v>343</v>
      </c>
      <c r="S173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3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3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3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3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3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3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3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3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3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3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3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3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35" s="12">
        <f ca="1">[1]!Tabel1[[#This Row],[Vægtet Honorar]]*([1]!Tabel1[[#This Row],[Sidst redigeret]]&gt;TODAY()-40)*([1]!Tabel1[[#This Row],[Er i resplan?]]&lt;&gt;"Ja")*([1]!Tabel1[[#This Row],[Status]]="Pågår")</f>
        <v>0</v>
      </c>
      <c r="AG1735" s="12">
        <f ca="1">[1]!Tabel1[[#This Row],[Vægtet Honorar]]*([1]!Tabel1[[#This Row],[Sidst redigeret]]&gt;TODAY()-40)*([1]!Tabel1[[#This Row],[Status]]="Pågår")</f>
        <v>0</v>
      </c>
      <c r="AH1735" s="13"/>
      <c r="AI1735" s="12"/>
      <c r="AJ1735" s="12" t="s">
        <v>2917</v>
      </c>
      <c r="AK1735" s="12"/>
      <c r="AL1735" s="12"/>
      <c r="AM1735" s="12"/>
      <c r="AN1735" s="12"/>
      <c r="AO1735" s="12"/>
      <c r="AP1735" s="12"/>
    </row>
    <row r="1736" spans="1:42">
      <c r="A1736" t="s">
        <v>5950</v>
      </c>
      <c r="B1736" s="8"/>
      <c r="C1736" s="8" t="s">
        <v>5951</v>
      </c>
      <c r="D1736" s="8" t="s">
        <v>5952</v>
      </c>
      <c r="E1736" s="8"/>
      <c r="F1736" s="8" t="s">
        <v>4426</v>
      </c>
      <c r="G1736" s="8" t="s">
        <v>1100</v>
      </c>
      <c r="H1736" s="9"/>
      <c r="I1736" s="9">
        <f>[1]!Tabel1[[#This Row],[Honorar]]*[1]!Tabel1[[#This Row],[Sandsynlighed]]</f>
        <v>8000</v>
      </c>
      <c r="J1736" s="10"/>
      <c r="K1736" s="1"/>
      <c r="L1736" s="17"/>
      <c r="M1736" s="11"/>
      <c r="N1736" s="1"/>
      <c r="O1736" s="10">
        <v>46279.616863425923</v>
      </c>
      <c r="P1736" s="10"/>
      <c r="Q1736" s="1"/>
      <c r="R1736" s="8"/>
      <c r="S173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3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3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3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3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3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3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3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3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3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3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3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3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36" s="12">
        <f ca="1">[1]!Tabel1[[#This Row],[Vægtet Honorar]]*([1]!Tabel1[[#This Row],[Sidst redigeret]]&gt;TODAY()-40)*([1]!Tabel1[[#This Row],[Er i resplan?]]&lt;&gt;"Ja")*([1]!Tabel1[[#This Row],[Status]]="Pågår")</f>
        <v>8000</v>
      </c>
      <c r="AG1736" s="12">
        <f ca="1">[1]!Tabel1[[#This Row],[Vægtet Honorar]]*([1]!Tabel1[[#This Row],[Sidst redigeret]]&gt;TODAY()-40)*([1]!Tabel1[[#This Row],[Status]]="Pågår")</f>
        <v>8000</v>
      </c>
      <c r="AH1736" s="13"/>
      <c r="AI1736" s="12"/>
      <c r="AJ1736" s="12"/>
      <c r="AK1736" s="12"/>
      <c r="AL1736" s="12"/>
      <c r="AM1736" s="12"/>
      <c r="AN1736" s="12"/>
      <c r="AO1736" s="12"/>
      <c r="AP1736" s="12"/>
    </row>
    <row r="1737" spans="1:42">
      <c r="A1737" t="s">
        <v>5953</v>
      </c>
      <c r="B1737" s="8"/>
      <c r="C1737" s="8" t="s">
        <v>5954</v>
      </c>
      <c r="D1737" s="8" t="s">
        <v>203</v>
      </c>
      <c r="E1737" s="8" t="s">
        <v>167</v>
      </c>
      <c r="F1737" s="8" t="s">
        <v>4496</v>
      </c>
      <c r="G1737" s="8" t="s">
        <v>4496</v>
      </c>
      <c r="H1737" s="9">
        <v>15000000</v>
      </c>
      <c r="I1737" s="9">
        <f>[1]!Tabel1[[#This Row],[Honorar]]*[1]!Tabel1[[#This Row],[Sandsynlighed]]</f>
        <v>93750</v>
      </c>
      <c r="J1737" s="10" t="s">
        <v>1310</v>
      </c>
      <c r="K1737" s="1" t="s">
        <v>898</v>
      </c>
      <c r="L1737" s="17"/>
      <c r="M1737" s="11">
        <v>1</v>
      </c>
      <c r="N1737" s="1" t="s">
        <v>5955</v>
      </c>
      <c r="O1737" s="10">
        <v>46279.616863425923</v>
      </c>
      <c r="P1737" s="10" t="s">
        <v>46</v>
      </c>
      <c r="Q1737" s="1" t="s">
        <v>4507</v>
      </c>
      <c r="R1737" s="8" t="s">
        <v>4031</v>
      </c>
      <c r="S173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3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3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3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3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3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3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3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3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3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3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3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3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37" s="12">
        <f ca="1">[1]!Tabel1[[#This Row],[Vægtet Honorar]]*([1]!Tabel1[[#This Row],[Sidst redigeret]]&gt;TODAY()-40)*([1]!Tabel1[[#This Row],[Er i resplan?]]&lt;&gt;"Ja")*([1]!Tabel1[[#This Row],[Status]]="Pågår")</f>
        <v>93750</v>
      </c>
      <c r="AG1737" s="12">
        <f ca="1">[1]!Tabel1[[#This Row],[Vægtet Honorar]]*([1]!Tabel1[[#This Row],[Sidst redigeret]]&gt;TODAY()-40)*([1]!Tabel1[[#This Row],[Status]]="Pågår")</f>
        <v>93750</v>
      </c>
      <c r="AH1737" s="13">
        <v>46183.345439814817</v>
      </c>
      <c r="AI1737" s="12"/>
      <c r="AJ1737" s="12" t="s">
        <v>5956</v>
      </c>
      <c r="AK1737" s="12"/>
      <c r="AL1737" s="12"/>
      <c r="AM1737" s="12"/>
      <c r="AN1737" s="12"/>
      <c r="AO1737" s="12"/>
      <c r="AP1737" s="12"/>
    </row>
    <row r="1738" spans="1:42">
      <c r="A1738" t="s">
        <v>5957</v>
      </c>
      <c r="B1738" s="8"/>
      <c r="C1738" s="8" t="s">
        <v>4287</v>
      </c>
      <c r="D1738" s="8" t="s">
        <v>5958</v>
      </c>
      <c r="E1738" s="8" t="s">
        <v>120</v>
      </c>
      <c r="F1738" s="8" t="s">
        <v>2522</v>
      </c>
      <c r="G1738" s="8" t="s">
        <v>2522</v>
      </c>
      <c r="H1738" s="9">
        <v>200000</v>
      </c>
      <c r="I1738" s="9">
        <f>[1]!Tabel1[[#This Row],[Honorar]]*[1]!Tabel1[[#This Row],[Sandsynlighed]]</f>
        <v>131250</v>
      </c>
      <c r="J1738" s="10" t="s">
        <v>1310</v>
      </c>
      <c r="K1738" s="1" t="s">
        <v>2405</v>
      </c>
      <c r="L1738" s="17"/>
      <c r="M1738" s="11">
        <v>0.5</v>
      </c>
      <c r="N1738" s="1"/>
      <c r="O1738" s="10">
        <v>46279.616863425923</v>
      </c>
      <c r="P1738" s="10" t="s">
        <v>46</v>
      </c>
      <c r="Q1738" s="1" t="s">
        <v>46</v>
      </c>
      <c r="R1738" s="8" t="s">
        <v>4031</v>
      </c>
      <c r="S173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3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3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3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3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3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3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3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3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3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3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3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3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38" s="12">
        <f ca="1">[1]!Tabel1[[#This Row],[Vægtet Honorar]]*([1]!Tabel1[[#This Row],[Sidst redigeret]]&gt;TODAY()-40)*([1]!Tabel1[[#This Row],[Er i resplan?]]&lt;&gt;"Ja")*([1]!Tabel1[[#This Row],[Status]]="Pågår")</f>
        <v>131250</v>
      </c>
      <c r="AG1738" s="12">
        <f ca="1">[1]!Tabel1[[#This Row],[Vægtet Honorar]]*([1]!Tabel1[[#This Row],[Sidst redigeret]]&gt;TODAY()-40)*([1]!Tabel1[[#This Row],[Status]]="Pågår")</f>
        <v>131250</v>
      </c>
      <c r="AH1738" s="13">
        <v>46269.501030092593</v>
      </c>
      <c r="AI1738" s="12"/>
      <c r="AJ1738" s="12" t="s">
        <v>5956</v>
      </c>
      <c r="AK1738" s="12"/>
      <c r="AL1738" s="12"/>
      <c r="AM1738" s="12"/>
      <c r="AN1738" s="12"/>
      <c r="AO1738" s="12"/>
      <c r="AP1738" s="12"/>
    </row>
    <row r="1739" spans="1:42" ht="135">
      <c r="A1739" t="s">
        <v>5959</v>
      </c>
      <c r="B1739" s="8"/>
      <c r="C1739" s="8" t="s">
        <v>5960</v>
      </c>
      <c r="D1739" s="8" t="s">
        <v>896</v>
      </c>
      <c r="E1739" s="8" t="s">
        <v>94</v>
      </c>
      <c r="F1739" s="8" t="s">
        <v>589</v>
      </c>
      <c r="G1739" s="8" t="s">
        <v>589</v>
      </c>
      <c r="H1739" s="9">
        <v>200000</v>
      </c>
      <c r="I1739" s="9">
        <f>[1]!Tabel1[[#This Row],[Honorar]]*[1]!Tabel1[[#This Row],[Sandsynlighed]]</f>
        <v>127500</v>
      </c>
      <c r="J1739" s="10" t="s">
        <v>1310</v>
      </c>
      <c r="K1739" s="1" t="s">
        <v>2405</v>
      </c>
      <c r="L1739" s="17" t="s">
        <v>5961</v>
      </c>
      <c r="M1739" s="11">
        <v>0.01</v>
      </c>
      <c r="N1739" s="1"/>
      <c r="O1739" s="10">
        <v>46279.616875</v>
      </c>
      <c r="P1739" s="10" t="s">
        <v>46</v>
      </c>
      <c r="Q1739" s="1" t="s">
        <v>46</v>
      </c>
      <c r="R1739" s="8" t="s">
        <v>1052</v>
      </c>
      <c r="S173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3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3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3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3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3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3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3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3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3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3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3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3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39" s="12">
        <f ca="1">[1]!Tabel1[[#This Row],[Vægtet Honorar]]*([1]!Tabel1[[#This Row],[Sidst redigeret]]&gt;TODAY()-40)*([1]!Tabel1[[#This Row],[Er i resplan?]]&lt;&gt;"Ja")*([1]!Tabel1[[#This Row],[Status]]="Pågår")</f>
        <v>127500</v>
      </c>
      <c r="AG1739" s="12">
        <f ca="1">[1]!Tabel1[[#This Row],[Vægtet Honorar]]*([1]!Tabel1[[#This Row],[Sidst redigeret]]&gt;TODAY()-40)*([1]!Tabel1[[#This Row],[Status]]="Pågår")</f>
        <v>127500</v>
      </c>
      <c r="AH1739" s="13"/>
      <c r="AI1739" s="12"/>
      <c r="AJ1739" s="12" t="s">
        <v>2107</v>
      </c>
      <c r="AK1739" s="12"/>
      <c r="AL1739" s="12"/>
      <c r="AM1739" s="12"/>
      <c r="AN1739" s="12"/>
      <c r="AO1739" s="12"/>
      <c r="AP1739" s="12"/>
    </row>
    <row r="1740" spans="1:42">
      <c r="A1740" t="s">
        <v>5962</v>
      </c>
      <c r="B1740" s="8"/>
      <c r="C1740" s="8" t="s">
        <v>5963</v>
      </c>
      <c r="D1740" s="8" t="s">
        <v>720</v>
      </c>
      <c r="E1740" s="8" t="s">
        <v>71</v>
      </c>
      <c r="F1740" s="8" t="s">
        <v>1833</v>
      </c>
      <c r="G1740" s="8" t="s">
        <v>3082</v>
      </c>
      <c r="H1740" s="9">
        <v>2000000</v>
      </c>
      <c r="I1740" s="9">
        <f>[1]!Tabel1[[#This Row],[Honorar]]*[1]!Tabel1[[#This Row],[Sandsynlighed]]</f>
        <v>125000</v>
      </c>
      <c r="J1740" s="10" t="s">
        <v>1062</v>
      </c>
      <c r="K1740" s="1" t="s">
        <v>2105</v>
      </c>
      <c r="L1740" s="17"/>
      <c r="M1740" s="11">
        <v>0.01</v>
      </c>
      <c r="N1740" s="1"/>
      <c r="O1740" s="10">
        <v>46279.616875</v>
      </c>
      <c r="P1740" s="10" t="s">
        <v>46</v>
      </c>
      <c r="Q1740" s="1" t="s">
        <v>46</v>
      </c>
      <c r="R1740" s="8" t="s">
        <v>343</v>
      </c>
      <c r="S174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4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4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4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4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4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4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4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4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4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4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4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4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40" s="12">
        <f ca="1">[1]!Tabel1[[#This Row],[Vægtet Honorar]]*([1]!Tabel1[[#This Row],[Sidst redigeret]]&gt;TODAY()-40)*([1]!Tabel1[[#This Row],[Er i resplan?]]&lt;&gt;"Ja")*([1]!Tabel1[[#This Row],[Status]]="Pågår")</f>
        <v>125000</v>
      </c>
      <c r="AG1740" s="12">
        <f ca="1">[1]!Tabel1[[#This Row],[Vægtet Honorar]]*([1]!Tabel1[[#This Row],[Sidst redigeret]]&gt;TODAY()-40)*([1]!Tabel1[[#This Row],[Status]]="Pågår")</f>
        <v>125000</v>
      </c>
      <c r="AH1740" s="13"/>
      <c r="AI1740" s="12"/>
      <c r="AJ1740" s="12" t="s">
        <v>3082</v>
      </c>
      <c r="AK1740" s="12"/>
      <c r="AL1740" s="12"/>
      <c r="AM1740" s="12"/>
      <c r="AN1740" s="12"/>
      <c r="AO1740" s="12"/>
      <c r="AP1740" s="12"/>
    </row>
    <row r="1741" spans="1:42">
      <c r="A1741" t="s">
        <v>5964</v>
      </c>
      <c r="B1741" s="8"/>
      <c r="C1741" s="8" t="s">
        <v>5965</v>
      </c>
      <c r="D1741" s="8" t="s">
        <v>2886</v>
      </c>
      <c r="E1741" s="8"/>
      <c r="F1741" s="8"/>
      <c r="G1741" s="8"/>
      <c r="H1741" s="9"/>
      <c r="I1741" s="9">
        <f>[1]!Tabel1[[#This Row],[Honorar]]*[1]!Tabel1[[#This Row],[Sandsynlighed]]</f>
        <v>0</v>
      </c>
      <c r="J1741" s="10"/>
      <c r="K1741" s="1"/>
      <c r="L1741" s="17"/>
      <c r="M1741" s="11"/>
      <c r="N1741" s="1"/>
      <c r="O1741" s="10">
        <v>46279.616875</v>
      </c>
      <c r="P1741" s="10"/>
      <c r="Q1741" s="1"/>
      <c r="R1741" s="8"/>
      <c r="S174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4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4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4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4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4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4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4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4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4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4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4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4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41" s="12">
        <f ca="1">[1]!Tabel1[[#This Row],[Vægtet Honorar]]*([1]!Tabel1[[#This Row],[Sidst redigeret]]&gt;TODAY()-40)*([1]!Tabel1[[#This Row],[Er i resplan?]]&lt;&gt;"Ja")*([1]!Tabel1[[#This Row],[Status]]="Pågår")</f>
        <v>0</v>
      </c>
      <c r="AG1741" s="12">
        <f ca="1">[1]!Tabel1[[#This Row],[Vægtet Honorar]]*([1]!Tabel1[[#This Row],[Sidst redigeret]]&gt;TODAY()-40)*([1]!Tabel1[[#This Row],[Status]]="Pågår")</f>
        <v>0</v>
      </c>
      <c r="AH1741" s="13"/>
      <c r="AI1741" s="12"/>
      <c r="AJ1741" s="12"/>
      <c r="AK1741" s="12"/>
      <c r="AL1741" s="12"/>
      <c r="AM1741" s="12"/>
      <c r="AN1741" s="12"/>
      <c r="AO1741" s="12"/>
      <c r="AP1741" s="12"/>
    </row>
    <row r="1742" spans="1:42">
      <c r="A1742" t="s">
        <v>5966</v>
      </c>
      <c r="B1742" s="8"/>
      <c r="C1742" s="8" t="s">
        <v>5967</v>
      </c>
      <c r="D1742" s="8" t="s">
        <v>720</v>
      </c>
      <c r="E1742" s="8" t="s">
        <v>71</v>
      </c>
      <c r="F1742" s="8" t="s">
        <v>5968</v>
      </c>
      <c r="G1742" s="8" t="s">
        <v>5968</v>
      </c>
      <c r="H1742" s="9">
        <v>2000000</v>
      </c>
      <c r="I1742" s="9">
        <f>[1]!Tabel1[[#This Row],[Honorar]]*[1]!Tabel1[[#This Row],[Sandsynlighed]]</f>
        <v>15000000</v>
      </c>
      <c r="J1742" s="10" t="s">
        <v>1323</v>
      </c>
      <c r="K1742" s="1" t="s">
        <v>2105</v>
      </c>
      <c r="L1742" s="17"/>
      <c r="M1742" s="11">
        <v>0.5</v>
      </c>
      <c r="N1742" s="1">
        <v>300</v>
      </c>
      <c r="O1742" s="10">
        <v>46279.616875</v>
      </c>
      <c r="P1742" s="10" t="s">
        <v>46</v>
      </c>
      <c r="Q1742" s="1" t="s">
        <v>46</v>
      </c>
      <c r="R1742" s="8" t="s">
        <v>343</v>
      </c>
      <c r="S174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4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4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4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4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4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4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4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4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4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4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4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4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42" s="12">
        <f ca="1">[1]!Tabel1[[#This Row],[Vægtet Honorar]]*([1]!Tabel1[[#This Row],[Sidst redigeret]]&gt;TODAY()-40)*([1]!Tabel1[[#This Row],[Er i resplan?]]&lt;&gt;"Ja")*([1]!Tabel1[[#This Row],[Status]]="Pågår")</f>
        <v>0</v>
      </c>
      <c r="AG1742" s="12">
        <f ca="1">[1]!Tabel1[[#This Row],[Vægtet Honorar]]*([1]!Tabel1[[#This Row],[Sidst redigeret]]&gt;TODAY()-40)*([1]!Tabel1[[#This Row],[Status]]="Pågår")</f>
        <v>0</v>
      </c>
      <c r="AH1742" s="13"/>
      <c r="AI1742" s="12"/>
      <c r="AJ1742" s="12" t="s">
        <v>2695</v>
      </c>
      <c r="AK1742" s="12"/>
      <c r="AL1742" s="12"/>
      <c r="AM1742" s="12"/>
      <c r="AN1742" s="12"/>
      <c r="AO1742" s="12"/>
      <c r="AP1742" s="12"/>
    </row>
    <row r="1743" spans="1:42" ht="210">
      <c r="A1743" t="s">
        <v>5969</v>
      </c>
      <c r="B1743" s="8"/>
      <c r="C1743" s="8" t="s">
        <v>5970</v>
      </c>
      <c r="D1743" s="8" t="s">
        <v>896</v>
      </c>
      <c r="E1743" s="8" t="s">
        <v>94</v>
      </c>
      <c r="F1743" s="8" t="s">
        <v>5970</v>
      </c>
      <c r="G1743" s="8" t="s">
        <v>2695</v>
      </c>
      <c r="H1743" s="9">
        <v>15000000</v>
      </c>
      <c r="I1743" s="9">
        <f>[1]!Tabel1[[#This Row],[Honorar]]*[1]!Tabel1[[#This Row],[Sandsynlighed]]</f>
        <v>100000</v>
      </c>
      <c r="J1743" s="10" t="s">
        <v>1323</v>
      </c>
      <c r="K1743" s="1" t="s">
        <v>2105</v>
      </c>
      <c r="L1743" s="17" t="s">
        <v>5971</v>
      </c>
      <c r="M1743" s="11">
        <v>0.19</v>
      </c>
      <c r="N1743" s="1">
        <v>300</v>
      </c>
      <c r="O1743" s="10">
        <v>46279.616875</v>
      </c>
      <c r="P1743" s="10" t="s">
        <v>46</v>
      </c>
      <c r="Q1743" s="1" t="s">
        <v>46</v>
      </c>
      <c r="R1743" s="8" t="s">
        <v>343</v>
      </c>
      <c r="S174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4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4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4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4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4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4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4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4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4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4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4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4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43" s="12">
        <f ca="1">[1]!Tabel1[[#This Row],[Vægtet Honorar]]*([1]!Tabel1[[#This Row],[Sidst redigeret]]&gt;TODAY()-40)*([1]!Tabel1[[#This Row],[Er i resplan?]]&lt;&gt;"Ja")*([1]!Tabel1[[#This Row],[Status]]="Pågår")</f>
        <v>0</v>
      </c>
      <c r="AG1743" s="12">
        <f ca="1">[1]!Tabel1[[#This Row],[Vægtet Honorar]]*([1]!Tabel1[[#This Row],[Sidst redigeret]]&gt;TODAY()-40)*([1]!Tabel1[[#This Row],[Status]]="Pågår")</f>
        <v>0</v>
      </c>
      <c r="AH1743" s="13"/>
      <c r="AI1743" s="12"/>
      <c r="AJ1743" s="12" t="s">
        <v>2695</v>
      </c>
      <c r="AK1743" s="12"/>
      <c r="AL1743" s="12"/>
      <c r="AM1743" s="12"/>
      <c r="AN1743" s="12"/>
      <c r="AO1743" s="12"/>
      <c r="AP1743" s="12"/>
    </row>
    <row r="1744" spans="1:42">
      <c r="A1744" t="s">
        <v>5972</v>
      </c>
      <c r="B1744" s="8"/>
      <c r="C1744" s="8" t="s">
        <v>5973</v>
      </c>
      <c r="D1744" s="8" t="s">
        <v>203</v>
      </c>
      <c r="E1744" s="8" t="s">
        <v>167</v>
      </c>
      <c r="F1744" s="8" t="s">
        <v>2824</v>
      </c>
      <c r="G1744" s="8" t="s">
        <v>2825</v>
      </c>
      <c r="H1744" s="9">
        <v>500000</v>
      </c>
      <c r="I1744" s="9">
        <f>[1]!Tabel1[[#This Row],[Honorar]]*[1]!Tabel1[[#This Row],[Sandsynlighed]]</f>
        <v>2000</v>
      </c>
      <c r="J1744" s="10" t="s">
        <v>1310</v>
      </c>
      <c r="K1744" s="1" t="s">
        <v>1323</v>
      </c>
      <c r="L1744" s="17"/>
      <c r="M1744" s="11">
        <v>0.9</v>
      </c>
      <c r="N1744" s="1"/>
      <c r="O1744" s="10">
        <v>46279.616875</v>
      </c>
      <c r="P1744" s="10" t="s">
        <v>46</v>
      </c>
      <c r="Q1744" s="1" t="s">
        <v>46</v>
      </c>
      <c r="R1744" s="8" t="s">
        <v>343</v>
      </c>
      <c r="S174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4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4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4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4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4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4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4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4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4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4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4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4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44" s="12">
        <f ca="1">[1]!Tabel1[[#This Row],[Vægtet Honorar]]*([1]!Tabel1[[#This Row],[Sidst redigeret]]&gt;TODAY()-40)*([1]!Tabel1[[#This Row],[Er i resplan?]]&lt;&gt;"Ja")*([1]!Tabel1[[#This Row],[Status]]="Pågår")</f>
        <v>0</v>
      </c>
      <c r="AG1744" s="12">
        <f ca="1">[1]!Tabel1[[#This Row],[Vægtet Honorar]]*([1]!Tabel1[[#This Row],[Sidst redigeret]]&gt;TODAY()-40)*([1]!Tabel1[[#This Row],[Status]]="Pågår")</f>
        <v>0</v>
      </c>
      <c r="AH1744" s="13"/>
      <c r="AI1744" s="12"/>
      <c r="AJ1744" s="12" t="s">
        <v>2695</v>
      </c>
      <c r="AK1744" s="12"/>
      <c r="AL1744" s="12"/>
      <c r="AM1744" s="12"/>
      <c r="AN1744" s="12"/>
      <c r="AO1744" s="12"/>
      <c r="AP1744" s="12"/>
    </row>
    <row r="1745" spans="1:42">
      <c r="A1745" t="s">
        <v>5974</v>
      </c>
      <c r="B1745" s="8"/>
      <c r="C1745" s="8" t="s">
        <v>5975</v>
      </c>
      <c r="D1745" s="8" t="s">
        <v>2886</v>
      </c>
      <c r="E1745" s="8" t="s">
        <v>120</v>
      </c>
      <c r="F1745" s="8" t="s">
        <v>4208</v>
      </c>
      <c r="G1745" s="8" t="s">
        <v>2917</v>
      </c>
      <c r="H1745" s="9">
        <v>1500000</v>
      </c>
      <c r="I1745" s="9">
        <f>[1]!Tabel1[[#This Row],[Honorar]]*[1]!Tabel1[[#This Row],[Sandsynlighed]]</f>
        <v>20000</v>
      </c>
      <c r="J1745" s="10" t="s">
        <v>585</v>
      </c>
      <c r="K1745" s="1" t="s">
        <v>1323</v>
      </c>
      <c r="L1745" s="17"/>
      <c r="M1745" s="11">
        <v>0.33</v>
      </c>
      <c r="N1745" s="1"/>
      <c r="O1745" s="10">
        <v>46279.616875</v>
      </c>
      <c r="P1745" s="10" t="s">
        <v>46</v>
      </c>
      <c r="Q1745" s="1" t="s">
        <v>46</v>
      </c>
      <c r="R1745" s="8" t="s">
        <v>343</v>
      </c>
      <c r="S174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4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4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4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4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4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4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4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4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4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4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4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4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45" s="12">
        <f ca="1">[1]!Tabel1[[#This Row],[Vægtet Honorar]]*([1]!Tabel1[[#This Row],[Sidst redigeret]]&gt;TODAY()-40)*([1]!Tabel1[[#This Row],[Er i resplan?]]&lt;&gt;"Ja")*([1]!Tabel1[[#This Row],[Status]]="Pågår")</f>
        <v>0</v>
      </c>
      <c r="AG1745" s="12">
        <f ca="1">[1]!Tabel1[[#This Row],[Vægtet Honorar]]*([1]!Tabel1[[#This Row],[Sidst redigeret]]&gt;TODAY()-40)*([1]!Tabel1[[#This Row],[Status]]="Pågår")</f>
        <v>20000</v>
      </c>
      <c r="AH1745" s="13"/>
      <c r="AI1745" s="12"/>
      <c r="AJ1745" s="12" t="s">
        <v>2917</v>
      </c>
      <c r="AK1745" s="12"/>
      <c r="AL1745" s="12"/>
      <c r="AM1745" s="12"/>
      <c r="AN1745" s="12"/>
      <c r="AO1745" s="12"/>
      <c r="AP1745" s="12"/>
    </row>
    <row r="1746" spans="1:42">
      <c r="A1746" t="s">
        <v>5976</v>
      </c>
      <c r="B1746" s="8"/>
      <c r="C1746" s="8" t="s">
        <v>5977</v>
      </c>
      <c r="D1746" s="8" t="s">
        <v>5978</v>
      </c>
      <c r="E1746" s="8" t="s">
        <v>94</v>
      </c>
      <c r="F1746" s="8" t="s">
        <v>5979</v>
      </c>
      <c r="G1746" s="8" t="s">
        <v>5979</v>
      </c>
      <c r="H1746" s="9">
        <v>1000000</v>
      </c>
      <c r="I1746" s="9">
        <f>[1]!Tabel1[[#This Row],[Honorar]]*[1]!Tabel1[[#This Row],[Sandsynlighed]]</f>
        <v>0</v>
      </c>
      <c r="J1746" s="10" t="s">
        <v>585</v>
      </c>
      <c r="K1746" s="1" t="s">
        <v>1709</v>
      </c>
      <c r="L1746" s="17"/>
      <c r="M1746" s="11">
        <v>0.33</v>
      </c>
      <c r="N1746" s="1"/>
      <c r="O1746" s="10">
        <v>46279.616875</v>
      </c>
      <c r="P1746" s="10" t="s">
        <v>72</v>
      </c>
      <c r="Q1746" s="1" t="s">
        <v>72</v>
      </c>
      <c r="R1746" s="8" t="s">
        <v>75</v>
      </c>
      <c r="S174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4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4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4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4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4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4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4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4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4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4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4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4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46" s="12">
        <f ca="1">[1]!Tabel1[[#This Row],[Vægtet Honorar]]*([1]!Tabel1[[#This Row],[Sidst redigeret]]&gt;TODAY()-40)*([1]!Tabel1[[#This Row],[Er i resplan?]]&lt;&gt;"Ja")*([1]!Tabel1[[#This Row],[Status]]="Pågår")</f>
        <v>0</v>
      </c>
      <c r="AG1746" s="12">
        <f ca="1">[1]!Tabel1[[#This Row],[Vægtet Honorar]]*([1]!Tabel1[[#This Row],[Sidst redigeret]]&gt;TODAY()-40)*([1]!Tabel1[[#This Row],[Status]]="Pågår")</f>
        <v>0</v>
      </c>
      <c r="AH1746" s="13"/>
      <c r="AI1746" s="12"/>
      <c r="AJ1746" s="12" t="s">
        <v>5980</v>
      </c>
      <c r="AK1746" s="12"/>
      <c r="AL1746" s="12"/>
      <c r="AM1746" s="12"/>
      <c r="AN1746" s="12"/>
      <c r="AO1746" s="12"/>
      <c r="AP1746" s="12"/>
    </row>
    <row r="1747" spans="1:42">
      <c r="A1747" t="s">
        <v>5981</v>
      </c>
      <c r="B1747" s="8"/>
      <c r="C1747" s="8" t="s">
        <v>5982</v>
      </c>
      <c r="D1747" s="8" t="s">
        <v>569</v>
      </c>
      <c r="E1747" s="8" t="s">
        <v>167</v>
      </c>
      <c r="F1747" s="8" t="s">
        <v>5983</v>
      </c>
      <c r="G1747" s="8" t="s">
        <v>1100</v>
      </c>
      <c r="H1747" s="9">
        <v>5000000</v>
      </c>
      <c r="I1747" s="9">
        <f>[1]!Tabel1[[#This Row],[Honorar]]*[1]!Tabel1[[#This Row],[Sandsynlighed]]</f>
        <v>1000000</v>
      </c>
      <c r="J1747" s="10" t="s">
        <v>585</v>
      </c>
      <c r="K1747" s="1" t="s">
        <v>1709</v>
      </c>
      <c r="L1747" s="17"/>
      <c r="M1747" s="11">
        <v>0.8</v>
      </c>
      <c r="N1747" s="1">
        <v>11000</v>
      </c>
      <c r="O1747" s="10">
        <v>46279.616875</v>
      </c>
      <c r="P1747" s="10" t="s">
        <v>46</v>
      </c>
      <c r="Q1747" s="1" t="s">
        <v>72</v>
      </c>
      <c r="R1747" s="8" t="s">
        <v>343</v>
      </c>
      <c r="S174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4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4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4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4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4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4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4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4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4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4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4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4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47" s="12">
        <f ca="1">[1]!Tabel1[[#This Row],[Vægtet Honorar]]*([1]!Tabel1[[#This Row],[Sidst redigeret]]&gt;TODAY()-40)*([1]!Tabel1[[#This Row],[Er i resplan?]]&lt;&gt;"Ja")*([1]!Tabel1[[#This Row],[Status]]="Pågår")</f>
        <v>0</v>
      </c>
      <c r="AG1747" s="12">
        <f ca="1">[1]!Tabel1[[#This Row],[Vægtet Honorar]]*([1]!Tabel1[[#This Row],[Sidst redigeret]]&gt;TODAY()-40)*([1]!Tabel1[[#This Row],[Status]]="Pågår")</f>
        <v>1000000</v>
      </c>
      <c r="AH1747" s="13"/>
      <c r="AI1747" s="12"/>
      <c r="AJ1747" s="12" t="s">
        <v>5984</v>
      </c>
      <c r="AK1747" s="12"/>
      <c r="AL1747" s="12"/>
      <c r="AM1747" s="12"/>
      <c r="AN1747" s="12"/>
      <c r="AO1747" s="12"/>
      <c r="AP1747" s="12"/>
    </row>
    <row r="1748" spans="1:42">
      <c r="A1748" t="s">
        <v>5985</v>
      </c>
      <c r="B1748" s="8"/>
      <c r="C1748" s="8" t="s">
        <v>5986</v>
      </c>
      <c r="D1748" s="8" t="s">
        <v>720</v>
      </c>
      <c r="E1748" s="8" t="s">
        <v>71</v>
      </c>
      <c r="F1748" s="8" t="s">
        <v>5987</v>
      </c>
      <c r="G1748" s="8" t="s">
        <v>3148</v>
      </c>
      <c r="H1748" s="9">
        <v>1500000</v>
      </c>
      <c r="I1748" s="9">
        <f>[1]!Tabel1[[#This Row],[Honorar]]*[1]!Tabel1[[#This Row],[Sandsynlighed]]</f>
        <v>2850000</v>
      </c>
      <c r="J1748" s="10" t="s">
        <v>585</v>
      </c>
      <c r="K1748" s="1" t="s">
        <v>1709</v>
      </c>
      <c r="L1748" s="17"/>
      <c r="M1748" s="11">
        <v>0.8</v>
      </c>
      <c r="N1748" s="1">
        <v>3000</v>
      </c>
      <c r="O1748" s="10">
        <v>46279.616875</v>
      </c>
      <c r="P1748" s="10" t="s">
        <v>46</v>
      </c>
      <c r="Q1748" s="1" t="s">
        <v>46</v>
      </c>
      <c r="R1748" s="8" t="s">
        <v>343</v>
      </c>
      <c r="S174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4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4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4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4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4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4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4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4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4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4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4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4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48" s="12">
        <f ca="1">[1]!Tabel1[[#This Row],[Vægtet Honorar]]*([1]!Tabel1[[#This Row],[Sidst redigeret]]&gt;TODAY()-40)*([1]!Tabel1[[#This Row],[Er i resplan?]]&lt;&gt;"Ja")*([1]!Tabel1[[#This Row],[Status]]="Pågår")</f>
        <v>0</v>
      </c>
      <c r="AG1748" s="12">
        <f ca="1">[1]!Tabel1[[#This Row],[Vægtet Honorar]]*([1]!Tabel1[[#This Row],[Sidst redigeret]]&gt;TODAY()-40)*([1]!Tabel1[[#This Row],[Status]]="Pågår")</f>
        <v>2850000</v>
      </c>
      <c r="AH1748" s="13"/>
      <c r="AI1748" s="12"/>
      <c r="AJ1748" s="12" t="s">
        <v>5984</v>
      </c>
      <c r="AK1748" s="12"/>
      <c r="AL1748" s="12"/>
      <c r="AM1748" s="12"/>
      <c r="AN1748" s="12"/>
      <c r="AO1748" s="12"/>
      <c r="AP1748" s="12"/>
    </row>
    <row r="1749" spans="1:42">
      <c r="A1749" t="s">
        <v>5988</v>
      </c>
      <c r="B1749" s="8"/>
      <c r="C1749" s="8" t="s">
        <v>5989</v>
      </c>
      <c r="D1749" s="8" t="s">
        <v>5488</v>
      </c>
      <c r="E1749" s="8" t="s">
        <v>71</v>
      </c>
      <c r="F1749" s="8" t="s">
        <v>5990</v>
      </c>
      <c r="G1749" s="8" t="s">
        <v>5991</v>
      </c>
      <c r="H1749" s="9">
        <v>500000</v>
      </c>
      <c r="I1749" s="9">
        <f>[1]!Tabel1[[#This Row],[Honorar]]*[1]!Tabel1[[#This Row],[Sandsynlighed]]</f>
        <v>450000</v>
      </c>
      <c r="J1749" s="10" t="s">
        <v>585</v>
      </c>
      <c r="K1749" s="1" t="s">
        <v>2405</v>
      </c>
      <c r="L1749" s="17"/>
      <c r="M1749" s="11">
        <v>0.5</v>
      </c>
      <c r="N1749" s="1"/>
      <c r="O1749" s="10">
        <v>46279.616875</v>
      </c>
      <c r="P1749" s="10" t="s">
        <v>46</v>
      </c>
      <c r="Q1749" s="1" t="s">
        <v>46</v>
      </c>
      <c r="R1749" s="8" t="s">
        <v>343</v>
      </c>
      <c r="S174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4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4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4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4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4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4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4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4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4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4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4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4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49" s="12">
        <f ca="1">[1]!Tabel1[[#This Row],[Vægtet Honorar]]*([1]!Tabel1[[#This Row],[Sidst redigeret]]&gt;TODAY()-40)*([1]!Tabel1[[#This Row],[Er i resplan?]]&lt;&gt;"Ja")*([1]!Tabel1[[#This Row],[Status]]="Pågår")</f>
        <v>0</v>
      </c>
      <c r="AG1749" s="12">
        <f ca="1">[1]!Tabel1[[#This Row],[Vægtet Honorar]]*([1]!Tabel1[[#This Row],[Sidst redigeret]]&gt;TODAY()-40)*([1]!Tabel1[[#This Row],[Status]]="Pågår")</f>
        <v>450000</v>
      </c>
      <c r="AH1749" s="13"/>
      <c r="AI1749" s="12"/>
      <c r="AJ1749" s="12" t="s">
        <v>5984</v>
      </c>
      <c r="AK1749" s="12"/>
      <c r="AL1749" s="12"/>
      <c r="AM1749" s="12"/>
      <c r="AN1749" s="12"/>
      <c r="AO1749" s="12"/>
      <c r="AP1749" s="12"/>
    </row>
    <row r="1750" spans="1:42">
      <c r="A1750" t="s">
        <v>5992</v>
      </c>
      <c r="B1750" s="8"/>
      <c r="C1750" s="8" t="s">
        <v>5993</v>
      </c>
      <c r="D1750" s="8" t="s">
        <v>720</v>
      </c>
      <c r="E1750" s="8" t="s">
        <v>71</v>
      </c>
      <c r="F1750" s="8" t="s">
        <v>5994</v>
      </c>
      <c r="G1750" s="8" t="s">
        <v>1864</v>
      </c>
      <c r="H1750" s="9">
        <v>1000000</v>
      </c>
      <c r="I1750" s="9">
        <f>[1]!Tabel1[[#This Row],[Honorar]]*[1]!Tabel1[[#This Row],[Sandsynlighed]]</f>
        <v>495000</v>
      </c>
      <c r="J1750" s="10" t="s">
        <v>585</v>
      </c>
      <c r="K1750" s="1" t="s">
        <v>2405</v>
      </c>
      <c r="L1750" s="17"/>
      <c r="M1750" s="11">
        <v>0.9</v>
      </c>
      <c r="N1750" s="1"/>
      <c r="O1750" s="10">
        <v>46279.616875</v>
      </c>
      <c r="P1750" s="10" t="s">
        <v>46</v>
      </c>
      <c r="Q1750" s="1" t="s">
        <v>46</v>
      </c>
      <c r="R1750" s="8" t="s">
        <v>343</v>
      </c>
      <c r="S1750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5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5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5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5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5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5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5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5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5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5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5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5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50" s="12">
        <f ca="1">[1]!Tabel1[[#This Row],[Vægtet Honorar]]*([1]!Tabel1[[#This Row],[Sidst redigeret]]&gt;TODAY()-40)*([1]!Tabel1[[#This Row],[Er i resplan?]]&lt;&gt;"Ja")*([1]!Tabel1[[#This Row],[Status]]="Pågår")</f>
        <v>0</v>
      </c>
      <c r="AG1750" s="12">
        <f ca="1">[1]!Tabel1[[#This Row],[Vægtet Honorar]]*([1]!Tabel1[[#This Row],[Sidst redigeret]]&gt;TODAY()-40)*([1]!Tabel1[[#This Row],[Status]]="Pågår")</f>
        <v>495000</v>
      </c>
      <c r="AH1750" s="13"/>
      <c r="AI1750" s="12"/>
      <c r="AJ1750" s="12" t="s">
        <v>5984</v>
      </c>
      <c r="AK1750" s="12"/>
      <c r="AL1750" s="12"/>
      <c r="AM1750" s="12"/>
      <c r="AN1750" s="12"/>
      <c r="AO1750" s="12"/>
      <c r="AP1750" s="12"/>
    </row>
    <row r="1751" spans="1:42">
      <c r="A1751" t="s">
        <v>5995</v>
      </c>
      <c r="B1751" s="8"/>
      <c r="C1751" s="8" t="s">
        <v>5996</v>
      </c>
      <c r="D1751" s="8" t="s">
        <v>2886</v>
      </c>
      <c r="E1751" s="8" t="s">
        <v>120</v>
      </c>
      <c r="F1751" s="8" t="s">
        <v>5997</v>
      </c>
      <c r="G1751" s="8" t="s">
        <v>5998</v>
      </c>
      <c r="H1751" s="9">
        <v>2000000</v>
      </c>
      <c r="I1751" s="9">
        <f>[1]!Tabel1[[#This Row],[Honorar]]*[1]!Tabel1[[#This Row],[Sandsynlighed]]</f>
        <v>330000</v>
      </c>
      <c r="J1751" s="10" t="s">
        <v>342</v>
      </c>
      <c r="K1751" s="1" t="s">
        <v>1861</v>
      </c>
      <c r="L1751" s="17"/>
      <c r="M1751" s="11">
        <v>0.05</v>
      </c>
      <c r="N1751" s="1"/>
      <c r="O1751" s="10">
        <v>46279.616875</v>
      </c>
      <c r="P1751" s="10" t="s">
        <v>46</v>
      </c>
      <c r="Q1751" s="1" t="s">
        <v>72</v>
      </c>
      <c r="R1751" s="8" t="s">
        <v>343</v>
      </c>
      <c r="S175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5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5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5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5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5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5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5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5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5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5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5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5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51" s="12">
        <f ca="1">[1]!Tabel1[[#This Row],[Vægtet Honorar]]*([1]!Tabel1[[#This Row],[Sidst redigeret]]&gt;TODAY()-40)*([1]!Tabel1[[#This Row],[Er i resplan?]]&lt;&gt;"Ja")*([1]!Tabel1[[#This Row],[Status]]="Pågår")</f>
        <v>0</v>
      </c>
      <c r="AG1751" s="12">
        <f ca="1">[1]!Tabel1[[#This Row],[Vægtet Honorar]]*([1]!Tabel1[[#This Row],[Sidst redigeret]]&gt;TODAY()-40)*([1]!Tabel1[[#This Row],[Status]]="Pågår")</f>
        <v>0</v>
      </c>
      <c r="AH1751" s="13"/>
      <c r="AI1751" s="12"/>
      <c r="AJ1751" s="12" t="s">
        <v>2970</v>
      </c>
      <c r="AK1751" s="12" t="s">
        <v>5998</v>
      </c>
      <c r="AL1751" s="12"/>
      <c r="AM1751" s="12"/>
      <c r="AN1751" s="12"/>
      <c r="AO1751" s="12"/>
      <c r="AP1751" s="12"/>
    </row>
    <row r="1752" spans="1:42">
      <c r="A1752" t="s">
        <v>5999</v>
      </c>
      <c r="B1752" s="8"/>
      <c r="C1752" s="8" t="s">
        <v>6000</v>
      </c>
      <c r="D1752" s="8" t="s">
        <v>896</v>
      </c>
      <c r="E1752" s="8" t="s">
        <v>94</v>
      </c>
      <c r="F1752" s="8" t="s">
        <v>6001</v>
      </c>
      <c r="G1752" s="8" t="s">
        <v>1213</v>
      </c>
      <c r="H1752" s="9">
        <v>50000000</v>
      </c>
      <c r="I1752" s="9">
        <f>[1]!Tabel1[[#This Row],[Honorar]]*[1]!Tabel1[[#This Row],[Sandsynlighed]]</f>
        <v>4000000</v>
      </c>
      <c r="J1752" s="10" t="s">
        <v>585</v>
      </c>
      <c r="K1752" s="1" t="s">
        <v>898</v>
      </c>
      <c r="L1752" s="17" t="s">
        <v>6002</v>
      </c>
      <c r="M1752" s="11">
        <v>0.8</v>
      </c>
      <c r="N1752" s="1"/>
      <c r="O1752" s="10">
        <v>46279.616875</v>
      </c>
      <c r="P1752" s="10" t="s">
        <v>46</v>
      </c>
      <c r="Q1752" s="1" t="s">
        <v>72</v>
      </c>
      <c r="R1752" s="8" t="s">
        <v>4031</v>
      </c>
      <c r="S175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5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5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5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5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5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5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5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5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5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5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5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5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52" s="12">
        <f ca="1">[1]!Tabel1[[#This Row],[Vægtet Honorar]]*([1]!Tabel1[[#This Row],[Sidst redigeret]]&gt;TODAY()-40)*([1]!Tabel1[[#This Row],[Er i resplan?]]&lt;&gt;"Ja")*([1]!Tabel1[[#This Row],[Status]]="Pågår")</f>
        <v>4000000</v>
      </c>
      <c r="AG1752" s="12">
        <f ca="1">[1]!Tabel1[[#This Row],[Vægtet Honorar]]*([1]!Tabel1[[#This Row],[Sidst redigeret]]&gt;TODAY()-40)*([1]!Tabel1[[#This Row],[Status]]="Pågår")</f>
        <v>4000000</v>
      </c>
      <c r="AH1752" s="13">
        <v>46266.412280092591</v>
      </c>
      <c r="AI1752" s="12"/>
      <c r="AJ1752" s="12" t="s">
        <v>1213</v>
      </c>
      <c r="AK1752" s="12" t="s">
        <v>6003</v>
      </c>
      <c r="AL1752" s="12"/>
      <c r="AM1752" s="12"/>
      <c r="AN1752" s="12"/>
      <c r="AO1752" s="12"/>
      <c r="AP1752" s="12"/>
    </row>
    <row r="1753" spans="1:42">
      <c r="A1753" t="s">
        <v>6004</v>
      </c>
      <c r="B1753" s="8"/>
      <c r="C1753" s="8" t="s">
        <v>6005</v>
      </c>
      <c r="D1753" s="8" t="s">
        <v>896</v>
      </c>
      <c r="E1753" s="8" t="s">
        <v>94</v>
      </c>
      <c r="F1753" s="8" t="s">
        <v>6006</v>
      </c>
      <c r="G1753" s="8" t="s">
        <v>6006</v>
      </c>
      <c r="H1753" s="9">
        <v>15000</v>
      </c>
      <c r="I1753" s="9">
        <f>[1]!Tabel1[[#This Row],[Honorar]]*[1]!Tabel1[[#This Row],[Sandsynlighed]]</f>
        <v>1200000</v>
      </c>
      <c r="J1753" s="10" t="s">
        <v>585</v>
      </c>
      <c r="K1753" s="1" t="s">
        <v>898</v>
      </c>
      <c r="L1753" s="17"/>
      <c r="M1753" s="11">
        <v>0.8</v>
      </c>
      <c r="N1753" s="1"/>
      <c r="O1753" s="10">
        <v>46279.616875</v>
      </c>
      <c r="P1753" s="10" t="s">
        <v>46</v>
      </c>
      <c r="Q1753" s="1" t="s">
        <v>72</v>
      </c>
      <c r="R1753" s="8" t="s">
        <v>4031</v>
      </c>
      <c r="S175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5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5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5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5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5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5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5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5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5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5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5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5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53" s="12">
        <f ca="1">[1]!Tabel1[[#This Row],[Vægtet Honorar]]*([1]!Tabel1[[#This Row],[Sidst redigeret]]&gt;TODAY()-40)*([1]!Tabel1[[#This Row],[Er i resplan?]]&lt;&gt;"Ja")*([1]!Tabel1[[#This Row],[Status]]="Pågår")</f>
        <v>0</v>
      </c>
      <c r="AG1753" s="12">
        <f ca="1">[1]!Tabel1[[#This Row],[Vægtet Honorar]]*([1]!Tabel1[[#This Row],[Sidst redigeret]]&gt;TODAY()-40)*([1]!Tabel1[[#This Row],[Status]]="Pågår")</f>
        <v>1200000</v>
      </c>
      <c r="AH1753" s="13">
        <v>46240.622916666667</v>
      </c>
      <c r="AI1753" s="12"/>
      <c r="AJ1753" s="12"/>
      <c r="AK1753" s="12"/>
      <c r="AL1753" s="12"/>
      <c r="AM1753" s="12"/>
      <c r="AN1753" s="12"/>
      <c r="AO1753" s="12"/>
      <c r="AP1753" s="12"/>
    </row>
    <row r="1754" spans="1:42">
      <c r="A1754" t="s">
        <v>6007</v>
      </c>
      <c r="B1754" s="8"/>
      <c r="C1754" s="8" t="s">
        <v>6008</v>
      </c>
      <c r="D1754" s="8" t="s">
        <v>70</v>
      </c>
      <c r="E1754" s="8" t="s">
        <v>102</v>
      </c>
      <c r="F1754" s="8" t="s">
        <v>6009</v>
      </c>
      <c r="G1754" s="8" t="s">
        <v>2652</v>
      </c>
      <c r="H1754" s="9">
        <v>15000</v>
      </c>
      <c r="I1754" s="9">
        <f>[1]!Tabel1[[#This Row],[Honorar]]*[1]!Tabel1[[#This Row],[Sandsynlighed]]</f>
        <v>250000</v>
      </c>
      <c r="J1754" s="10" t="s">
        <v>585</v>
      </c>
      <c r="K1754" s="1" t="s">
        <v>898</v>
      </c>
      <c r="L1754" s="17"/>
      <c r="M1754" s="11">
        <v>0.1</v>
      </c>
      <c r="N1754" s="1" t="s">
        <v>6010</v>
      </c>
      <c r="O1754" s="10">
        <v>46279.616875</v>
      </c>
      <c r="P1754" s="10" t="s">
        <v>46</v>
      </c>
      <c r="Q1754" s="1" t="s">
        <v>72</v>
      </c>
      <c r="R1754" s="8" t="s">
        <v>343</v>
      </c>
      <c r="S175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5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5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5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5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5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5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5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5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5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5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5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5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54" s="12">
        <f ca="1">[1]!Tabel1[[#This Row],[Vægtet Honorar]]*([1]!Tabel1[[#This Row],[Sidst redigeret]]&gt;TODAY()-40)*([1]!Tabel1[[#This Row],[Er i resplan?]]&lt;&gt;"Ja")*([1]!Tabel1[[#This Row],[Status]]="Pågår")</f>
        <v>0</v>
      </c>
      <c r="AG1754" s="12">
        <f ca="1">[1]!Tabel1[[#This Row],[Vægtet Honorar]]*([1]!Tabel1[[#This Row],[Sidst redigeret]]&gt;TODAY()-40)*([1]!Tabel1[[#This Row],[Status]]="Pågår")</f>
        <v>250000</v>
      </c>
      <c r="AH1754" s="13"/>
      <c r="AI1754" s="12"/>
      <c r="AJ1754" s="12"/>
      <c r="AK1754" s="12"/>
      <c r="AL1754" s="12"/>
      <c r="AM1754" s="12"/>
      <c r="AN1754" s="12"/>
      <c r="AO1754" s="12"/>
      <c r="AP1754" s="12"/>
    </row>
    <row r="1755" spans="1:42">
      <c r="A1755" t="s">
        <v>6011</v>
      </c>
      <c r="B1755" s="8"/>
      <c r="C1755" s="8" t="s">
        <v>6012</v>
      </c>
      <c r="D1755" s="8" t="s">
        <v>896</v>
      </c>
      <c r="E1755" s="8" t="s">
        <v>94</v>
      </c>
      <c r="F1755" s="8" t="s">
        <v>6013</v>
      </c>
      <c r="G1755" s="8" t="s">
        <v>6014</v>
      </c>
      <c r="H1755" s="9">
        <v>150000</v>
      </c>
      <c r="I1755" s="9">
        <f>[1]!Tabel1[[#This Row],[Honorar]]*[1]!Tabel1[[#This Row],[Sandsynlighed]]</f>
        <v>900000</v>
      </c>
      <c r="J1755" s="10" t="s">
        <v>585</v>
      </c>
      <c r="K1755" s="1" t="s">
        <v>898</v>
      </c>
      <c r="L1755" s="17"/>
      <c r="M1755" s="11">
        <v>0.01</v>
      </c>
      <c r="N1755" s="1"/>
      <c r="O1755" s="10">
        <v>46279.616875</v>
      </c>
      <c r="P1755" s="10" t="s">
        <v>46</v>
      </c>
      <c r="Q1755" s="1" t="s">
        <v>72</v>
      </c>
      <c r="R1755" s="8" t="s">
        <v>49</v>
      </c>
      <c r="S175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5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5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5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5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5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5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5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5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5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5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5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5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55" s="12">
        <f ca="1">[1]!Tabel1[[#This Row],[Vægtet Honorar]]*([1]!Tabel1[[#This Row],[Sidst redigeret]]&gt;TODAY()-40)*([1]!Tabel1[[#This Row],[Er i resplan?]]&lt;&gt;"Ja")*([1]!Tabel1[[#This Row],[Status]]="Pågår")</f>
        <v>0</v>
      </c>
      <c r="AG1755" s="12">
        <f ca="1">[1]!Tabel1[[#This Row],[Vægtet Honorar]]*([1]!Tabel1[[#This Row],[Sidst redigeret]]&gt;TODAY()-40)*([1]!Tabel1[[#This Row],[Status]]="Pågår")</f>
        <v>900000</v>
      </c>
      <c r="AH1755" s="13"/>
      <c r="AI1755" s="12"/>
      <c r="AJ1755" s="12"/>
      <c r="AK1755" s="12" t="s">
        <v>6015</v>
      </c>
      <c r="AL1755" s="12"/>
      <c r="AM1755" s="12"/>
      <c r="AN1755" s="12"/>
      <c r="AO1755" s="12"/>
      <c r="AP1755" s="12"/>
    </row>
    <row r="1756" spans="1:42">
      <c r="A1756" t="s">
        <v>6016</v>
      </c>
      <c r="B1756" s="8"/>
      <c r="C1756" s="8" t="s">
        <v>6017</v>
      </c>
      <c r="D1756" s="8" t="s">
        <v>896</v>
      </c>
      <c r="E1756" s="8" t="s">
        <v>94</v>
      </c>
      <c r="F1756" s="8" t="s">
        <v>6018</v>
      </c>
      <c r="G1756" s="8" t="s">
        <v>1213</v>
      </c>
      <c r="H1756" s="9">
        <v>150000</v>
      </c>
      <c r="I1756" s="9">
        <f>[1]!Tabel1[[#This Row],[Honorar]]*[1]!Tabel1[[#This Row],[Sandsynlighed]]</f>
        <v>100000</v>
      </c>
      <c r="J1756" s="10" t="s">
        <v>585</v>
      </c>
      <c r="K1756" s="1" t="s">
        <v>898</v>
      </c>
      <c r="L1756" s="17"/>
      <c r="M1756" s="11">
        <v>0.01</v>
      </c>
      <c r="N1756" s="1"/>
      <c r="O1756" s="10">
        <v>46279.616875</v>
      </c>
      <c r="P1756" s="10" t="s">
        <v>46</v>
      </c>
      <c r="Q1756" s="1" t="s">
        <v>72</v>
      </c>
      <c r="R1756" s="8" t="s">
        <v>4031</v>
      </c>
      <c r="S175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5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5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5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5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5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5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5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5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5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5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5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5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56" s="12">
        <f ca="1">[1]!Tabel1[[#This Row],[Vægtet Honorar]]*([1]!Tabel1[[#This Row],[Sidst redigeret]]&gt;TODAY()-40)*([1]!Tabel1[[#This Row],[Er i resplan?]]&lt;&gt;"Ja")*([1]!Tabel1[[#This Row],[Status]]="Pågår")</f>
        <v>100000</v>
      </c>
      <c r="AG1756" s="12">
        <f ca="1">[1]!Tabel1[[#This Row],[Vægtet Honorar]]*([1]!Tabel1[[#This Row],[Sidst redigeret]]&gt;TODAY()-40)*([1]!Tabel1[[#This Row],[Status]]="Pågår")</f>
        <v>100000</v>
      </c>
      <c r="AH1756" s="13">
        <v>46240.624189814815</v>
      </c>
      <c r="AI1756" s="12"/>
      <c r="AJ1756" s="12" t="s">
        <v>1213</v>
      </c>
      <c r="AK1756" s="12"/>
      <c r="AL1756" s="12"/>
      <c r="AM1756" s="12"/>
      <c r="AN1756" s="12"/>
      <c r="AO1756" s="12"/>
      <c r="AP1756" s="12"/>
    </row>
    <row r="1757" spans="1:42">
      <c r="A1757" t="s">
        <v>6019</v>
      </c>
      <c r="B1757" s="8"/>
      <c r="C1757" s="8" t="s">
        <v>6020</v>
      </c>
      <c r="D1757" s="8" t="s">
        <v>2886</v>
      </c>
      <c r="E1757" s="8" t="s">
        <v>120</v>
      </c>
      <c r="F1757" s="8" t="s">
        <v>6021</v>
      </c>
      <c r="G1757" s="8" t="s">
        <v>1170</v>
      </c>
      <c r="H1757" s="9">
        <v>2500000</v>
      </c>
      <c r="I1757" s="9">
        <f>[1]!Tabel1[[#This Row],[Honorar]]*[1]!Tabel1[[#This Row],[Sandsynlighed]]</f>
        <v>40000000</v>
      </c>
      <c r="J1757" s="10" t="s">
        <v>342</v>
      </c>
      <c r="K1757" s="1" t="s">
        <v>1861</v>
      </c>
      <c r="L1757" s="17"/>
      <c r="M1757" s="11">
        <v>0.05</v>
      </c>
      <c r="N1757" s="1"/>
      <c r="O1757" s="10">
        <v>46279.616875</v>
      </c>
      <c r="P1757" s="10" t="s">
        <v>46</v>
      </c>
      <c r="Q1757" s="1" t="s">
        <v>72</v>
      </c>
      <c r="R1757" s="8" t="s">
        <v>343</v>
      </c>
      <c r="S175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5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5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5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5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5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5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5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5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5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5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5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5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57" s="12">
        <f ca="1">[1]!Tabel1[[#This Row],[Vægtet Honorar]]*([1]!Tabel1[[#This Row],[Sidst redigeret]]&gt;TODAY()-40)*([1]!Tabel1[[#This Row],[Er i resplan?]]&lt;&gt;"Ja")*([1]!Tabel1[[#This Row],[Status]]="Pågår")</f>
        <v>0</v>
      </c>
      <c r="AG1757" s="12">
        <f ca="1">[1]!Tabel1[[#This Row],[Vægtet Honorar]]*([1]!Tabel1[[#This Row],[Sidst redigeret]]&gt;TODAY()-40)*([1]!Tabel1[[#This Row],[Status]]="Pågår")</f>
        <v>0</v>
      </c>
      <c r="AH1757" s="13"/>
      <c r="AI1757" s="12"/>
      <c r="AJ1757" s="12" t="s">
        <v>1213</v>
      </c>
      <c r="AK1757" s="12"/>
      <c r="AL1757" s="12"/>
      <c r="AM1757" s="12"/>
      <c r="AN1757" s="12"/>
      <c r="AO1757" s="12"/>
      <c r="AP1757" s="12"/>
    </row>
    <row r="1758" spans="1:42">
      <c r="A1758" t="s">
        <v>6022</v>
      </c>
      <c r="B1758" s="8"/>
      <c r="C1758" s="8" t="s">
        <v>6023</v>
      </c>
      <c r="D1758" s="8" t="s">
        <v>2886</v>
      </c>
      <c r="E1758" s="8" t="s">
        <v>120</v>
      </c>
      <c r="F1758" s="8" t="s">
        <v>6024</v>
      </c>
      <c r="G1758" s="8" t="s">
        <v>1170</v>
      </c>
      <c r="H1758" s="9">
        <v>2500000</v>
      </c>
      <c r="I1758" s="9">
        <f>[1]!Tabel1[[#This Row],[Honorar]]*[1]!Tabel1[[#This Row],[Sandsynlighed]]</f>
        <v>12000</v>
      </c>
      <c r="J1758" s="10" t="s">
        <v>342</v>
      </c>
      <c r="K1758" s="1" t="s">
        <v>1861</v>
      </c>
      <c r="L1758" s="17"/>
      <c r="M1758" s="11">
        <v>0.05</v>
      </c>
      <c r="N1758" s="1"/>
      <c r="O1758" s="10">
        <v>46279.616875</v>
      </c>
      <c r="P1758" s="10" t="s">
        <v>46</v>
      </c>
      <c r="Q1758" s="1" t="s">
        <v>72</v>
      </c>
      <c r="R1758" s="8" t="s">
        <v>343</v>
      </c>
      <c r="S175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5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5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5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5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5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5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5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5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5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5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5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5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58" s="12">
        <f ca="1">[1]!Tabel1[[#This Row],[Vægtet Honorar]]*([1]!Tabel1[[#This Row],[Sidst redigeret]]&gt;TODAY()-40)*([1]!Tabel1[[#This Row],[Er i resplan?]]&lt;&gt;"Ja")*([1]!Tabel1[[#This Row],[Status]]="Pågår")</f>
        <v>0</v>
      </c>
      <c r="AG1758" s="12">
        <f ca="1">[1]!Tabel1[[#This Row],[Vægtet Honorar]]*([1]!Tabel1[[#This Row],[Sidst redigeret]]&gt;TODAY()-40)*([1]!Tabel1[[#This Row],[Status]]="Pågår")</f>
        <v>0</v>
      </c>
      <c r="AH1758" s="13"/>
      <c r="AI1758" s="12"/>
      <c r="AJ1758" s="12" t="s">
        <v>1213</v>
      </c>
      <c r="AK1758" s="12"/>
      <c r="AL1758" s="12"/>
      <c r="AM1758" s="12"/>
      <c r="AN1758" s="12"/>
      <c r="AO1758" s="12"/>
      <c r="AP1758" s="12"/>
    </row>
    <row r="1759" spans="1:42" ht="30">
      <c r="A1759" t="s">
        <v>6025</v>
      </c>
      <c r="B1759" s="8"/>
      <c r="C1759" s="8" t="s">
        <v>6026</v>
      </c>
      <c r="D1759" s="8" t="s">
        <v>1623</v>
      </c>
      <c r="E1759" s="8" t="s">
        <v>102</v>
      </c>
      <c r="F1759" s="8" t="s">
        <v>2399</v>
      </c>
      <c r="G1759" s="8" t="s">
        <v>2399</v>
      </c>
      <c r="H1759" s="9">
        <v>2000000</v>
      </c>
      <c r="I1759" s="9">
        <f>[1]!Tabel1[[#This Row],[Honorar]]*[1]!Tabel1[[#This Row],[Sandsynlighed]]</f>
        <v>1500</v>
      </c>
      <c r="J1759" s="10" t="s">
        <v>1062</v>
      </c>
      <c r="K1759" s="1" t="s">
        <v>1709</v>
      </c>
      <c r="L1759" s="17" t="s">
        <v>6027</v>
      </c>
      <c r="M1759" s="11">
        <v>0.05</v>
      </c>
      <c r="N1759" s="1"/>
      <c r="O1759" s="10">
        <v>46279.616875</v>
      </c>
      <c r="P1759" s="10" t="s">
        <v>46</v>
      </c>
      <c r="Q1759" s="1" t="s">
        <v>72</v>
      </c>
      <c r="R1759" s="8" t="s">
        <v>343</v>
      </c>
      <c r="S175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5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5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5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5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5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5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5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5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5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5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5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5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59" s="12">
        <f ca="1">[1]!Tabel1[[#This Row],[Vægtet Honorar]]*([1]!Tabel1[[#This Row],[Sidst redigeret]]&gt;TODAY()-40)*([1]!Tabel1[[#This Row],[Er i resplan?]]&lt;&gt;"Ja")*([1]!Tabel1[[#This Row],[Status]]="Pågår")</f>
        <v>1500</v>
      </c>
      <c r="AG1759" s="12">
        <f ca="1">[1]!Tabel1[[#This Row],[Vægtet Honorar]]*([1]!Tabel1[[#This Row],[Sidst redigeret]]&gt;TODAY()-40)*([1]!Tabel1[[#This Row],[Status]]="Pågår")</f>
        <v>1500</v>
      </c>
      <c r="AH1759" s="13"/>
      <c r="AI1759" s="12"/>
      <c r="AJ1759" s="12" t="s">
        <v>1213</v>
      </c>
      <c r="AK1759" s="12"/>
      <c r="AL1759" s="12"/>
      <c r="AM1759" s="12"/>
      <c r="AN1759" s="12"/>
      <c r="AO1759" s="12"/>
      <c r="AP1759" s="12"/>
    </row>
    <row r="1760" spans="1:42" ht="30">
      <c r="A1760" t="s">
        <v>6028</v>
      </c>
      <c r="B1760" s="8"/>
      <c r="C1760" s="8" t="s">
        <v>6029</v>
      </c>
      <c r="D1760" s="8" t="s">
        <v>1623</v>
      </c>
      <c r="E1760" s="8" t="s">
        <v>102</v>
      </c>
      <c r="F1760" s="8" t="s">
        <v>2399</v>
      </c>
      <c r="G1760" s="8" t="s">
        <v>2399</v>
      </c>
      <c r="H1760" s="9">
        <v>2000000</v>
      </c>
      <c r="I1760" s="9">
        <f>[1]!Tabel1[[#This Row],[Honorar]]*[1]!Tabel1[[#This Row],[Sandsynlighed]]</f>
        <v>1500</v>
      </c>
      <c r="J1760" s="10" t="s">
        <v>1062</v>
      </c>
      <c r="K1760" s="1" t="s">
        <v>1709</v>
      </c>
      <c r="L1760" s="17" t="s">
        <v>6027</v>
      </c>
      <c r="M1760" s="11">
        <v>0.05</v>
      </c>
      <c r="N1760" s="1"/>
      <c r="O1760" s="10">
        <v>46279.616875</v>
      </c>
      <c r="P1760" s="10" t="s">
        <v>46</v>
      </c>
      <c r="Q1760" s="1" t="s">
        <v>72</v>
      </c>
      <c r="R1760" s="8" t="s">
        <v>343</v>
      </c>
      <c r="S176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6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6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6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6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6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6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6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6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6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6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6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6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60" s="12">
        <f ca="1">[1]!Tabel1[[#This Row],[Vægtet Honorar]]*([1]!Tabel1[[#This Row],[Sidst redigeret]]&gt;TODAY()-40)*([1]!Tabel1[[#This Row],[Er i resplan?]]&lt;&gt;"Ja")*([1]!Tabel1[[#This Row],[Status]]="Pågår")</f>
        <v>0</v>
      </c>
      <c r="AG1760" s="12">
        <f ca="1">[1]!Tabel1[[#This Row],[Vægtet Honorar]]*([1]!Tabel1[[#This Row],[Sidst redigeret]]&gt;TODAY()-40)*([1]!Tabel1[[#This Row],[Status]]="Pågår")</f>
        <v>0</v>
      </c>
      <c r="AH1760" s="13"/>
      <c r="AI1760" s="12"/>
      <c r="AJ1760" s="12" t="s">
        <v>1213</v>
      </c>
      <c r="AK1760" s="12"/>
      <c r="AL1760" s="12"/>
      <c r="AM1760" s="12"/>
      <c r="AN1760" s="12"/>
      <c r="AO1760" s="12"/>
      <c r="AP1760" s="12"/>
    </row>
    <row r="1761" spans="1:42">
      <c r="A1761" t="s">
        <v>6030</v>
      </c>
      <c r="B1761" s="8"/>
      <c r="C1761" s="8" t="s">
        <v>6031</v>
      </c>
      <c r="D1761" s="8" t="s">
        <v>1604</v>
      </c>
      <c r="E1761" s="8" t="s">
        <v>102</v>
      </c>
      <c r="F1761" s="8" t="s">
        <v>6032</v>
      </c>
      <c r="G1761" s="8" t="s">
        <v>111</v>
      </c>
      <c r="H1761" s="9">
        <v>800000</v>
      </c>
      <c r="I1761" s="9">
        <f>[1]!Tabel1[[#This Row],[Honorar]]*[1]!Tabel1[[#This Row],[Sandsynlighed]]</f>
        <v>1500</v>
      </c>
      <c r="J1761" s="10" t="s">
        <v>585</v>
      </c>
      <c r="K1761" s="1" t="s">
        <v>1323</v>
      </c>
      <c r="L1761" s="17"/>
      <c r="M1761" s="11">
        <v>0.6</v>
      </c>
      <c r="N1761" s="1"/>
      <c r="O1761" s="10">
        <v>46279.616875</v>
      </c>
      <c r="P1761" s="10" t="s">
        <v>46</v>
      </c>
      <c r="Q1761" s="1" t="s">
        <v>46</v>
      </c>
      <c r="R1761" s="8" t="s">
        <v>343</v>
      </c>
      <c r="S176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6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6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6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6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6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6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6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6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6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6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6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6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61" s="12">
        <f ca="1">[1]!Tabel1[[#This Row],[Vægtet Honorar]]*([1]!Tabel1[[#This Row],[Sidst redigeret]]&gt;TODAY()-40)*([1]!Tabel1[[#This Row],[Er i resplan?]]&lt;&gt;"Ja")*([1]!Tabel1[[#This Row],[Status]]="Pågår")</f>
        <v>0</v>
      </c>
      <c r="AG1761" s="12">
        <f ca="1">[1]!Tabel1[[#This Row],[Vægtet Honorar]]*([1]!Tabel1[[#This Row],[Sidst redigeret]]&gt;TODAY()-40)*([1]!Tabel1[[#This Row],[Status]]="Pågår")</f>
        <v>0</v>
      </c>
      <c r="AH1761" s="13"/>
      <c r="AI1761" s="12"/>
      <c r="AJ1761" s="12" t="s">
        <v>1213</v>
      </c>
      <c r="AK1761" s="12"/>
      <c r="AL1761" s="12"/>
      <c r="AM1761" s="12"/>
      <c r="AN1761" s="12"/>
      <c r="AO1761" s="12"/>
      <c r="AP1761" s="12"/>
    </row>
    <row r="1762" spans="1:42">
      <c r="A1762" t="s">
        <v>6033</v>
      </c>
      <c r="B1762" s="8"/>
      <c r="C1762" s="8" t="s">
        <v>6034</v>
      </c>
      <c r="D1762" s="8" t="s">
        <v>1604</v>
      </c>
      <c r="E1762" s="8" t="s">
        <v>102</v>
      </c>
      <c r="F1762" s="8"/>
      <c r="G1762" s="8" t="s">
        <v>111</v>
      </c>
      <c r="H1762" s="9">
        <v>800000</v>
      </c>
      <c r="I1762" s="9">
        <f>[1]!Tabel1[[#This Row],[Honorar]]*[1]!Tabel1[[#This Row],[Sandsynlighed]]</f>
        <v>125000</v>
      </c>
      <c r="J1762" s="10" t="s">
        <v>585</v>
      </c>
      <c r="K1762" s="1" t="s">
        <v>1323</v>
      </c>
      <c r="L1762" s="17"/>
      <c r="M1762" s="11">
        <v>0.3</v>
      </c>
      <c r="N1762" s="1"/>
      <c r="O1762" s="10">
        <v>46279.616875</v>
      </c>
      <c r="P1762" s="10" t="s">
        <v>46</v>
      </c>
      <c r="Q1762" s="1" t="s">
        <v>46</v>
      </c>
      <c r="R1762" s="8" t="s">
        <v>343</v>
      </c>
      <c r="S176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6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6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6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6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6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6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6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6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6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6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6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6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62" s="12">
        <f ca="1">[1]!Tabel1[[#This Row],[Vægtet Honorar]]*([1]!Tabel1[[#This Row],[Sidst redigeret]]&gt;TODAY()-40)*([1]!Tabel1[[#This Row],[Er i resplan?]]&lt;&gt;"Ja")*([1]!Tabel1[[#This Row],[Status]]="Pågår")</f>
        <v>125000</v>
      </c>
      <c r="AG1762" s="12">
        <f ca="1">[1]!Tabel1[[#This Row],[Vægtet Honorar]]*([1]!Tabel1[[#This Row],[Sidst redigeret]]&gt;TODAY()-40)*([1]!Tabel1[[#This Row],[Status]]="Pågår")</f>
        <v>125000</v>
      </c>
      <c r="AH1762" s="13"/>
      <c r="AI1762" s="12"/>
      <c r="AJ1762" s="12" t="s">
        <v>1213</v>
      </c>
      <c r="AK1762" s="12"/>
      <c r="AL1762" s="12"/>
      <c r="AM1762" s="12"/>
      <c r="AN1762" s="12"/>
      <c r="AO1762" s="12"/>
      <c r="AP1762" s="12"/>
    </row>
    <row r="1763" spans="1:42">
      <c r="A1763" t="s">
        <v>6035</v>
      </c>
      <c r="B1763" s="8"/>
      <c r="C1763" s="8" t="s">
        <v>6036</v>
      </c>
      <c r="D1763" s="8" t="s">
        <v>1604</v>
      </c>
      <c r="E1763" s="8" t="s">
        <v>102</v>
      </c>
      <c r="F1763" s="8"/>
      <c r="G1763" s="8" t="s">
        <v>111</v>
      </c>
      <c r="H1763" s="9">
        <v>1100000</v>
      </c>
      <c r="I1763" s="9">
        <f>[1]!Tabel1[[#This Row],[Honorar]]*[1]!Tabel1[[#This Row],[Sandsynlighed]]</f>
        <v>125000</v>
      </c>
      <c r="J1763" s="10" t="s">
        <v>342</v>
      </c>
      <c r="K1763" s="1" t="s">
        <v>1323</v>
      </c>
      <c r="L1763" s="17"/>
      <c r="M1763" s="11">
        <v>0.3</v>
      </c>
      <c r="N1763" s="1"/>
      <c r="O1763" s="10">
        <v>46279.616875</v>
      </c>
      <c r="P1763" s="10" t="s">
        <v>46</v>
      </c>
      <c r="Q1763" s="1" t="s">
        <v>46</v>
      </c>
      <c r="R1763" s="8" t="s">
        <v>343</v>
      </c>
      <c r="S176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6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6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6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6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6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6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6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6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6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6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6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6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63" s="12">
        <f ca="1">[1]!Tabel1[[#This Row],[Vægtet Honorar]]*([1]!Tabel1[[#This Row],[Sidst redigeret]]&gt;TODAY()-40)*([1]!Tabel1[[#This Row],[Er i resplan?]]&lt;&gt;"Ja")*([1]!Tabel1[[#This Row],[Status]]="Pågår")</f>
        <v>125000</v>
      </c>
      <c r="AG1763" s="12">
        <f ca="1">[1]!Tabel1[[#This Row],[Vægtet Honorar]]*([1]!Tabel1[[#This Row],[Sidst redigeret]]&gt;TODAY()-40)*([1]!Tabel1[[#This Row],[Status]]="Pågår")</f>
        <v>125000</v>
      </c>
      <c r="AH1763" s="13"/>
      <c r="AI1763" s="12"/>
      <c r="AJ1763" s="12" t="s">
        <v>1213</v>
      </c>
      <c r="AK1763" s="12"/>
      <c r="AL1763" s="12"/>
      <c r="AM1763" s="12"/>
      <c r="AN1763" s="12"/>
      <c r="AO1763" s="12"/>
      <c r="AP1763" s="12"/>
    </row>
    <row r="1764" spans="1:42">
      <c r="A1764" t="s">
        <v>6037</v>
      </c>
      <c r="B1764" s="8"/>
      <c r="C1764" s="8" t="s">
        <v>6038</v>
      </c>
      <c r="D1764" s="8" t="s">
        <v>2886</v>
      </c>
      <c r="E1764" s="8" t="s">
        <v>120</v>
      </c>
      <c r="F1764" s="8" t="s">
        <v>5817</v>
      </c>
      <c r="G1764" s="8" t="s">
        <v>1213</v>
      </c>
      <c r="H1764" s="9">
        <v>2000000</v>
      </c>
      <c r="I1764" s="9">
        <f>[1]!Tabel1[[#This Row],[Honorar]]*[1]!Tabel1[[#This Row],[Sandsynlighed]]</f>
        <v>100000</v>
      </c>
      <c r="J1764" s="10" t="s">
        <v>342</v>
      </c>
      <c r="K1764" s="1" t="s">
        <v>1323</v>
      </c>
      <c r="L1764" s="17"/>
      <c r="M1764" s="11">
        <v>0.05</v>
      </c>
      <c r="N1764" s="1"/>
      <c r="O1764" s="10">
        <v>46279.616875</v>
      </c>
      <c r="P1764" s="10" t="s">
        <v>46</v>
      </c>
      <c r="Q1764" s="1" t="s">
        <v>72</v>
      </c>
      <c r="R1764" s="8" t="s">
        <v>343</v>
      </c>
      <c r="S176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6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6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6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6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6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6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6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6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6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6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6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6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64" s="12">
        <f ca="1">[1]!Tabel1[[#This Row],[Vægtet Honorar]]*([1]!Tabel1[[#This Row],[Sidst redigeret]]&gt;TODAY()-40)*([1]!Tabel1[[#This Row],[Er i resplan?]]&lt;&gt;"Ja")*([1]!Tabel1[[#This Row],[Status]]="Pågår")</f>
        <v>100000</v>
      </c>
      <c r="AG1764" s="12">
        <f ca="1">[1]!Tabel1[[#This Row],[Vægtet Honorar]]*([1]!Tabel1[[#This Row],[Sidst redigeret]]&gt;TODAY()-40)*([1]!Tabel1[[#This Row],[Status]]="Pågår")</f>
        <v>100000</v>
      </c>
      <c r="AH1764" s="13"/>
      <c r="AI1764" s="12"/>
      <c r="AJ1764" s="12" t="s">
        <v>1213</v>
      </c>
      <c r="AK1764" s="12"/>
      <c r="AL1764" s="12"/>
      <c r="AM1764" s="12"/>
      <c r="AN1764" s="12"/>
      <c r="AO1764" s="12"/>
      <c r="AP1764" s="12"/>
    </row>
    <row r="1765" spans="1:42">
      <c r="A1765" t="s">
        <v>6039</v>
      </c>
      <c r="B1765" s="8"/>
      <c r="C1765" s="8" t="s">
        <v>6040</v>
      </c>
      <c r="D1765" s="8" t="s">
        <v>158</v>
      </c>
      <c r="E1765" s="8" t="s">
        <v>167</v>
      </c>
      <c r="F1765" s="8" t="s">
        <v>6041</v>
      </c>
      <c r="G1765" s="8" t="s">
        <v>6042</v>
      </c>
      <c r="H1765" s="9">
        <v>2000000</v>
      </c>
      <c r="I1765" s="9">
        <f>[1]!Tabel1[[#This Row],[Honorar]]*[1]!Tabel1[[#This Row],[Sandsynlighed]]</f>
        <v>100000</v>
      </c>
      <c r="J1765" s="10" t="s">
        <v>342</v>
      </c>
      <c r="K1765" s="1" t="s">
        <v>1323</v>
      </c>
      <c r="L1765" s="17"/>
      <c r="M1765" s="11">
        <v>0.05</v>
      </c>
      <c r="N1765" s="1"/>
      <c r="O1765" s="10">
        <v>46279.616875</v>
      </c>
      <c r="P1765" s="10" t="s">
        <v>46</v>
      </c>
      <c r="Q1765" s="1" t="s">
        <v>72</v>
      </c>
      <c r="R1765" s="8" t="s">
        <v>49</v>
      </c>
      <c r="S176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6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6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6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6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6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6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6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6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6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6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6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6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65" s="12">
        <f ca="1">[1]!Tabel1[[#This Row],[Vægtet Honorar]]*([1]!Tabel1[[#This Row],[Sidst redigeret]]&gt;TODAY()-40)*([1]!Tabel1[[#This Row],[Er i resplan?]]&lt;&gt;"Ja")*([1]!Tabel1[[#This Row],[Status]]="Pågår")</f>
        <v>100000</v>
      </c>
      <c r="AG1765" s="12">
        <f ca="1">[1]!Tabel1[[#This Row],[Vægtet Honorar]]*([1]!Tabel1[[#This Row],[Sidst redigeret]]&gt;TODAY()-40)*([1]!Tabel1[[#This Row],[Status]]="Pågår")</f>
        <v>100000</v>
      </c>
      <c r="AH1765" s="13"/>
      <c r="AI1765" s="12"/>
      <c r="AJ1765" s="12"/>
      <c r="AK1765" s="12"/>
      <c r="AL1765" s="12"/>
      <c r="AM1765" s="12"/>
      <c r="AN1765" s="12"/>
      <c r="AO1765" s="12"/>
      <c r="AP1765" s="12"/>
    </row>
    <row r="1766" spans="1:42">
      <c r="A1766" t="s">
        <v>6043</v>
      </c>
      <c r="B1766" s="8"/>
      <c r="C1766" s="8" t="s">
        <v>6040</v>
      </c>
      <c r="D1766" s="8" t="s">
        <v>158</v>
      </c>
      <c r="E1766" s="8" t="s">
        <v>167</v>
      </c>
      <c r="F1766" s="8" t="s">
        <v>6041</v>
      </c>
      <c r="G1766" s="8" t="s">
        <v>6042</v>
      </c>
      <c r="H1766" s="9">
        <v>2000000</v>
      </c>
      <c r="I1766" s="9">
        <f>[1]!Tabel1[[#This Row],[Honorar]]*[1]!Tabel1[[#This Row],[Sandsynlighed]]</f>
        <v>480000</v>
      </c>
      <c r="J1766" s="10" t="s">
        <v>342</v>
      </c>
      <c r="K1766" s="1" t="s">
        <v>1323</v>
      </c>
      <c r="L1766" s="17"/>
      <c r="M1766" s="11">
        <v>0.05</v>
      </c>
      <c r="N1766" s="1"/>
      <c r="O1766" s="10">
        <v>46279.616875</v>
      </c>
      <c r="P1766" s="10" t="s">
        <v>46</v>
      </c>
      <c r="Q1766" s="1" t="s">
        <v>72</v>
      </c>
      <c r="R1766" s="8" t="s">
        <v>49</v>
      </c>
      <c r="S176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6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6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6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6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6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6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6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6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6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6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6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6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66" s="12">
        <f ca="1">[1]!Tabel1[[#This Row],[Vægtet Honorar]]*([1]!Tabel1[[#This Row],[Sidst redigeret]]&gt;TODAY()-40)*([1]!Tabel1[[#This Row],[Er i resplan?]]&lt;&gt;"Ja")*([1]!Tabel1[[#This Row],[Status]]="Pågår")</f>
        <v>0</v>
      </c>
      <c r="AG1766" s="12">
        <f ca="1">[1]!Tabel1[[#This Row],[Vægtet Honorar]]*([1]!Tabel1[[#This Row],[Sidst redigeret]]&gt;TODAY()-40)*([1]!Tabel1[[#This Row],[Status]]="Pågår")</f>
        <v>480000</v>
      </c>
      <c r="AH1766" s="13"/>
      <c r="AI1766" s="12"/>
      <c r="AJ1766" s="12"/>
      <c r="AK1766" s="12"/>
      <c r="AL1766" s="12"/>
      <c r="AM1766" s="12"/>
      <c r="AN1766" s="12"/>
      <c r="AO1766" s="12"/>
      <c r="AP1766" s="12"/>
    </row>
    <row r="1767" spans="1:42" ht="30">
      <c r="A1767" t="s">
        <v>6044</v>
      </c>
      <c r="B1767" s="8"/>
      <c r="C1767" s="8" t="s">
        <v>6045</v>
      </c>
      <c r="D1767" s="8" t="s">
        <v>1771</v>
      </c>
      <c r="E1767" s="8" t="s">
        <v>167</v>
      </c>
      <c r="F1767" s="8" t="s">
        <v>6046</v>
      </c>
      <c r="G1767" s="8" t="s">
        <v>6046</v>
      </c>
      <c r="H1767" s="9">
        <v>10000000</v>
      </c>
      <c r="I1767" s="9">
        <f>[1]!Tabel1[[#This Row],[Honorar]]*[1]!Tabel1[[#This Row],[Sandsynlighed]]</f>
        <v>240000</v>
      </c>
      <c r="J1767" s="10" t="s">
        <v>1861</v>
      </c>
      <c r="K1767" s="1" t="s">
        <v>898</v>
      </c>
      <c r="L1767" s="17" t="s">
        <v>1100</v>
      </c>
      <c r="M1767" s="11">
        <v>0.01</v>
      </c>
      <c r="N1767" s="1"/>
      <c r="O1767" s="10">
        <v>46279.616875</v>
      </c>
      <c r="P1767" s="10" t="s">
        <v>4591</v>
      </c>
      <c r="Q1767" s="1" t="s">
        <v>72</v>
      </c>
      <c r="R1767" s="8" t="s">
        <v>343</v>
      </c>
      <c r="S176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6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6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6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6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6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6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6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6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6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6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6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6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67" s="12">
        <f ca="1">[1]!Tabel1[[#This Row],[Vægtet Honorar]]*([1]!Tabel1[[#This Row],[Sidst redigeret]]&gt;TODAY()-40)*([1]!Tabel1[[#This Row],[Er i resplan?]]&lt;&gt;"Ja")*([1]!Tabel1[[#This Row],[Status]]="Pågår")</f>
        <v>0</v>
      </c>
      <c r="AG1767" s="12">
        <f ca="1">[1]!Tabel1[[#This Row],[Vægtet Honorar]]*([1]!Tabel1[[#This Row],[Sidst redigeret]]&gt;TODAY()-40)*([1]!Tabel1[[#This Row],[Status]]="Pågår")</f>
        <v>240000</v>
      </c>
      <c r="AH1767" s="13"/>
      <c r="AI1767" s="12"/>
      <c r="AJ1767" s="12" t="s">
        <v>343</v>
      </c>
      <c r="AK1767" s="12"/>
      <c r="AL1767" s="12"/>
      <c r="AM1767" s="12"/>
      <c r="AN1767" s="12"/>
      <c r="AO1767" s="12"/>
      <c r="AP1767" s="12"/>
    </row>
    <row r="1768" spans="1:42" ht="45">
      <c r="A1768" t="s">
        <v>6047</v>
      </c>
      <c r="B1768" s="8"/>
      <c r="C1768" s="8" t="s">
        <v>6048</v>
      </c>
      <c r="D1768" s="8" t="s">
        <v>896</v>
      </c>
      <c r="E1768" s="8" t="s">
        <v>94</v>
      </c>
      <c r="F1768" s="8" t="s">
        <v>6049</v>
      </c>
      <c r="G1768" s="8" t="s">
        <v>5094</v>
      </c>
      <c r="H1768" s="9">
        <v>3000000</v>
      </c>
      <c r="I1768" s="9">
        <f>[1]!Tabel1[[#This Row],[Honorar]]*[1]!Tabel1[[#This Row],[Sandsynlighed]]</f>
        <v>330000</v>
      </c>
      <c r="J1768" s="10" t="s">
        <v>585</v>
      </c>
      <c r="K1768" s="1" t="s">
        <v>898</v>
      </c>
      <c r="L1768" s="17" t="s">
        <v>6050</v>
      </c>
      <c r="M1768" s="11">
        <v>0.19</v>
      </c>
      <c r="N1768" s="1"/>
      <c r="O1768" s="10">
        <v>46279.616875</v>
      </c>
      <c r="P1768" s="10" t="s">
        <v>4591</v>
      </c>
      <c r="Q1768" s="1" t="s">
        <v>72</v>
      </c>
      <c r="R1768" s="8" t="s">
        <v>49</v>
      </c>
      <c r="S176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6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6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6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6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6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6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6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6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6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6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6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6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68" s="12">
        <f ca="1">[1]!Tabel1[[#This Row],[Vægtet Honorar]]*([1]!Tabel1[[#This Row],[Sidst redigeret]]&gt;TODAY()-40)*([1]!Tabel1[[#This Row],[Er i resplan?]]&lt;&gt;"Ja")*([1]!Tabel1[[#This Row],[Status]]="Pågår")</f>
        <v>0</v>
      </c>
      <c r="AG1768" s="12">
        <f ca="1">[1]!Tabel1[[#This Row],[Vægtet Honorar]]*([1]!Tabel1[[#This Row],[Sidst redigeret]]&gt;TODAY()-40)*([1]!Tabel1[[#This Row],[Status]]="Pågår")</f>
        <v>330000</v>
      </c>
      <c r="AH1768" s="13"/>
      <c r="AI1768" s="12"/>
      <c r="AJ1768" s="12" t="s">
        <v>5094</v>
      </c>
      <c r="AK1768" s="12"/>
      <c r="AL1768" s="12"/>
      <c r="AM1768" s="12"/>
      <c r="AN1768" s="12"/>
      <c r="AO1768" s="12"/>
      <c r="AP1768" s="12"/>
    </row>
    <row r="1769" spans="1:42">
      <c r="A1769" t="s">
        <v>6051</v>
      </c>
      <c r="B1769" s="8"/>
      <c r="C1769" s="8" t="s">
        <v>6052</v>
      </c>
      <c r="D1769" s="8" t="s">
        <v>134</v>
      </c>
      <c r="E1769" s="8" t="s">
        <v>94</v>
      </c>
      <c r="F1769" s="8" t="s">
        <v>6053</v>
      </c>
      <c r="G1769" s="8" t="s">
        <v>1305</v>
      </c>
      <c r="H1769" s="9">
        <v>650000</v>
      </c>
      <c r="I1769" s="9">
        <f>[1]!Tabel1[[#This Row],[Honorar]]*[1]!Tabel1[[#This Row],[Sandsynlighed]]</f>
        <v>100000</v>
      </c>
      <c r="J1769" s="10" t="s">
        <v>585</v>
      </c>
      <c r="K1769" s="1" t="s">
        <v>342</v>
      </c>
      <c r="L1769" s="17"/>
      <c r="M1769" s="11">
        <v>0.5</v>
      </c>
      <c r="N1769" s="1" t="s">
        <v>6054</v>
      </c>
      <c r="O1769" s="10">
        <v>46279.616875</v>
      </c>
      <c r="P1769" s="10" t="s">
        <v>46</v>
      </c>
      <c r="Q1769" s="1" t="s">
        <v>72</v>
      </c>
      <c r="R1769" s="8" t="s">
        <v>343</v>
      </c>
      <c r="S176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6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6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6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6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6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6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6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6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6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6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6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6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69" s="12">
        <f ca="1">[1]!Tabel1[[#This Row],[Vægtet Honorar]]*([1]!Tabel1[[#This Row],[Sidst redigeret]]&gt;TODAY()-40)*([1]!Tabel1[[#This Row],[Er i resplan?]]&lt;&gt;"Ja")*([1]!Tabel1[[#This Row],[Status]]="Pågår")</f>
        <v>100000</v>
      </c>
      <c r="AG1769" s="12">
        <f ca="1">[1]!Tabel1[[#This Row],[Vægtet Honorar]]*([1]!Tabel1[[#This Row],[Sidst redigeret]]&gt;TODAY()-40)*([1]!Tabel1[[#This Row],[Status]]="Pågår")</f>
        <v>100000</v>
      </c>
      <c r="AH1769" s="13"/>
      <c r="AI1769" s="12"/>
      <c r="AJ1769" s="12" t="s">
        <v>5094</v>
      </c>
      <c r="AK1769" s="12"/>
      <c r="AL1769" s="12"/>
      <c r="AM1769" s="12"/>
      <c r="AN1769" s="12"/>
      <c r="AO1769" s="12"/>
      <c r="AP1769" s="12"/>
    </row>
    <row r="1770" spans="1:42">
      <c r="A1770" t="s">
        <v>6055</v>
      </c>
      <c r="B1770" s="8"/>
      <c r="C1770" s="8" t="s">
        <v>6056</v>
      </c>
      <c r="D1770" s="8" t="s">
        <v>2886</v>
      </c>
      <c r="E1770" s="8" t="s">
        <v>120</v>
      </c>
      <c r="F1770" s="8" t="s">
        <v>2404</v>
      </c>
      <c r="G1770" s="8" t="s">
        <v>2404</v>
      </c>
      <c r="H1770" s="9">
        <v>2000000</v>
      </c>
      <c r="I1770" s="9">
        <f>[1]!Tabel1[[#This Row],[Honorar]]*[1]!Tabel1[[#This Row],[Sandsynlighed]]</f>
        <v>100000</v>
      </c>
      <c r="J1770" s="10" t="s">
        <v>342</v>
      </c>
      <c r="K1770" s="1" t="s">
        <v>342</v>
      </c>
      <c r="L1770" s="17"/>
      <c r="M1770" s="11">
        <v>0.05</v>
      </c>
      <c r="N1770" s="1"/>
      <c r="O1770" s="10">
        <v>46279.616875</v>
      </c>
      <c r="P1770" s="10" t="s">
        <v>46</v>
      </c>
      <c r="Q1770" s="1" t="s">
        <v>72</v>
      </c>
      <c r="R1770" s="8" t="s">
        <v>1265</v>
      </c>
      <c r="S177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7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7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7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7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7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7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7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7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7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7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7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7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70" s="12">
        <f ca="1">[1]!Tabel1[[#This Row],[Vægtet Honorar]]*([1]!Tabel1[[#This Row],[Sidst redigeret]]&gt;TODAY()-40)*([1]!Tabel1[[#This Row],[Er i resplan?]]&lt;&gt;"Ja")*([1]!Tabel1[[#This Row],[Status]]="Pågår")</f>
        <v>0</v>
      </c>
      <c r="AG1770" s="12">
        <f ca="1">[1]!Tabel1[[#This Row],[Vægtet Honorar]]*([1]!Tabel1[[#This Row],[Sidst redigeret]]&gt;TODAY()-40)*([1]!Tabel1[[#This Row],[Status]]="Pågår")</f>
        <v>0</v>
      </c>
      <c r="AH1770" s="13"/>
      <c r="AI1770" s="12"/>
      <c r="AJ1770" s="12" t="s">
        <v>2970</v>
      </c>
      <c r="AK1770" s="12"/>
      <c r="AL1770" s="12"/>
      <c r="AM1770" s="12"/>
      <c r="AN1770" s="12"/>
      <c r="AO1770" s="12"/>
      <c r="AP1770" s="12"/>
    </row>
    <row r="1771" spans="1:42">
      <c r="A1771" t="s">
        <v>6057</v>
      </c>
      <c r="B1771" s="8"/>
      <c r="C1771" s="8" t="s">
        <v>6058</v>
      </c>
      <c r="D1771" s="8" t="s">
        <v>2886</v>
      </c>
      <c r="E1771" s="8" t="s">
        <v>120</v>
      </c>
      <c r="F1771" s="8" t="s">
        <v>4594</v>
      </c>
      <c r="G1771" s="8" t="s">
        <v>4594</v>
      </c>
      <c r="H1771" s="9">
        <v>1500000</v>
      </c>
      <c r="I1771" s="9">
        <f>[1]!Tabel1[[#This Row],[Honorar]]*[1]!Tabel1[[#This Row],[Sandsynlighed]]</f>
        <v>100000</v>
      </c>
      <c r="J1771" s="10" t="s">
        <v>585</v>
      </c>
      <c r="K1771" s="1" t="s">
        <v>1323</v>
      </c>
      <c r="L1771" s="17"/>
      <c r="M1771" s="11">
        <v>0.33</v>
      </c>
      <c r="N1771" s="1"/>
      <c r="O1771" s="10">
        <v>46279.616875</v>
      </c>
      <c r="P1771" s="10" t="s">
        <v>46</v>
      </c>
      <c r="Q1771" s="1" t="s">
        <v>46</v>
      </c>
      <c r="R1771" s="8" t="s">
        <v>343</v>
      </c>
      <c r="S177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7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7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7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7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7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7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7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7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7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7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7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7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71" s="12">
        <f ca="1">[1]!Tabel1[[#This Row],[Vægtet Honorar]]*([1]!Tabel1[[#This Row],[Sidst redigeret]]&gt;TODAY()-40)*([1]!Tabel1[[#This Row],[Er i resplan?]]&lt;&gt;"Ja")*([1]!Tabel1[[#This Row],[Status]]="Pågår")</f>
        <v>0</v>
      </c>
      <c r="AG1771" s="12">
        <f ca="1">[1]!Tabel1[[#This Row],[Vægtet Honorar]]*([1]!Tabel1[[#This Row],[Sidst redigeret]]&gt;TODAY()-40)*([1]!Tabel1[[#This Row],[Status]]="Pågår")</f>
        <v>0</v>
      </c>
      <c r="AH1771" s="13"/>
      <c r="AI1771" s="12"/>
      <c r="AJ1771" s="12" t="s">
        <v>2970</v>
      </c>
      <c r="AK1771" s="12"/>
      <c r="AL1771" s="12"/>
      <c r="AM1771" s="12"/>
      <c r="AN1771" s="12"/>
      <c r="AO1771" s="12"/>
      <c r="AP1771" s="12"/>
    </row>
    <row r="1772" spans="1:42">
      <c r="A1772" t="s">
        <v>6059</v>
      </c>
      <c r="B1772" s="8"/>
      <c r="C1772" s="8" t="s">
        <v>6060</v>
      </c>
      <c r="D1772" s="8" t="s">
        <v>2886</v>
      </c>
      <c r="E1772" s="8" t="s">
        <v>120</v>
      </c>
      <c r="F1772" s="8" t="s">
        <v>6061</v>
      </c>
      <c r="G1772" s="8" t="s">
        <v>6061</v>
      </c>
      <c r="H1772" s="9">
        <v>1000000</v>
      </c>
      <c r="I1772" s="9">
        <f>[1]!Tabel1[[#This Row],[Honorar]]*[1]!Tabel1[[#This Row],[Sandsynlighed]]</f>
        <v>100000</v>
      </c>
      <c r="J1772" s="10" t="s">
        <v>585</v>
      </c>
      <c r="K1772" s="1" t="s">
        <v>1323</v>
      </c>
      <c r="L1772" s="17"/>
      <c r="M1772" s="11">
        <v>0.5</v>
      </c>
      <c r="N1772" s="1"/>
      <c r="O1772" s="10">
        <v>46279.616875</v>
      </c>
      <c r="P1772" s="10" t="s">
        <v>46</v>
      </c>
      <c r="Q1772" s="1" t="s">
        <v>46</v>
      </c>
      <c r="R1772" s="8" t="s">
        <v>1265</v>
      </c>
      <c r="S177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7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7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7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7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7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7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7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7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7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7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7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7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72" s="12">
        <f ca="1">[1]!Tabel1[[#This Row],[Vægtet Honorar]]*([1]!Tabel1[[#This Row],[Sidst redigeret]]&gt;TODAY()-40)*([1]!Tabel1[[#This Row],[Er i resplan?]]&lt;&gt;"Ja")*([1]!Tabel1[[#This Row],[Status]]="Pågår")</f>
        <v>100000</v>
      </c>
      <c r="AG1772" s="12">
        <f ca="1">[1]!Tabel1[[#This Row],[Vægtet Honorar]]*([1]!Tabel1[[#This Row],[Sidst redigeret]]&gt;TODAY()-40)*([1]!Tabel1[[#This Row],[Status]]="Pågår")</f>
        <v>100000</v>
      </c>
      <c r="AH1772" s="13"/>
      <c r="AI1772" s="12"/>
      <c r="AJ1772" s="12" t="s">
        <v>6061</v>
      </c>
      <c r="AK1772" s="12"/>
      <c r="AL1772" s="12"/>
      <c r="AM1772" s="12"/>
      <c r="AN1772" s="12"/>
      <c r="AO1772" s="12"/>
      <c r="AP1772" s="12"/>
    </row>
    <row r="1773" spans="1:42" ht="60">
      <c r="A1773" t="s">
        <v>6062</v>
      </c>
      <c r="B1773" s="8"/>
      <c r="C1773" s="8" t="s">
        <v>6063</v>
      </c>
      <c r="D1773" s="8" t="s">
        <v>1468</v>
      </c>
      <c r="E1773" s="8" t="s">
        <v>167</v>
      </c>
      <c r="F1773" s="8" t="s">
        <v>3325</v>
      </c>
      <c r="G1773" s="8" t="s">
        <v>3325</v>
      </c>
      <c r="H1773" s="9">
        <v>10000000</v>
      </c>
      <c r="I1773" s="9">
        <f>[1]!Tabel1[[#This Row],[Honorar]]*[1]!Tabel1[[#This Row],[Sandsynlighed]]</f>
        <v>570000</v>
      </c>
      <c r="J1773" s="10" t="s">
        <v>585</v>
      </c>
      <c r="K1773" s="1" t="s">
        <v>6064</v>
      </c>
      <c r="L1773" s="17" t="s">
        <v>6065</v>
      </c>
      <c r="M1773" s="11">
        <v>0</v>
      </c>
      <c r="N1773" s="1"/>
      <c r="O1773" s="10">
        <v>46279.616875</v>
      </c>
      <c r="P1773" s="10" t="s">
        <v>72</v>
      </c>
      <c r="Q1773" s="1" t="s">
        <v>72</v>
      </c>
      <c r="R1773" s="8" t="s">
        <v>49</v>
      </c>
      <c r="S177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7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7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7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7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7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7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7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7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7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7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7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7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73" s="12">
        <f ca="1">[1]!Tabel1[[#This Row],[Vægtet Honorar]]*([1]!Tabel1[[#This Row],[Sidst redigeret]]&gt;TODAY()-40)*([1]!Tabel1[[#This Row],[Er i resplan?]]&lt;&gt;"Ja")*([1]!Tabel1[[#This Row],[Status]]="Pågår")</f>
        <v>0</v>
      </c>
      <c r="AG1773" s="12">
        <f ca="1">[1]!Tabel1[[#This Row],[Vægtet Honorar]]*([1]!Tabel1[[#This Row],[Sidst redigeret]]&gt;TODAY()-40)*([1]!Tabel1[[#This Row],[Status]]="Pågår")</f>
        <v>0</v>
      </c>
      <c r="AH1773" s="13"/>
      <c r="AI1773" s="12"/>
      <c r="AJ1773" s="12" t="s">
        <v>6061</v>
      </c>
      <c r="AK1773" s="12"/>
      <c r="AL1773" s="12"/>
      <c r="AM1773" s="12"/>
      <c r="AN1773" s="12"/>
      <c r="AO1773" s="12"/>
      <c r="AP1773" s="12"/>
    </row>
    <row r="1774" spans="1:42" ht="45">
      <c r="A1774" t="s">
        <v>6066</v>
      </c>
      <c r="B1774" s="8"/>
      <c r="C1774" s="8" t="s">
        <v>6067</v>
      </c>
      <c r="D1774" s="8" t="s">
        <v>1771</v>
      </c>
      <c r="E1774" s="8" t="s">
        <v>167</v>
      </c>
      <c r="F1774" s="8" t="s">
        <v>4987</v>
      </c>
      <c r="G1774" s="8"/>
      <c r="H1774" s="9">
        <v>1000000</v>
      </c>
      <c r="I1774" s="9">
        <f>[1]!Tabel1[[#This Row],[Honorar]]*[1]!Tabel1[[#This Row],[Sandsynlighed]]</f>
        <v>325000</v>
      </c>
      <c r="J1774" s="10" t="s">
        <v>2405</v>
      </c>
      <c r="K1774" s="1" t="s">
        <v>1709</v>
      </c>
      <c r="L1774" s="17" t="s">
        <v>6068</v>
      </c>
      <c r="M1774" s="11">
        <v>0.01</v>
      </c>
      <c r="N1774" s="1"/>
      <c r="O1774" s="10">
        <v>46279.616875</v>
      </c>
      <c r="P1774" s="10" t="s">
        <v>72</v>
      </c>
      <c r="Q1774" s="1" t="s">
        <v>72</v>
      </c>
      <c r="R1774" s="8" t="s">
        <v>49</v>
      </c>
      <c r="S177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7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7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7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7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7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7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7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7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7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7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7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7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74" s="12">
        <f ca="1">[1]!Tabel1[[#This Row],[Vægtet Honorar]]*([1]!Tabel1[[#This Row],[Sidst redigeret]]&gt;TODAY()-40)*([1]!Tabel1[[#This Row],[Er i resplan?]]&lt;&gt;"Ja")*([1]!Tabel1[[#This Row],[Status]]="Pågår")</f>
        <v>325000</v>
      </c>
      <c r="AG1774" s="12">
        <f ca="1">[1]!Tabel1[[#This Row],[Vægtet Honorar]]*([1]!Tabel1[[#This Row],[Sidst redigeret]]&gt;TODAY()-40)*([1]!Tabel1[[#This Row],[Status]]="Pågår")</f>
        <v>325000</v>
      </c>
      <c r="AH1774" s="13"/>
      <c r="AI1774" s="12"/>
      <c r="AJ1774" s="12"/>
      <c r="AK1774" s="12"/>
      <c r="AL1774" s="12"/>
      <c r="AM1774" s="12"/>
      <c r="AN1774" s="12"/>
      <c r="AO1774" s="12"/>
      <c r="AP1774" s="12"/>
    </row>
    <row r="1775" spans="1:42" ht="45">
      <c r="A1775" t="s">
        <v>6069</v>
      </c>
      <c r="B1775" s="8"/>
      <c r="C1775" s="8" t="s">
        <v>6070</v>
      </c>
      <c r="D1775" s="8" t="s">
        <v>1468</v>
      </c>
      <c r="E1775" s="8" t="s">
        <v>167</v>
      </c>
      <c r="F1775" s="8" t="s">
        <v>6071</v>
      </c>
      <c r="G1775" s="8" t="s">
        <v>6071</v>
      </c>
      <c r="H1775" s="9">
        <v>1000000</v>
      </c>
      <c r="I1775" s="9">
        <f>[1]!Tabel1[[#This Row],[Honorar]]*[1]!Tabel1[[#This Row],[Sandsynlighed]]</f>
        <v>100000</v>
      </c>
      <c r="J1775" s="10" t="s">
        <v>1323</v>
      </c>
      <c r="K1775" s="1" t="s">
        <v>1430</v>
      </c>
      <c r="L1775" s="17" t="s">
        <v>5756</v>
      </c>
      <c r="M1775" s="11">
        <v>0</v>
      </c>
      <c r="N1775" s="1"/>
      <c r="O1775" s="10">
        <v>46279.616875</v>
      </c>
      <c r="P1775" s="10" t="s">
        <v>46</v>
      </c>
      <c r="Q1775" s="1" t="s">
        <v>72</v>
      </c>
      <c r="R1775" s="8" t="s">
        <v>49</v>
      </c>
      <c r="S177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7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7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7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7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7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7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7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7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7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7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7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7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75" s="12">
        <f ca="1">[1]!Tabel1[[#This Row],[Vægtet Honorar]]*([1]!Tabel1[[#This Row],[Sidst redigeret]]&gt;TODAY()-40)*([1]!Tabel1[[#This Row],[Er i resplan?]]&lt;&gt;"Ja")*([1]!Tabel1[[#This Row],[Status]]="Pågår")</f>
        <v>0</v>
      </c>
      <c r="AG1775" s="12">
        <f ca="1">[1]!Tabel1[[#This Row],[Vægtet Honorar]]*([1]!Tabel1[[#This Row],[Sidst redigeret]]&gt;TODAY()-40)*([1]!Tabel1[[#This Row],[Status]]="Pågår")</f>
        <v>0</v>
      </c>
      <c r="AH1775" s="13"/>
      <c r="AI1775" s="12"/>
      <c r="AJ1775" s="12"/>
      <c r="AK1775" s="12"/>
      <c r="AL1775" s="12"/>
      <c r="AM1775" s="12"/>
      <c r="AN1775" s="12"/>
      <c r="AO1775" s="12"/>
      <c r="AP1775" s="12"/>
    </row>
    <row r="1776" spans="1:42">
      <c r="A1776" t="s">
        <v>6072</v>
      </c>
      <c r="B1776" s="8"/>
      <c r="C1776" s="8" t="s">
        <v>6073</v>
      </c>
      <c r="D1776" s="8" t="s">
        <v>896</v>
      </c>
      <c r="E1776" s="8" t="s">
        <v>94</v>
      </c>
      <c r="F1776" s="8" t="s">
        <v>6074</v>
      </c>
      <c r="G1776" s="8" t="s">
        <v>5094</v>
      </c>
      <c r="H1776" s="9">
        <v>25000</v>
      </c>
      <c r="I1776" s="9">
        <f>[1]!Tabel1[[#This Row],[Honorar]]*[1]!Tabel1[[#This Row],[Sandsynlighed]]</f>
        <v>495000</v>
      </c>
      <c r="J1776" s="10" t="s">
        <v>585</v>
      </c>
      <c r="K1776" s="1" t="s">
        <v>585</v>
      </c>
      <c r="L1776" s="17"/>
      <c r="M1776" s="11">
        <v>0.19</v>
      </c>
      <c r="N1776" s="1"/>
      <c r="O1776" s="10">
        <v>46279.616875</v>
      </c>
      <c r="P1776" s="10" t="s">
        <v>46</v>
      </c>
      <c r="Q1776" s="1" t="s">
        <v>46</v>
      </c>
      <c r="R1776" s="8" t="s">
        <v>4031</v>
      </c>
      <c r="S177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7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7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7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7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7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7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7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7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7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7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7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7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76" s="12">
        <f ca="1">[1]!Tabel1[[#This Row],[Vægtet Honorar]]*([1]!Tabel1[[#This Row],[Sidst redigeret]]&gt;TODAY()-40)*([1]!Tabel1[[#This Row],[Er i resplan?]]&lt;&gt;"Ja")*([1]!Tabel1[[#This Row],[Status]]="Pågår")</f>
        <v>0</v>
      </c>
      <c r="AG1776" s="12">
        <f ca="1">[1]!Tabel1[[#This Row],[Vægtet Honorar]]*([1]!Tabel1[[#This Row],[Sidst redigeret]]&gt;TODAY()-40)*([1]!Tabel1[[#This Row],[Status]]="Pågår")</f>
        <v>495000</v>
      </c>
      <c r="AH1776" s="13">
        <v>46241.343124999999</v>
      </c>
      <c r="AI1776" s="12"/>
      <c r="AJ1776" s="12" t="s">
        <v>5094</v>
      </c>
      <c r="AK1776" s="12"/>
      <c r="AL1776" s="12"/>
      <c r="AM1776" s="12"/>
      <c r="AN1776" s="12"/>
      <c r="AO1776" s="12"/>
      <c r="AP1776" s="12"/>
    </row>
    <row r="1777" spans="1:42" ht="90">
      <c r="A1777" t="s">
        <v>6075</v>
      </c>
      <c r="B1777" s="8"/>
      <c r="C1777" s="8" t="s">
        <v>6076</v>
      </c>
      <c r="D1777" s="8" t="s">
        <v>896</v>
      </c>
      <c r="E1777" s="8" t="s">
        <v>94</v>
      </c>
      <c r="F1777" s="8" t="s">
        <v>6077</v>
      </c>
      <c r="G1777" s="8" t="s">
        <v>4086</v>
      </c>
      <c r="H1777" s="9">
        <v>2500000</v>
      </c>
      <c r="I1777" s="9">
        <f>[1]!Tabel1[[#This Row],[Honorar]]*[1]!Tabel1[[#This Row],[Sandsynlighed]]</f>
        <v>500000</v>
      </c>
      <c r="J1777" s="10" t="s">
        <v>585</v>
      </c>
      <c r="K1777" s="1" t="s">
        <v>1430</v>
      </c>
      <c r="L1777" s="17" t="s">
        <v>6078</v>
      </c>
      <c r="M1777" s="11">
        <v>0.01</v>
      </c>
      <c r="N1777" s="1"/>
      <c r="O1777" s="10">
        <v>46279.616875</v>
      </c>
      <c r="P1777" s="10" t="s">
        <v>46</v>
      </c>
      <c r="Q1777" s="1" t="s">
        <v>46</v>
      </c>
      <c r="R1777" s="8" t="s">
        <v>343</v>
      </c>
      <c r="S177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7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7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7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7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7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7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7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7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7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7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7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7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77" s="12">
        <f ca="1">[1]!Tabel1[[#This Row],[Vægtet Honorar]]*([1]!Tabel1[[#This Row],[Sidst redigeret]]&gt;TODAY()-40)*([1]!Tabel1[[#This Row],[Er i resplan?]]&lt;&gt;"Ja")*([1]!Tabel1[[#This Row],[Status]]="Pågår")</f>
        <v>0</v>
      </c>
      <c r="AG1777" s="12">
        <f ca="1">[1]!Tabel1[[#This Row],[Vægtet Honorar]]*([1]!Tabel1[[#This Row],[Sidst redigeret]]&gt;TODAY()-40)*([1]!Tabel1[[#This Row],[Status]]="Pågår")</f>
        <v>0</v>
      </c>
      <c r="AH1777" s="13"/>
      <c r="AI1777" s="12"/>
      <c r="AJ1777" s="12"/>
      <c r="AK1777" s="12"/>
      <c r="AL1777" s="12"/>
      <c r="AM1777" s="12"/>
      <c r="AN1777" s="12"/>
      <c r="AO1777" s="12"/>
      <c r="AP1777" s="12"/>
    </row>
    <row r="1778" spans="1:42" ht="90">
      <c r="A1778" t="s">
        <v>6079</v>
      </c>
      <c r="B1778" s="8"/>
      <c r="C1778" s="8" t="s">
        <v>6080</v>
      </c>
      <c r="D1778" s="8" t="s">
        <v>134</v>
      </c>
      <c r="E1778" s="8" t="s">
        <v>94</v>
      </c>
      <c r="F1778" s="8" t="s">
        <v>6081</v>
      </c>
      <c r="G1778" s="8" t="s">
        <v>1305</v>
      </c>
      <c r="H1778" s="9">
        <v>50000</v>
      </c>
      <c r="I1778" s="9">
        <f>[1]!Tabel1[[#This Row],[Honorar]]*[1]!Tabel1[[#This Row],[Sandsynlighed]]</f>
        <v>0</v>
      </c>
      <c r="J1778" s="10" t="s">
        <v>585</v>
      </c>
      <c r="K1778" s="1" t="s">
        <v>585</v>
      </c>
      <c r="L1778" s="17" t="s">
        <v>6082</v>
      </c>
      <c r="M1778" s="11">
        <v>0.5</v>
      </c>
      <c r="N1778" s="1" t="s">
        <v>6083</v>
      </c>
      <c r="O1778" s="10">
        <v>46279.616875</v>
      </c>
      <c r="P1778" s="10" t="s">
        <v>46</v>
      </c>
      <c r="Q1778" s="1" t="s">
        <v>72</v>
      </c>
      <c r="R1778" s="8" t="s">
        <v>4031</v>
      </c>
      <c r="S177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7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7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7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7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7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7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7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7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7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7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7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7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78" s="12">
        <f ca="1">[1]!Tabel1[[#This Row],[Vægtet Honorar]]*([1]!Tabel1[[#This Row],[Sidst redigeret]]&gt;TODAY()-40)*([1]!Tabel1[[#This Row],[Er i resplan?]]&lt;&gt;"Ja")*([1]!Tabel1[[#This Row],[Status]]="Pågår")</f>
        <v>0</v>
      </c>
      <c r="AG1778" s="12">
        <f ca="1">[1]!Tabel1[[#This Row],[Vægtet Honorar]]*([1]!Tabel1[[#This Row],[Sidst redigeret]]&gt;TODAY()-40)*([1]!Tabel1[[#This Row],[Status]]="Pågår")</f>
        <v>0</v>
      </c>
      <c r="AH1778" s="13">
        <v>46266.412835648145</v>
      </c>
      <c r="AI1778" s="12"/>
      <c r="AJ1778" s="12"/>
      <c r="AK1778" s="12"/>
      <c r="AL1778" s="12"/>
      <c r="AM1778" s="12"/>
      <c r="AN1778" s="12"/>
      <c r="AO1778" s="12"/>
      <c r="AP1778" s="12"/>
    </row>
    <row r="1779" spans="1:42" ht="30">
      <c r="A1779" t="s">
        <v>6084</v>
      </c>
      <c r="B1779" s="8"/>
      <c r="C1779" s="8" t="s">
        <v>6085</v>
      </c>
      <c r="D1779" s="8" t="s">
        <v>896</v>
      </c>
      <c r="E1779" s="8" t="s">
        <v>94</v>
      </c>
      <c r="F1779" s="8" t="s">
        <v>6049</v>
      </c>
      <c r="G1779" s="8" t="s">
        <v>2005</v>
      </c>
      <c r="H1779" s="9">
        <v>758000</v>
      </c>
      <c r="I1779" s="9">
        <f>[1]!Tabel1[[#This Row],[Honorar]]*[1]!Tabel1[[#This Row],[Sandsynlighed]]</f>
        <v>10000</v>
      </c>
      <c r="J1779" s="10" t="s">
        <v>585</v>
      </c>
      <c r="K1779" s="1" t="s">
        <v>585</v>
      </c>
      <c r="L1779" s="17" t="s">
        <v>6086</v>
      </c>
      <c r="M1779" s="11">
        <v>0.15</v>
      </c>
      <c r="N1779" s="1"/>
      <c r="O1779" s="10">
        <v>46279.616875</v>
      </c>
      <c r="P1779" s="10" t="s">
        <v>46</v>
      </c>
      <c r="Q1779" s="1" t="s">
        <v>72</v>
      </c>
      <c r="R1779" s="8" t="s">
        <v>343</v>
      </c>
      <c r="S177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7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7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7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7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7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7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7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7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7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7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7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7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79" s="12">
        <f ca="1">[1]!Tabel1[[#This Row],[Vægtet Honorar]]*([1]!Tabel1[[#This Row],[Sidst redigeret]]&gt;TODAY()-40)*([1]!Tabel1[[#This Row],[Er i resplan?]]&lt;&gt;"Ja")*([1]!Tabel1[[#This Row],[Status]]="Pågår")</f>
        <v>0</v>
      </c>
      <c r="AG1779" s="12">
        <f ca="1">[1]!Tabel1[[#This Row],[Vægtet Honorar]]*([1]!Tabel1[[#This Row],[Sidst redigeret]]&gt;TODAY()-40)*([1]!Tabel1[[#This Row],[Status]]="Pågår")</f>
        <v>0</v>
      </c>
      <c r="AH1779" s="13"/>
      <c r="AI1779" s="12"/>
      <c r="AJ1779" s="12" t="s">
        <v>1213</v>
      </c>
      <c r="AK1779" s="12"/>
      <c r="AL1779" s="12"/>
      <c r="AM1779" s="12"/>
      <c r="AN1779" s="12"/>
      <c r="AO1779" s="12"/>
      <c r="AP1779" s="12"/>
    </row>
    <row r="1780" spans="1:42" ht="90">
      <c r="A1780" t="s">
        <v>6087</v>
      </c>
      <c r="B1780" s="8"/>
      <c r="C1780" s="8" t="s">
        <v>6088</v>
      </c>
      <c r="D1780" s="8" t="s">
        <v>197</v>
      </c>
      <c r="E1780" s="8" t="s">
        <v>167</v>
      </c>
      <c r="F1780" s="8" t="s">
        <v>671</v>
      </c>
      <c r="G1780" s="8" t="s">
        <v>671</v>
      </c>
      <c r="H1780" s="9">
        <v>50000</v>
      </c>
      <c r="I1780" s="9">
        <f>[1]!Tabel1[[#This Row],[Honorar]]*[1]!Tabel1[[#This Row],[Sandsynlighed]]</f>
        <v>0</v>
      </c>
      <c r="J1780" s="10" t="s">
        <v>1310</v>
      </c>
      <c r="K1780" s="1" t="s">
        <v>585</v>
      </c>
      <c r="L1780" s="17" t="s">
        <v>6089</v>
      </c>
      <c r="M1780" s="11">
        <v>0.5</v>
      </c>
      <c r="N1780" s="1"/>
      <c r="O1780" s="10">
        <v>46191.389837962961</v>
      </c>
      <c r="P1780" s="10"/>
      <c r="Q1780" s="1" t="s">
        <v>72</v>
      </c>
      <c r="R1780" s="8" t="s">
        <v>343</v>
      </c>
      <c r="S178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8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8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8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8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8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8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8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8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8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8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8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8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80" s="12">
        <f ca="1">[1]!Tabel1[[#This Row],[Vægtet Honorar]]*([1]!Tabel1[[#This Row],[Sidst redigeret]]&gt;TODAY()-40)*([1]!Tabel1[[#This Row],[Er i resplan?]]&lt;&gt;"Ja")*([1]!Tabel1[[#This Row],[Status]]="Pågår")</f>
        <v>0</v>
      </c>
      <c r="AG1780" s="12">
        <f ca="1">[1]!Tabel1[[#This Row],[Vægtet Honorar]]*([1]!Tabel1[[#This Row],[Sidst redigeret]]&gt;TODAY()-40)*([1]!Tabel1[[#This Row],[Status]]="Pågår")</f>
        <v>0</v>
      </c>
      <c r="AH1780" s="13"/>
      <c r="AI1780" s="12"/>
      <c r="AJ1780" s="12"/>
      <c r="AK1780" s="12"/>
      <c r="AL1780" s="12"/>
      <c r="AM1780" s="12"/>
      <c r="AN1780" s="12"/>
      <c r="AO1780" s="12"/>
      <c r="AP1780" s="12"/>
    </row>
    <row r="1781" spans="1:42" ht="30">
      <c r="A1781" t="s">
        <v>6090</v>
      </c>
      <c r="B1781" s="8"/>
      <c r="C1781" s="8" t="s">
        <v>6091</v>
      </c>
      <c r="D1781" s="8" t="s">
        <v>1771</v>
      </c>
      <c r="E1781" s="8" t="s">
        <v>167</v>
      </c>
      <c r="F1781" s="8" t="s">
        <v>3846</v>
      </c>
      <c r="G1781" s="8" t="s">
        <v>5094</v>
      </c>
      <c r="H1781" s="9">
        <v>1800000</v>
      </c>
      <c r="I1781" s="9">
        <f>[1]!Tabel1[[#This Row],[Honorar]]*[1]!Tabel1[[#This Row],[Sandsynlighed]]</f>
        <v>4750</v>
      </c>
      <c r="J1781" s="10" t="s">
        <v>342</v>
      </c>
      <c r="K1781" s="1" t="s">
        <v>1861</v>
      </c>
      <c r="L1781" s="17" t="s">
        <v>577</v>
      </c>
      <c r="M1781" s="11">
        <v>0.01</v>
      </c>
      <c r="N1781" s="1" t="s">
        <v>6092</v>
      </c>
      <c r="O1781" s="10">
        <v>46269.353483796294</v>
      </c>
      <c r="P1781" s="10" t="s">
        <v>4507</v>
      </c>
      <c r="Q1781" s="1" t="s">
        <v>72</v>
      </c>
      <c r="R1781" s="8" t="s">
        <v>343</v>
      </c>
      <c r="S178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8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8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8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8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8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8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8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8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8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8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8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8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81" s="12">
        <f ca="1">[1]!Tabel1[[#This Row],[Vægtet Honorar]]*([1]!Tabel1[[#This Row],[Sidst redigeret]]&gt;TODAY()-40)*([1]!Tabel1[[#This Row],[Er i resplan?]]&lt;&gt;"Ja")*([1]!Tabel1[[#This Row],[Status]]="Pågår")</f>
        <v>0</v>
      </c>
      <c r="AG1781" s="12">
        <f ca="1">[1]!Tabel1[[#This Row],[Vægtet Honorar]]*([1]!Tabel1[[#This Row],[Sidst redigeret]]&gt;TODAY()-40)*([1]!Tabel1[[#This Row],[Status]]="Pågår")</f>
        <v>0</v>
      </c>
      <c r="AH1781" s="13"/>
      <c r="AI1781" s="12"/>
      <c r="AJ1781" s="12" t="s">
        <v>2005</v>
      </c>
      <c r="AK1781" s="12"/>
      <c r="AL1781" s="12"/>
      <c r="AM1781" s="12"/>
      <c r="AN1781" s="12"/>
      <c r="AO1781" s="12"/>
      <c r="AP1781" s="12"/>
    </row>
    <row r="1782" spans="1:42" ht="30">
      <c r="A1782" t="s">
        <v>6093</v>
      </c>
      <c r="B1782" s="8"/>
      <c r="C1782" s="8" t="s">
        <v>6094</v>
      </c>
      <c r="D1782" s="8" t="s">
        <v>720</v>
      </c>
      <c r="E1782" s="8" t="s">
        <v>71</v>
      </c>
      <c r="F1782" s="8" t="s">
        <v>1833</v>
      </c>
      <c r="G1782" s="8" t="s">
        <v>6095</v>
      </c>
      <c r="H1782" s="9">
        <v>1200000</v>
      </c>
      <c r="I1782" s="9">
        <f>[1]!Tabel1[[#This Row],[Honorar]]*[1]!Tabel1[[#This Row],[Sandsynlighed]]</f>
        <v>25000</v>
      </c>
      <c r="J1782" s="10" t="s">
        <v>2105</v>
      </c>
      <c r="K1782" s="1" t="s">
        <v>898</v>
      </c>
      <c r="L1782" s="17" t="s">
        <v>6096</v>
      </c>
      <c r="M1782" s="11">
        <v>0.01</v>
      </c>
      <c r="N1782" s="1">
        <v>2230</v>
      </c>
      <c r="O1782" s="10">
        <v>46192.397303240738</v>
      </c>
      <c r="P1782" s="10" t="s">
        <v>4507</v>
      </c>
      <c r="Q1782" s="1" t="s">
        <v>72</v>
      </c>
      <c r="R1782" s="8" t="s">
        <v>343</v>
      </c>
      <c r="S178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8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8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8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8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8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8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8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8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8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8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8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8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82" s="12">
        <f ca="1">[1]!Tabel1[[#This Row],[Vægtet Honorar]]*([1]!Tabel1[[#This Row],[Sidst redigeret]]&gt;TODAY()-40)*([1]!Tabel1[[#This Row],[Er i resplan?]]&lt;&gt;"Ja")*([1]!Tabel1[[#This Row],[Status]]="Pågår")</f>
        <v>0</v>
      </c>
      <c r="AG1782" s="12">
        <f ca="1">[1]!Tabel1[[#This Row],[Vægtet Honorar]]*([1]!Tabel1[[#This Row],[Sidst redigeret]]&gt;TODAY()-40)*([1]!Tabel1[[#This Row],[Status]]="Pågår")</f>
        <v>25000</v>
      </c>
      <c r="AH1782" s="13"/>
      <c r="AI1782" s="12"/>
      <c r="AJ1782" s="12" t="s">
        <v>6095</v>
      </c>
      <c r="AK1782" s="12"/>
      <c r="AL1782" s="12"/>
      <c r="AM1782" s="12"/>
      <c r="AN1782" s="12"/>
      <c r="AO1782" s="12"/>
      <c r="AP1782" s="12"/>
    </row>
    <row r="1783" spans="1:42">
      <c r="A1783" t="s">
        <v>6097</v>
      </c>
      <c r="B1783" s="8"/>
      <c r="C1783" s="8" t="s">
        <v>6098</v>
      </c>
      <c r="D1783" s="8" t="s">
        <v>5488</v>
      </c>
      <c r="E1783" s="8" t="s">
        <v>167</v>
      </c>
      <c r="F1783" s="8"/>
      <c r="G1783" s="8" t="s">
        <v>2825</v>
      </c>
      <c r="H1783" s="9">
        <v>300000</v>
      </c>
      <c r="I1783" s="9">
        <f>[1]!Tabel1[[#This Row],[Honorar]]*[1]!Tabel1[[#This Row],[Sandsynlighed]]</f>
        <v>25000</v>
      </c>
      <c r="J1783" s="10" t="s">
        <v>585</v>
      </c>
      <c r="K1783" s="1" t="s">
        <v>342</v>
      </c>
      <c r="L1783" s="17"/>
      <c r="M1783" s="11">
        <v>0.5</v>
      </c>
      <c r="N1783" s="1">
        <v>5000</v>
      </c>
      <c r="O1783" s="10">
        <v>46192.560289351852</v>
      </c>
      <c r="P1783" s="10" t="s">
        <v>4507</v>
      </c>
      <c r="Q1783" s="1" t="s">
        <v>46</v>
      </c>
      <c r="R1783" s="8" t="s">
        <v>343</v>
      </c>
      <c r="S178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8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8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8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8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8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8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8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8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8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8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8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8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83" s="12">
        <f ca="1">[1]!Tabel1[[#This Row],[Vægtet Honorar]]*([1]!Tabel1[[#This Row],[Sidst redigeret]]&gt;TODAY()-40)*([1]!Tabel1[[#This Row],[Er i resplan?]]&lt;&gt;"Ja")*([1]!Tabel1[[#This Row],[Status]]="Pågår")</f>
        <v>0</v>
      </c>
      <c r="AG1783" s="12">
        <f ca="1">[1]!Tabel1[[#This Row],[Vægtet Honorar]]*([1]!Tabel1[[#This Row],[Sidst redigeret]]&gt;TODAY()-40)*([1]!Tabel1[[#This Row],[Status]]="Pågår")</f>
        <v>0</v>
      </c>
      <c r="AH1783" s="13"/>
      <c r="AI1783" s="12"/>
      <c r="AJ1783" s="12" t="s">
        <v>6095</v>
      </c>
      <c r="AK1783" s="12"/>
      <c r="AL1783" s="12"/>
      <c r="AM1783" s="12"/>
      <c r="AN1783" s="12"/>
      <c r="AO1783" s="12"/>
      <c r="AP1783" s="12"/>
    </row>
    <row r="1784" spans="1:42">
      <c r="A1784" t="s">
        <v>6099</v>
      </c>
      <c r="B1784" s="8"/>
      <c r="C1784" s="8" t="s">
        <v>6100</v>
      </c>
      <c r="D1784" s="8" t="s">
        <v>3790</v>
      </c>
      <c r="E1784" s="8" t="s">
        <v>71</v>
      </c>
      <c r="F1784" s="8"/>
      <c r="G1784" s="8" t="s">
        <v>6101</v>
      </c>
      <c r="H1784" s="9">
        <v>30000</v>
      </c>
      <c r="I1784" s="9">
        <f>[1]!Tabel1[[#This Row],[Honorar]]*[1]!Tabel1[[#This Row],[Sandsynlighed]]</f>
        <v>113700</v>
      </c>
      <c r="J1784" s="10" t="s">
        <v>342</v>
      </c>
      <c r="K1784" s="1" t="s">
        <v>342</v>
      </c>
      <c r="L1784" s="17"/>
      <c r="M1784" s="11">
        <v>0.9</v>
      </c>
      <c r="N1784" s="1">
        <v>5000</v>
      </c>
      <c r="O1784" s="10">
        <v>46194.727048611108</v>
      </c>
      <c r="P1784" s="10" t="s">
        <v>4507</v>
      </c>
      <c r="Q1784" s="1" t="s">
        <v>46</v>
      </c>
      <c r="R1784" s="8" t="s">
        <v>343</v>
      </c>
      <c r="S178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8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8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8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8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8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8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8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8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8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8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8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8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84" s="12">
        <f ca="1">[1]!Tabel1[[#This Row],[Vægtet Honorar]]*([1]!Tabel1[[#This Row],[Sidst redigeret]]&gt;TODAY()-40)*([1]!Tabel1[[#This Row],[Er i resplan?]]&lt;&gt;"Ja")*([1]!Tabel1[[#This Row],[Status]]="Pågår")</f>
        <v>113700</v>
      </c>
      <c r="AG1784" s="12">
        <f ca="1">[1]!Tabel1[[#This Row],[Vægtet Honorar]]*([1]!Tabel1[[#This Row],[Sidst redigeret]]&gt;TODAY()-40)*([1]!Tabel1[[#This Row],[Status]]="Pågår")</f>
        <v>113700</v>
      </c>
      <c r="AH1784" s="13"/>
      <c r="AI1784" s="12"/>
      <c r="AJ1784" s="12" t="s">
        <v>6095</v>
      </c>
      <c r="AK1784" s="12"/>
      <c r="AL1784" s="12"/>
      <c r="AM1784" s="12"/>
      <c r="AN1784" s="12"/>
      <c r="AO1784" s="12"/>
      <c r="AP1784" s="12"/>
    </row>
    <row r="1785" spans="1:42">
      <c r="A1785" t="s">
        <v>6102</v>
      </c>
      <c r="B1785" s="8"/>
      <c r="C1785" s="8" t="s">
        <v>6103</v>
      </c>
      <c r="D1785" s="8" t="s">
        <v>125</v>
      </c>
      <c r="E1785" s="8" t="s">
        <v>71</v>
      </c>
      <c r="F1785" s="8" t="s">
        <v>6104</v>
      </c>
      <c r="G1785" s="8" t="s">
        <v>6104</v>
      </c>
      <c r="H1785" s="9">
        <v>500000</v>
      </c>
      <c r="I1785" s="9">
        <f>[1]!Tabel1[[#This Row],[Honorar]]*[1]!Tabel1[[#This Row],[Sandsynlighed]]</f>
        <v>25000</v>
      </c>
      <c r="J1785" s="10" t="s">
        <v>342</v>
      </c>
      <c r="K1785" s="1" t="s">
        <v>2405</v>
      </c>
      <c r="L1785" s="17"/>
      <c r="M1785" s="11">
        <v>0.9</v>
      </c>
      <c r="N1785" s="1">
        <v>1182</v>
      </c>
      <c r="O1785" s="10">
        <v>46195.457256944443</v>
      </c>
      <c r="P1785" s="10" t="s">
        <v>4507</v>
      </c>
      <c r="Q1785" s="1" t="s">
        <v>72</v>
      </c>
      <c r="R1785" s="8" t="s">
        <v>343</v>
      </c>
      <c r="S178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8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8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8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8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8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8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8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8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8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8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8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8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85" s="12">
        <f ca="1">[1]!Tabel1[[#This Row],[Vægtet Honorar]]*([1]!Tabel1[[#This Row],[Sidst redigeret]]&gt;TODAY()-40)*([1]!Tabel1[[#This Row],[Er i resplan?]]&lt;&gt;"Ja")*([1]!Tabel1[[#This Row],[Status]]="Pågår")</f>
        <v>0</v>
      </c>
      <c r="AG1785" s="12">
        <f ca="1">[1]!Tabel1[[#This Row],[Vægtet Honorar]]*([1]!Tabel1[[#This Row],[Sidst redigeret]]&gt;TODAY()-40)*([1]!Tabel1[[#This Row],[Status]]="Pågår")</f>
        <v>0</v>
      </c>
      <c r="AH1785" s="13"/>
      <c r="AI1785" s="12"/>
      <c r="AJ1785" s="12" t="s">
        <v>6095</v>
      </c>
      <c r="AK1785" s="12"/>
      <c r="AL1785" s="12"/>
      <c r="AM1785" s="12"/>
      <c r="AN1785" s="12"/>
      <c r="AO1785" s="12"/>
      <c r="AP1785" s="12"/>
    </row>
    <row r="1786" spans="1:42">
      <c r="A1786" t="s">
        <v>6105</v>
      </c>
      <c r="B1786" s="8"/>
      <c r="C1786" s="8" t="s">
        <v>6106</v>
      </c>
      <c r="D1786" s="8" t="s">
        <v>720</v>
      </c>
      <c r="E1786" s="8" t="s">
        <v>71</v>
      </c>
      <c r="F1786" s="8" t="s">
        <v>6107</v>
      </c>
      <c r="G1786" s="8" t="s">
        <v>3480</v>
      </c>
      <c r="H1786" s="9">
        <v>2000000</v>
      </c>
      <c r="I1786" s="9">
        <f>[1]!Tabel1[[#This Row],[Honorar]]*[1]!Tabel1[[#This Row],[Sandsynlighed]]</f>
        <v>18000</v>
      </c>
      <c r="J1786" s="10" t="s">
        <v>585</v>
      </c>
      <c r="K1786" s="1" t="s">
        <v>2405</v>
      </c>
      <c r="L1786" s="17"/>
      <c r="M1786" s="11">
        <v>0.5</v>
      </c>
      <c r="N1786" s="1">
        <v>5454</v>
      </c>
      <c r="O1786" s="10">
        <v>46196.646874999999</v>
      </c>
      <c r="P1786" s="10" t="s">
        <v>4507</v>
      </c>
      <c r="Q1786" s="1" t="s">
        <v>72</v>
      </c>
      <c r="R1786" s="8" t="s">
        <v>343</v>
      </c>
      <c r="S178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8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8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8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8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8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8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8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8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8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8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8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8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86" s="12">
        <f ca="1">[1]!Tabel1[[#This Row],[Vægtet Honorar]]*([1]!Tabel1[[#This Row],[Sidst redigeret]]&gt;TODAY()-40)*([1]!Tabel1[[#This Row],[Er i resplan?]]&lt;&gt;"Ja")*([1]!Tabel1[[#This Row],[Status]]="Pågår")</f>
        <v>18000</v>
      </c>
      <c r="AG1786" s="12">
        <f ca="1">[1]!Tabel1[[#This Row],[Vægtet Honorar]]*([1]!Tabel1[[#This Row],[Sidst redigeret]]&gt;TODAY()-40)*([1]!Tabel1[[#This Row],[Status]]="Pågår")</f>
        <v>18000</v>
      </c>
      <c r="AH1786" s="13"/>
      <c r="AI1786" s="12"/>
      <c r="AJ1786" s="12" t="s">
        <v>6095</v>
      </c>
      <c r="AK1786" s="12"/>
      <c r="AL1786" s="12"/>
      <c r="AM1786" s="12"/>
      <c r="AN1786" s="12"/>
      <c r="AO1786" s="12"/>
      <c r="AP1786" s="12"/>
    </row>
    <row r="1787" spans="1:42">
      <c r="A1787" t="s">
        <v>6108</v>
      </c>
      <c r="B1787" s="8"/>
      <c r="C1787" s="8" t="s">
        <v>6109</v>
      </c>
      <c r="D1787" s="8" t="s">
        <v>2886</v>
      </c>
      <c r="E1787" s="8" t="s">
        <v>120</v>
      </c>
      <c r="F1787" s="8" t="s">
        <v>6110</v>
      </c>
      <c r="G1787" s="8" t="s">
        <v>6111</v>
      </c>
      <c r="H1787" s="9">
        <v>200000</v>
      </c>
      <c r="I1787" s="9">
        <f>[1]!Tabel1[[#This Row],[Honorar]]*[1]!Tabel1[[#This Row],[Sandsynlighed]]</f>
        <v>12000</v>
      </c>
      <c r="J1787" s="10" t="s">
        <v>585</v>
      </c>
      <c r="K1787" s="1" t="s">
        <v>585</v>
      </c>
      <c r="L1787" s="17"/>
      <c r="M1787" s="11">
        <v>0.5</v>
      </c>
      <c r="N1787" s="1">
        <v>1450</v>
      </c>
      <c r="O1787" s="10">
        <v>46269.501493055555</v>
      </c>
      <c r="P1787" s="10" t="s">
        <v>4507</v>
      </c>
      <c r="Q1787" s="1" t="s">
        <v>72</v>
      </c>
      <c r="R1787" s="8" t="s">
        <v>1265</v>
      </c>
      <c r="S178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8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8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8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8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8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8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8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8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8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8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8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8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87" s="12">
        <f ca="1">[1]!Tabel1[[#This Row],[Vægtet Honorar]]*([1]!Tabel1[[#This Row],[Sidst redigeret]]&gt;TODAY()-40)*([1]!Tabel1[[#This Row],[Er i resplan?]]&lt;&gt;"Ja")*([1]!Tabel1[[#This Row],[Status]]="Pågår")</f>
        <v>0</v>
      </c>
      <c r="AG1787" s="12">
        <f ca="1">[1]!Tabel1[[#This Row],[Vægtet Honorar]]*([1]!Tabel1[[#This Row],[Sidst redigeret]]&gt;TODAY()-40)*([1]!Tabel1[[#This Row],[Status]]="Pågår")</f>
        <v>0</v>
      </c>
      <c r="AH1787" s="13"/>
      <c r="AI1787" s="12"/>
      <c r="AJ1787" s="12" t="s">
        <v>6112</v>
      </c>
      <c r="AK1787" s="12"/>
      <c r="AL1787" s="12"/>
      <c r="AM1787" s="12"/>
      <c r="AN1787" s="12"/>
      <c r="AO1787" s="12"/>
      <c r="AP1787" s="12"/>
    </row>
    <row r="1788" spans="1:42">
      <c r="A1788" t="s">
        <v>6113</v>
      </c>
      <c r="B1788" s="8"/>
      <c r="C1788" s="8" t="s">
        <v>6114</v>
      </c>
      <c r="D1788" s="8" t="s">
        <v>1468</v>
      </c>
      <c r="E1788" s="8" t="s">
        <v>167</v>
      </c>
      <c r="F1788" s="8" t="s">
        <v>812</v>
      </c>
      <c r="G1788" s="8"/>
      <c r="H1788" s="9">
        <v>150000</v>
      </c>
      <c r="I1788" s="9">
        <f>[1]!Tabel1[[#This Row],[Honorar]]*[1]!Tabel1[[#This Row],[Sandsynlighed]]</f>
        <v>150000</v>
      </c>
      <c r="J1788" s="10" t="s">
        <v>585</v>
      </c>
      <c r="K1788" s="1" t="s">
        <v>342</v>
      </c>
      <c r="L1788" s="17"/>
      <c r="M1788" s="11">
        <v>0.25</v>
      </c>
      <c r="N1788" s="1"/>
      <c r="O1788" s="10">
        <v>46197.666770833333</v>
      </c>
      <c r="P1788" s="10" t="s">
        <v>4507</v>
      </c>
      <c r="Q1788" s="1" t="s">
        <v>72</v>
      </c>
      <c r="R1788" s="8" t="s">
        <v>343</v>
      </c>
      <c r="S178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8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8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8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8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8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8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8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8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8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8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8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8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88" s="12">
        <f ca="1">[1]!Tabel1[[#This Row],[Vægtet Honorar]]*([1]!Tabel1[[#This Row],[Sidst redigeret]]&gt;TODAY()-40)*([1]!Tabel1[[#This Row],[Er i resplan?]]&lt;&gt;"Ja")*([1]!Tabel1[[#This Row],[Status]]="Pågår")</f>
        <v>0</v>
      </c>
      <c r="AG1788" s="12">
        <f ca="1">[1]!Tabel1[[#This Row],[Vægtet Honorar]]*([1]!Tabel1[[#This Row],[Sidst redigeret]]&gt;TODAY()-40)*([1]!Tabel1[[#This Row],[Status]]="Pågår")</f>
        <v>0</v>
      </c>
      <c r="AH1788" s="13"/>
      <c r="AI1788" s="12"/>
      <c r="AJ1788" s="12" t="s">
        <v>6112</v>
      </c>
      <c r="AK1788" s="12"/>
      <c r="AL1788" s="12"/>
      <c r="AM1788" s="12"/>
      <c r="AN1788" s="12"/>
      <c r="AO1788" s="12"/>
      <c r="AP1788" s="12"/>
    </row>
    <row r="1789" spans="1:42">
      <c r="A1789" t="s">
        <v>6115</v>
      </c>
      <c r="B1789" s="8"/>
      <c r="C1789" s="8" t="s">
        <v>6116</v>
      </c>
      <c r="D1789" s="8" t="s">
        <v>5488</v>
      </c>
      <c r="E1789" s="8" t="s">
        <v>71</v>
      </c>
      <c r="F1789" s="8" t="s">
        <v>721</v>
      </c>
      <c r="G1789" s="8" t="s">
        <v>721</v>
      </c>
      <c r="H1789" s="9">
        <v>1000000</v>
      </c>
      <c r="I1789" s="9">
        <f>[1]!Tabel1[[#This Row],[Honorar]]*[1]!Tabel1[[#This Row],[Sandsynlighed]]</f>
        <v>27000</v>
      </c>
      <c r="J1789" s="10" t="s">
        <v>342</v>
      </c>
      <c r="K1789" s="1" t="s">
        <v>898</v>
      </c>
      <c r="L1789" s="17"/>
      <c r="M1789" s="11">
        <v>0.25</v>
      </c>
      <c r="N1789" s="1" t="s">
        <v>6117</v>
      </c>
      <c r="O1789" s="10">
        <v>46198.478020833332</v>
      </c>
      <c r="P1789" s="10"/>
      <c r="Q1789" s="1" t="s">
        <v>46</v>
      </c>
      <c r="R1789" s="8" t="s">
        <v>343</v>
      </c>
      <c r="S178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8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8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8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8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8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8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8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8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8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8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8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8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89" s="12">
        <f ca="1">[1]!Tabel1[[#This Row],[Vægtet Honorar]]*([1]!Tabel1[[#This Row],[Sidst redigeret]]&gt;TODAY()-40)*([1]!Tabel1[[#This Row],[Er i resplan?]]&lt;&gt;"Ja")*([1]!Tabel1[[#This Row],[Status]]="Pågår")</f>
        <v>0</v>
      </c>
      <c r="AG1789" s="12">
        <f ca="1">[1]!Tabel1[[#This Row],[Vægtet Honorar]]*([1]!Tabel1[[#This Row],[Sidst redigeret]]&gt;TODAY()-40)*([1]!Tabel1[[#This Row],[Status]]="Pågår")</f>
        <v>0</v>
      </c>
      <c r="AH1789" s="13"/>
      <c r="AI1789" s="12"/>
      <c r="AJ1789" s="12"/>
      <c r="AK1789" s="12"/>
      <c r="AL1789" s="12"/>
      <c r="AM1789" s="12"/>
      <c r="AN1789" s="12"/>
      <c r="AO1789" s="12"/>
      <c r="AP1789" s="12"/>
    </row>
    <row r="1790" spans="1:42">
      <c r="A1790" t="s">
        <v>6118</v>
      </c>
      <c r="B1790" s="8"/>
      <c r="C1790" s="8" t="s">
        <v>6119</v>
      </c>
      <c r="D1790" s="8" t="s">
        <v>5488</v>
      </c>
      <c r="E1790" s="8" t="s">
        <v>71</v>
      </c>
      <c r="F1790" s="8" t="s">
        <v>721</v>
      </c>
      <c r="G1790" s="8" t="s">
        <v>721</v>
      </c>
      <c r="H1790" s="9">
        <v>200000</v>
      </c>
      <c r="I1790" s="9">
        <f>[1]!Tabel1[[#This Row],[Honorar]]*[1]!Tabel1[[#This Row],[Sandsynlighed]]</f>
        <v>450000</v>
      </c>
      <c r="J1790" s="10" t="s">
        <v>342</v>
      </c>
      <c r="K1790" s="1" t="s">
        <v>2405</v>
      </c>
      <c r="L1790" s="17"/>
      <c r="M1790" s="11">
        <v>0.25</v>
      </c>
      <c r="N1790" s="1"/>
      <c r="O1790" s="10">
        <v>46198.479224537034</v>
      </c>
      <c r="P1790" s="10" t="s">
        <v>46</v>
      </c>
      <c r="Q1790" s="1" t="s">
        <v>46</v>
      </c>
      <c r="R1790" s="8" t="s">
        <v>343</v>
      </c>
      <c r="S179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9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9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9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9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9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9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9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9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9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9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9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9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90" s="12">
        <f ca="1">[1]!Tabel1[[#This Row],[Vægtet Honorar]]*([1]!Tabel1[[#This Row],[Sidst redigeret]]&gt;TODAY()-40)*([1]!Tabel1[[#This Row],[Er i resplan?]]&lt;&gt;"Ja")*([1]!Tabel1[[#This Row],[Status]]="Pågår")</f>
        <v>0</v>
      </c>
      <c r="AG1790" s="12">
        <f ca="1">[1]!Tabel1[[#This Row],[Vægtet Honorar]]*([1]!Tabel1[[#This Row],[Sidst redigeret]]&gt;TODAY()-40)*([1]!Tabel1[[#This Row],[Status]]="Pågår")</f>
        <v>0</v>
      </c>
      <c r="AH1790" s="13"/>
      <c r="AI1790" s="12"/>
      <c r="AJ1790" s="12"/>
      <c r="AK1790" s="12"/>
      <c r="AL1790" s="12"/>
      <c r="AM1790" s="12"/>
      <c r="AN1790" s="12"/>
      <c r="AO1790" s="12"/>
      <c r="AP1790" s="12"/>
    </row>
    <row r="1791" spans="1:42">
      <c r="A1791" t="s">
        <v>6120</v>
      </c>
      <c r="B1791" s="8"/>
      <c r="C1791" s="8" t="s">
        <v>6121</v>
      </c>
      <c r="D1791" s="8" t="s">
        <v>896</v>
      </c>
      <c r="E1791" s="8" t="s">
        <v>94</v>
      </c>
      <c r="F1791" s="8" t="s">
        <v>1735</v>
      </c>
      <c r="G1791" s="8" t="s">
        <v>1864</v>
      </c>
      <c r="H1791" s="9">
        <v>200000</v>
      </c>
      <c r="I1791" s="9">
        <f>[1]!Tabel1[[#This Row],[Honorar]]*[1]!Tabel1[[#This Row],[Sandsynlighed]]</f>
        <v>1000000</v>
      </c>
      <c r="J1791" s="10" t="s">
        <v>342</v>
      </c>
      <c r="K1791" s="1" t="s">
        <v>2405</v>
      </c>
      <c r="L1791" s="17"/>
      <c r="M1791" s="11">
        <v>0.19</v>
      </c>
      <c r="N1791" s="1"/>
      <c r="O1791" s="10">
        <v>46241.341967592591</v>
      </c>
      <c r="P1791" s="10"/>
      <c r="Q1791" s="1" t="s">
        <v>46</v>
      </c>
      <c r="R1791" s="8" t="s">
        <v>1052</v>
      </c>
      <c r="S179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9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9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9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9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9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9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9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9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9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9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9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9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91" s="12">
        <f ca="1">[1]!Tabel1[[#This Row],[Vægtet Honorar]]*([1]!Tabel1[[#This Row],[Sidst redigeret]]&gt;TODAY()-40)*([1]!Tabel1[[#This Row],[Er i resplan?]]&lt;&gt;"Ja")*([1]!Tabel1[[#This Row],[Status]]="Pågår")</f>
        <v>0</v>
      </c>
      <c r="AG1791" s="12">
        <f ca="1">[1]!Tabel1[[#This Row],[Vægtet Honorar]]*([1]!Tabel1[[#This Row],[Sidst redigeret]]&gt;TODAY()-40)*([1]!Tabel1[[#This Row],[Status]]="Pågår")</f>
        <v>0</v>
      </c>
      <c r="AH1791" s="13"/>
      <c r="AI1791" s="12"/>
      <c r="AJ1791" s="12" t="s">
        <v>1864</v>
      </c>
      <c r="AK1791" s="12"/>
      <c r="AL1791" s="12"/>
      <c r="AM1791" s="12"/>
      <c r="AN1791" s="12"/>
      <c r="AO1791" s="12"/>
      <c r="AP1791" s="12"/>
    </row>
    <row r="1792" spans="1:42">
      <c r="A1792" t="s">
        <v>6122</v>
      </c>
      <c r="B1792" s="8"/>
      <c r="C1792" s="8" t="s">
        <v>6123</v>
      </c>
      <c r="D1792" s="8" t="s">
        <v>2841</v>
      </c>
      <c r="E1792" s="8" t="s">
        <v>120</v>
      </c>
      <c r="F1792" s="8" t="s">
        <v>6124</v>
      </c>
      <c r="G1792" s="8" t="s">
        <v>6125</v>
      </c>
      <c r="H1792" s="9">
        <v>20000</v>
      </c>
      <c r="I1792" s="9">
        <f>[1]!Tabel1[[#This Row],[Honorar]]*[1]!Tabel1[[#This Row],[Sandsynlighed]]</f>
        <v>100000</v>
      </c>
      <c r="J1792" s="10" t="s">
        <v>585</v>
      </c>
      <c r="K1792" s="1" t="s">
        <v>342</v>
      </c>
      <c r="L1792" s="17"/>
      <c r="M1792" s="11">
        <v>0.5</v>
      </c>
      <c r="N1792" s="1">
        <v>60</v>
      </c>
      <c r="O1792" s="10">
        <v>46269.501516203702</v>
      </c>
      <c r="P1792" s="10" t="s">
        <v>6126</v>
      </c>
      <c r="Q1792" s="1" t="s">
        <v>46</v>
      </c>
      <c r="R1792" s="8" t="s">
        <v>1265</v>
      </c>
      <c r="S179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9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9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9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9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9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9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9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9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9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9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9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9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92" s="12">
        <f ca="1">[1]!Tabel1[[#This Row],[Vægtet Honorar]]*([1]!Tabel1[[#This Row],[Sidst redigeret]]&gt;TODAY()-40)*([1]!Tabel1[[#This Row],[Er i resplan?]]&lt;&gt;"Ja")*([1]!Tabel1[[#This Row],[Status]]="Pågår")</f>
        <v>0</v>
      </c>
      <c r="AG1792" s="12">
        <f ca="1">[1]!Tabel1[[#This Row],[Vægtet Honorar]]*([1]!Tabel1[[#This Row],[Sidst redigeret]]&gt;TODAY()-40)*([1]!Tabel1[[#This Row],[Status]]="Pågår")</f>
        <v>0</v>
      </c>
      <c r="AH1792" s="13"/>
      <c r="AI1792" s="12"/>
      <c r="AJ1792" s="12" t="s">
        <v>6125</v>
      </c>
      <c r="AK1792" s="12"/>
      <c r="AL1792" s="12"/>
      <c r="AM1792" s="12"/>
      <c r="AN1792" s="12"/>
      <c r="AO1792" s="12"/>
      <c r="AP1792" s="12"/>
    </row>
    <row r="1793" spans="1:42">
      <c r="A1793" t="s">
        <v>6127</v>
      </c>
      <c r="B1793" s="8"/>
      <c r="C1793" s="8" t="s">
        <v>6128</v>
      </c>
      <c r="D1793" s="8" t="s">
        <v>2841</v>
      </c>
      <c r="E1793" s="8" t="s">
        <v>120</v>
      </c>
      <c r="F1793" s="8" t="s">
        <v>6129</v>
      </c>
      <c r="G1793" s="8" t="s">
        <v>6125</v>
      </c>
      <c r="H1793" s="9">
        <v>20000</v>
      </c>
      <c r="I1793" s="9">
        <f>[1]!Tabel1[[#This Row],[Honorar]]*[1]!Tabel1[[#This Row],[Sandsynlighed]]</f>
        <v>37500</v>
      </c>
      <c r="J1793" s="10" t="s">
        <v>585</v>
      </c>
      <c r="K1793" s="1" t="s">
        <v>342</v>
      </c>
      <c r="L1793" s="17"/>
      <c r="M1793" s="11">
        <v>0.5</v>
      </c>
      <c r="N1793" s="1">
        <v>60</v>
      </c>
      <c r="O1793" s="10">
        <v>46269.501562500001</v>
      </c>
      <c r="P1793" s="10" t="s">
        <v>6126</v>
      </c>
      <c r="Q1793" s="1" t="s">
        <v>46</v>
      </c>
      <c r="R1793" s="8" t="s">
        <v>1265</v>
      </c>
      <c r="S179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9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9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9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9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9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9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9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9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9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9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9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9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93" s="12">
        <f ca="1">[1]!Tabel1[[#This Row],[Vægtet Honorar]]*([1]!Tabel1[[#This Row],[Sidst redigeret]]&gt;TODAY()-40)*([1]!Tabel1[[#This Row],[Er i resplan?]]&lt;&gt;"Ja")*([1]!Tabel1[[#This Row],[Status]]="Pågår")</f>
        <v>0</v>
      </c>
      <c r="AG1793" s="12">
        <f ca="1">[1]!Tabel1[[#This Row],[Vægtet Honorar]]*([1]!Tabel1[[#This Row],[Sidst redigeret]]&gt;TODAY()-40)*([1]!Tabel1[[#This Row],[Status]]="Pågår")</f>
        <v>0</v>
      </c>
      <c r="AH1793" s="13"/>
      <c r="AI1793" s="12"/>
      <c r="AJ1793" s="12" t="s">
        <v>6125</v>
      </c>
      <c r="AK1793" s="12"/>
      <c r="AL1793" s="12"/>
      <c r="AM1793" s="12"/>
      <c r="AN1793" s="12"/>
      <c r="AO1793" s="12"/>
      <c r="AP1793" s="12"/>
    </row>
    <row r="1794" spans="1:42">
      <c r="A1794" t="s">
        <v>6130</v>
      </c>
      <c r="B1794" s="8"/>
      <c r="C1794" s="8" t="s">
        <v>6131</v>
      </c>
      <c r="D1794" s="8" t="s">
        <v>1771</v>
      </c>
      <c r="E1794" s="8" t="s">
        <v>167</v>
      </c>
      <c r="F1794" s="8" t="s">
        <v>4862</v>
      </c>
      <c r="G1794" s="8" t="s">
        <v>4862</v>
      </c>
      <c r="H1794" s="9">
        <v>1200000</v>
      </c>
      <c r="I1794" s="9">
        <f>[1]!Tabel1[[#This Row],[Honorar]]*[1]!Tabel1[[#This Row],[Sandsynlighed]]</f>
        <v>250000</v>
      </c>
      <c r="J1794" s="10" t="s">
        <v>585</v>
      </c>
      <c r="K1794" s="1" t="s">
        <v>342</v>
      </c>
      <c r="L1794" s="17"/>
      <c r="M1794" s="11">
        <v>0.5</v>
      </c>
      <c r="N1794" s="1" t="s">
        <v>6132</v>
      </c>
      <c r="O1794" s="10">
        <v>46204.637604166666</v>
      </c>
      <c r="P1794" s="10" t="s">
        <v>46</v>
      </c>
      <c r="Q1794" s="1" t="s">
        <v>4507</v>
      </c>
      <c r="R1794" s="8" t="s">
        <v>343</v>
      </c>
      <c r="S179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9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9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9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9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9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9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9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9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9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9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9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9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94" s="12">
        <f ca="1">[1]!Tabel1[[#This Row],[Vægtet Honorar]]*([1]!Tabel1[[#This Row],[Sidst redigeret]]&gt;TODAY()-40)*([1]!Tabel1[[#This Row],[Er i resplan?]]&lt;&gt;"Ja")*([1]!Tabel1[[#This Row],[Status]]="Pågår")</f>
        <v>0</v>
      </c>
      <c r="AG1794" s="12">
        <f ca="1">[1]!Tabel1[[#This Row],[Vægtet Honorar]]*([1]!Tabel1[[#This Row],[Sidst redigeret]]&gt;TODAY()-40)*([1]!Tabel1[[#This Row],[Status]]="Pågår")</f>
        <v>0</v>
      </c>
      <c r="AH1794" s="13"/>
      <c r="AI1794" s="12"/>
      <c r="AJ1794" s="12" t="s">
        <v>6125</v>
      </c>
      <c r="AK1794" s="12"/>
      <c r="AL1794" s="12"/>
      <c r="AM1794" s="12"/>
      <c r="AN1794" s="12"/>
      <c r="AO1794" s="12"/>
      <c r="AP1794" s="12"/>
    </row>
    <row r="1795" spans="1:42">
      <c r="A1795" t="s">
        <v>6133</v>
      </c>
      <c r="B1795" s="8"/>
      <c r="C1795" s="8" t="s">
        <v>6134</v>
      </c>
      <c r="D1795" s="8" t="s">
        <v>2886</v>
      </c>
      <c r="E1795" s="8" t="s">
        <v>120</v>
      </c>
      <c r="F1795" s="8" t="s">
        <v>6135</v>
      </c>
      <c r="G1795" s="8" t="s">
        <v>6135</v>
      </c>
      <c r="H1795" s="9">
        <v>3500000</v>
      </c>
      <c r="I1795" s="9">
        <f>[1]!Tabel1[[#This Row],[Honorar]]*[1]!Tabel1[[#This Row],[Sandsynlighed]]</f>
        <v>50000</v>
      </c>
      <c r="J1795" s="10" t="s">
        <v>2105</v>
      </c>
      <c r="K1795" s="1" t="s">
        <v>2039</v>
      </c>
      <c r="L1795" s="17"/>
      <c r="M1795" s="11">
        <v>0.05</v>
      </c>
      <c r="N1795" s="1" t="s">
        <v>6136</v>
      </c>
      <c r="O1795" s="10">
        <v>46199.413124999999</v>
      </c>
      <c r="P1795" s="10" t="s">
        <v>46</v>
      </c>
      <c r="Q1795" s="1" t="s">
        <v>72</v>
      </c>
      <c r="R1795" s="8" t="s">
        <v>343</v>
      </c>
      <c r="S179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9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9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9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9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9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9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9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9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9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9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9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9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95" s="12">
        <f ca="1">[1]!Tabel1[[#This Row],[Vægtet Honorar]]*([1]!Tabel1[[#This Row],[Sidst redigeret]]&gt;TODAY()-40)*([1]!Tabel1[[#This Row],[Er i resplan?]]&lt;&gt;"Ja")*([1]!Tabel1[[#This Row],[Status]]="Pågår")</f>
        <v>0</v>
      </c>
      <c r="AG1795" s="12">
        <f ca="1">[1]!Tabel1[[#This Row],[Vægtet Honorar]]*([1]!Tabel1[[#This Row],[Sidst redigeret]]&gt;TODAY()-40)*([1]!Tabel1[[#This Row],[Status]]="Pågår")</f>
        <v>0</v>
      </c>
      <c r="AH1795" s="13"/>
      <c r="AI1795" s="12"/>
      <c r="AJ1795" s="12" t="s">
        <v>1864</v>
      </c>
      <c r="AK1795" s="12"/>
      <c r="AL1795" s="12"/>
      <c r="AM1795" s="12"/>
      <c r="AN1795" s="12"/>
      <c r="AO1795" s="12"/>
      <c r="AP1795" s="12"/>
    </row>
    <row r="1796" spans="1:42">
      <c r="A1796" t="s">
        <v>6137</v>
      </c>
      <c r="B1796" s="8"/>
      <c r="C1796" s="8" t="s">
        <v>6134</v>
      </c>
      <c r="D1796" s="8" t="s">
        <v>2886</v>
      </c>
      <c r="E1796" s="8" t="s">
        <v>120</v>
      </c>
      <c r="F1796" s="8" t="s">
        <v>6135</v>
      </c>
      <c r="G1796" s="8" t="s">
        <v>6135</v>
      </c>
      <c r="H1796" s="9">
        <v>3500000</v>
      </c>
      <c r="I1796" s="9">
        <f>[1]!Tabel1[[#This Row],[Honorar]]*[1]!Tabel1[[#This Row],[Sandsynlighed]]</f>
        <v>38000</v>
      </c>
      <c r="J1796" s="10" t="s">
        <v>2105</v>
      </c>
      <c r="K1796" s="1" t="s">
        <v>2039</v>
      </c>
      <c r="L1796" s="17"/>
      <c r="M1796" s="11">
        <v>0.05</v>
      </c>
      <c r="N1796" s="1" t="s">
        <v>6136</v>
      </c>
      <c r="O1796" s="10">
        <v>46199.413831018515</v>
      </c>
      <c r="P1796" s="10" t="s">
        <v>46</v>
      </c>
      <c r="Q1796" s="1" t="s">
        <v>72</v>
      </c>
      <c r="R1796" s="8" t="s">
        <v>343</v>
      </c>
      <c r="S1796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9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9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9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9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9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9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9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9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9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9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9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9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96" s="12">
        <f ca="1">[1]!Tabel1[[#This Row],[Vægtet Honorar]]*([1]!Tabel1[[#This Row],[Sidst redigeret]]&gt;TODAY()-40)*([1]!Tabel1[[#This Row],[Er i resplan?]]&lt;&gt;"Ja")*([1]!Tabel1[[#This Row],[Status]]="Pågår")</f>
        <v>0</v>
      </c>
      <c r="AG1796" s="12">
        <f ca="1">[1]!Tabel1[[#This Row],[Vægtet Honorar]]*([1]!Tabel1[[#This Row],[Sidst redigeret]]&gt;TODAY()-40)*([1]!Tabel1[[#This Row],[Status]]="Pågår")</f>
        <v>0</v>
      </c>
      <c r="AH1796" s="13"/>
      <c r="AI1796" s="12"/>
      <c r="AJ1796" s="12" t="s">
        <v>1864</v>
      </c>
      <c r="AK1796" s="12"/>
      <c r="AL1796" s="12"/>
      <c r="AM1796" s="12"/>
      <c r="AN1796" s="12"/>
      <c r="AO1796" s="12"/>
      <c r="AP1796" s="12"/>
    </row>
    <row r="1797" spans="1:42" ht="45">
      <c r="A1797" t="s">
        <v>6138</v>
      </c>
      <c r="B1797" s="8"/>
      <c r="C1797" s="8" t="s">
        <v>6139</v>
      </c>
      <c r="D1797" s="8" t="s">
        <v>720</v>
      </c>
      <c r="E1797" s="8" t="s">
        <v>71</v>
      </c>
      <c r="F1797" s="8" t="s">
        <v>6140</v>
      </c>
      <c r="G1797" s="8" t="s">
        <v>1162</v>
      </c>
      <c r="H1797" s="9">
        <v>100000</v>
      </c>
      <c r="I1797" s="9">
        <f>[1]!Tabel1[[#This Row],[Honorar]]*[1]!Tabel1[[#This Row],[Sandsynlighed]]</f>
        <v>10000</v>
      </c>
      <c r="J1797" s="10" t="s">
        <v>585</v>
      </c>
      <c r="K1797" s="1" t="s">
        <v>342</v>
      </c>
      <c r="L1797" s="17" t="s">
        <v>6141</v>
      </c>
      <c r="M1797" s="11">
        <v>0.2</v>
      </c>
      <c r="N1797" s="1"/>
      <c r="O1797" s="10">
        <v>46202.610648148147</v>
      </c>
      <c r="P1797" s="10" t="s">
        <v>46</v>
      </c>
      <c r="Q1797" s="1" t="s">
        <v>72</v>
      </c>
      <c r="R1797" s="8" t="s">
        <v>343</v>
      </c>
      <c r="S1797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9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9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9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9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9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9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9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9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9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9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9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9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97" s="12">
        <f ca="1">[1]!Tabel1[[#This Row],[Vægtet Honorar]]*([1]!Tabel1[[#This Row],[Sidst redigeret]]&gt;TODAY()-40)*([1]!Tabel1[[#This Row],[Er i resplan?]]&lt;&gt;"Ja")*([1]!Tabel1[[#This Row],[Status]]="Pågår")</f>
        <v>0</v>
      </c>
      <c r="AG1797" s="12">
        <f ca="1">[1]!Tabel1[[#This Row],[Vægtet Honorar]]*([1]!Tabel1[[#This Row],[Sidst redigeret]]&gt;TODAY()-40)*([1]!Tabel1[[#This Row],[Status]]="Pågår")</f>
        <v>0</v>
      </c>
      <c r="AH1797" s="13"/>
      <c r="AI1797" s="12"/>
      <c r="AJ1797" s="12" t="s">
        <v>1864</v>
      </c>
      <c r="AK1797" s="12"/>
      <c r="AL1797" s="12"/>
      <c r="AM1797" s="12"/>
      <c r="AN1797" s="12"/>
      <c r="AO1797" s="12"/>
      <c r="AP1797" s="12"/>
    </row>
    <row r="1798" spans="1:42" ht="30">
      <c r="A1798" t="s">
        <v>6142</v>
      </c>
      <c r="B1798" s="8"/>
      <c r="C1798" s="8" t="s">
        <v>6143</v>
      </c>
      <c r="D1798" s="8" t="s">
        <v>1771</v>
      </c>
      <c r="E1798" s="8" t="s">
        <v>167</v>
      </c>
      <c r="F1798" s="8" t="s">
        <v>6144</v>
      </c>
      <c r="G1798" s="8" t="s">
        <v>5094</v>
      </c>
      <c r="H1798" s="9">
        <v>8000000</v>
      </c>
      <c r="I1798" s="9">
        <f>[1]!Tabel1[[#This Row],[Honorar]]*[1]!Tabel1[[#This Row],[Sandsynlighed]]</f>
        <v>10000</v>
      </c>
      <c r="J1798" s="10" t="s">
        <v>1430</v>
      </c>
      <c r="K1798" s="1" t="s">
        <v>2093</v>
      </c>
      <c r="L1798" s="17" t="s">
        <v>577</v>
      </c>
      <c r="M1798" s="11">
        <v>0.01</v>
      </c>
      <c r="N1798" s="1" t="s">
        <v>6145</v>
      </c>
      <c r="O1798" s="10">
        <v>46269.403599537036</v>
      </c>
      <c r="P1798" s="10"/>
      <c r="Q1798" s="1" t="s">
        <v>72</v>
      </c>
      <c r="R1798" s="8" t="s">
        <v>343</v>
      </c>
      <c r="S1798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9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9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9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9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9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9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9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9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9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9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9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9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98" s="12">
        <f ca="1">[1]!Tabel1[[#This Row],[Vægtet Honorar]]*([1]!Tabel1[[#This Row],[Sidst redigeret]]&gt;TODAY()-40)*([1]!Tabel1[[#This Row],[Er i resplan?]]&lt;&gt;"Ja")*([1]!Tabel1[[#This Row],[Status]]="Pågår")</f>
        <v>0</v>
      </c>
      <c r="AG1798" s="12">
        <f ca="1">[1]!Tabel1[[#This Row],[Vægtet Honorar]]*([1]!Tabel1[[#This Row],[Sidst redigeret]]&gt;TODAY()-40)*([1]!Tabel1[[#This Row],[Status]]="Pågår")</f>
        <v>0</v>
      </c>
      <c r="AH1798" s="13"/>
      <c r="AI1798" s="12"/>
      <c r="AJ1798" s="12" t="s">
        <v>1213</v>
      </c>
      <c r="AK1798" s="12"/>
      <c r="AL1798" s="12"/>
      <c r="AM1798" s="12"/>
      <c r="AN1798" s="12"/>
      <c r="AO1798" s="12"/>
      <c r="AP1798" s="12"/>
    </row>
    <row r="1799" spans="1:42">
      <c r="A1799" t="s">
        <v>6146</v>
      </c>
      <c r="B1799" s="8"/>
      <c r="C1799" s="8" t="s">
        <v>6147</v>
      </c>
      <c r="D1799" s="8" t="s">
        <v>720</v>
      </c>
      <c r="E1799" s="8" t="s">
        <v>71</v>
      </c>
      <c r="F1799" s="8" t="s">
        <v>6148</v>
      </c>
      <c r="G1799" s="8" t="s">
        <v>1551</v>
      </c>
      <c r="H1799" s="9">
        <v>1500000</v>
      </c>
      <c r="I1799" s="9">
        <f>[1]!Tabel1[[#This Row],[Honorar]]*[1]!Tabel1[[#This Row],[Sandsynlighed]]</f>
        <v>600000</v>
      </c>
      <c r="J1799" s="10" t="s">
        <v>342</v>
      </c>
      <c r="K1799" s="1" t="s">
        <v>2405</v>
      </c>
      <c r="L1799" s="17"/>
      <c r="M1799" s="11">
        <v>0.25</v>
      </c>
      <c r="N1799" s="1">
        <v>2000</v>
      </c>
      <c r="O1799" s="10">
        <v>46203.521805555552</v>
      </c>
      <c r="P1799" s="10" t="s">
        <v>679</v>
      </c>
      <c r="Q1799" s="1" t="s">
        <v>72</v>
      </c>
      <c r="R1799" s="8" t="s">
        <v>343</v>
      </c>
      <c r="S179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79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79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79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79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79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79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79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79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79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79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79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79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799" s="12">
        <f ca="1">[1]!Tabel1[[#This Row],[Vægtet Honorar]]*([1]!Tabel1[[#This Row],[Sidst redigeret]]&gt;TODAY()-40)*([1]!Tabel1[[#This Row],[Er i resplan?]]&lt;&gt;"Ja")*([1]!Tabel1[[#This Row],[Status]]="Pågår")</f>
        <v>0</v>
      </c>
      <c r="AG1799" s="12">
        <f ca="1">[1]!Tabel1[[#This Row],[Vægtet Honorar]]*([1]!Tabel1[[#This Row],[Sidst redigeret]]&gt;TODAY()-40)*([1]!Tabel1[[#This Row],[Status]]="Pågår")</f>
        <v>0</v>
      </c>
      <c r="AH1799" s="13"/>
      <c r="AI1799" s="12"/>
      <c r="AJ1799" s="12" t="s">
        <v>1213</v>
      </c>
      <c r="AK1799" s="12"/>
      <c r="AL1799" s="12"/>
      <c r="AM1799" s="12"/>
      <c r="AN1799" s="12"/>
      <c r="AO1799" s="12"/>
      <c r="AP1799" s="12"/>
    </row>
    <row r="1800" spans="1:42">
      <c r="A1800" t="s">
        <v>6149</v>
      </c>
      <c r="B1800" s="8"/>
      <c r="C1800" s="8" t="s">
        <v>6150</v>
      </c>
      <c r="D1800" s="8" t="s">
        <v>720</v>
      </c>
      <c r="E1800" s="8" t="s">
        <v>71</v>
      </c>
      <c r="F1800" s="8" t="s">
        <v>3480</v>
      </c>
      <c r="G1800" s="8" t="s">
        <v>3480</v>
      </c>
      <c r="H1800" s="9">
        <v>300000</v>
      </c>
      <c r="I1800" s="9">
        <f>[1]!Tabel1[[#This Row],[Honorar]]*[1]!Tabel1[[#This Row],[Sandsynlighed]]</f>
        <v>175000</v>
      </c>
      <c r="J1800" s="10" t="s">
        <v>585</v>
      </c>
      <c r="K1800" s="1" t="s">
        <v>342</v>
      </c>
      <c r="L1800" s="17"/>
      <c r="M1800" s="11">
        <v>0.9</v>
      </c>
      <c r="N1800" s="1">
        <v>4525</v>
      </c>
      <c r="O1800" s="10">
        <v>46204.417673611111</v>
      </c>
      <c r="P1800" s="10" t="s">
        <v>679</v>
      </c>
      <c r="Q1800" s="1" t="s">
        <v>72</v>
      </c>
      <c r="R1800" s="8" t="s">
        <v>343</v>
      </c>
      <c r="S180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0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0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0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0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0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0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0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0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0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0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0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0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00" s="12">
        <f ca="1">[1]!Tabel1[[#This Row],[Vægtet Honorar]]*([1]!Tabel1[[#This Row],[Sidst redigeret]]&gt;TODAY()-40)*([1]!Tabel1[[#This Row],[Er i resplan?]]&lt;&gt;"Ja")*([1]!Tabel1[[#This Row],[Status]]="Pågår")</f>
        <v>0</v>
      </c>
      <c r="AG1800" s="12">
        <f ca="1">[1]!Tabel1[[#This Row],[Vægtet Honorar]]*([1]!Tabel1[[#This Row],[Sidst redigeret]]&gt;TODAY()-40)*([1]!Tabel1[[#This Row],[Status]]="Pågår")</f>
        <v>0</v>
      </c>
      <c r="AH1800" s="13"/>
      <c r="AI1800" s="12"/>
      <c r="AJ1800" s="12" t="s">
        <v>1213</v>
      </c>
      <c r="AK1800" s="12"/>
      <c r="AL1800" s="12"/>
      <c r="AM1800" s="12"/>
      <c r="AN1800" s="12"/>
      <c r="AO1800" s="12"/>
      <c r="AP1800" s="12"/>
    </row>
    <row r="1801" spans="1:42">
      <c r="A1801" t="s">
        <v>6151</v>
      </c>
      <c r="B1801" s="8"/>
      <c r="C1801" s="8" t="s">
        <v>6152</v>
      </c>
      <c r="D1801" s="8" t="s">
        <v>1771</v>
      </c>
      <c r="E1801" s="8" t="s">
        <v>167</v>
      </c>
      <c r="F1801" s="8" t="s">
        <v>6153</v>
      </c>
      <c r="G1801" s="8" t="s">
        <v>6153</v>
      </c>
      <c r="H1801" s="9">
        <v>200000</v>
      </c>
      <c r="I1801" s="9">
        <f>[1]!Tabel1[[#This Row],[Honorar]]*[1]!Tabel1[[#This Row],[Sandsynlighed]]</f>
        <v>175000</v>
      </c>
      <c r="J1801" s="10" t="s">
        <v>585</v>
      </c>
      <c r="K1801" s="1" t="s">
        <v>1062</v>
      </c>
      <c r="L1801" s="17"/>
      <c r="M1801" s="11">
        <v>0</v>
      </c>
      <c r="N1801" s="1" t="s">
        <v>6154</v>
      </c>
      <c r="O1801" s="10">
        <v>46230.381331018521</v>
      </c>
      <c r="P1801" s="10" t="s">
        <v>46</v>
      </c>
      <c r="Q1801" s="1" t="s">
        <v>72</v>
      </c>
      <c r="R1801" s="8" t="s">
        <v>49</v>
      </c>
      <c r="S180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0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0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0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0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0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0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0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0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0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0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0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0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01" s="12">
        <f ca="1">[1]!Tabel1[[#This Row],[Vægtet Honorar]]*([1]!Tabel1[[#This Row],[Sidst redigeret]]&gt;TODAY()-40)*([1]!Tabel1[[#This Row],[Er i resplan?]]&lt;&gt;"Ja")*([1]!Tabel1[[#This Row],[Status]]="Pågår")</f>
        <v>0</v>
      </c>
      <c r="AG1801" s="12">
        <f ca="1">[1]!Tabel1[[#This Row],[Vægtet Honorar]]*([1]!Tabel1[[#This Row],[Sidst redigeret]]&gt;TODAY()-40)*([1]!Tabel1[[#This Row],[Status]]="Pågår")</f>
        <v>0</v>
      </c>
      <c r="AH1801" s="13"/>
      <c r="AI1801" s="12"/>
      <c r="AJ1801" s="12" t="s">
        <v>1213</v>
      </c>
      <c r="AK1801" s="12"/>
      <c r="AL1801" s="12"/>
      <c r="AM1801" s="12"/>
      <c r="AN1801" s="12"/>
      <c r="AO1801" s="12"/>
      <c r="AP1801" s="12"/>
    </row>
    <row r="1802" spans="1:42">
      <c r="A1802" t="s">
        <v>6155</v>
      </c>
      <c r="B1802" s="8"/>
      <c r="C1802" s="8" t="s">
        <v>6156</v>
      </c>
      <c r="D1802" s="8" t="s">
        <v>5958</v>
      </c>
      <c r="E1802" s="8" t="s">
        <v>120</v>
      </c>
      <c r="F1802" s="8" t="s">
        <v>6157</v>
      </c>
      <c r="G1802" s="8" t="s">
        <v>6157</v>
      </c>
      <c r="H1802" s="9">
        <v>450000</v>
      </c>
      <c r="I1802" s="9">
        <f>[1]!Tabel1[[#This Row],[Honorar]]*[1]!Tabel1[[#This Row],[Sandsynlighed]]</f>
        <v>20000</v>
      </c>
      <c r="J1802" s="10" t="s">
        <v>452</v>
      </c>
      <c r="K1802" s="1" t="s">
        <v>1861</v>
      </c>
      <c r="L1802" s="17"/>
      <c r="M1802" s="11">
        <v>0.5</v>
      </c>
      <c r="N1802" s="1">
        <v>1100</v>
      </c>
      <c r="O1802" s="10">
        <v>46269.501655092594</v>
      </c>
      <c r="P1802" s="10" t="s">
        <v>46</v>
      </c>
      <c r="Q1802" s="1" t="s">
        <v>72</v>
      </c>
      <c r="R1802" s="8" t="s">
        <v>4031</v>
      </c>
      <c r="S180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0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0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0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0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0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0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0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0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0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0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0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0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02" s="12">
        <f ca="1">[1]!Tabel1[[#This Row],[Vægtet Honorar]]*([1]!Tabel1[[#This Row],[Sidst redigeret]]&gt;TODAY()-40)*([1]!Tabel1[[#This Row],[Er i resplan?]]&lt;&gt;"Ja")*([1]!Tabel1[[#This Row],[Status]]="Pågår")</f>
        <v>0</v>
      </c>
      <c r="AG1802" s="12">
        <f ca="1">[1]!Tabel1[[#This Row],[Vægtet Honorar]]*([1]!Tabel1[[#This Row],[Sidst redigeret]]&gt;TODAY()-40)*([1]!Tabel1[[#This Row],[Status]]="Pågår")</f>
        <v>0</v>
      </c>
      <c r="AH1802" s="13">
        <v>46269.501655092594</v>
      </c>
      <c r="AI1802" s="12"/>
      <c r="AJ1802" s="12" t="s">
        <v>1213</v>
      </c>
      <c r="AK1802" s="12"/>
      <c r="AL1802" s="12"/>
      <c r="AM1802" s="12"/>
      <c r="AN1802" s="12"/>
      <c r="AO1802" s="12"/>
      <c r="AP1802" s="12"/>
    </row>
    <row r="1803" spans="1:42">
      <c r="A1803" t="s">
        <v>6158</v>
      </c>
      <c r="B1803" s="8"/>
      <c r="C1803" s="8" t="s">
        <v>6159</v>
      </c>
      <c r="D1803" s="8" t="s">
        <v>4254</v>
      </c>
      <c r="E1803" s="8" t="s">
        <v>167</v>
      </c>
      <c r="F1803" s="8" t="s">
        <v>756</v>
      </c>
      <c r="G1803" s="8" t="s">
        <v>756</v>
      </c>
      <c r="H1803" s="9">
        <v>315000</v>
      </c>
      <c r="I1803" s="9">
        <f>[1]!Tabel1[[#This Row],[Honorar]]*[1]!Tabel1[[#This Row],[Sandsynlighed]]</f>
        <v>80000</v>
      </c>
      <c r="J1803" s="10" t="s">
        <v>585</v>
      </c>
      <c r="K1803" s="1" t="s">
        <v>2405</v>
      </c>
      <c r="L1803" s="17"/>
      <c r="M1803" s="11">
        <v>0.5</v>
      </c>
      <c r="N1803" s="1"/>
      <c r="O1803" s="10">
        <v>46205.470763888887</v>
      </c>
      <c r="P1803" s="10" t="s">
        <v>46</v>
      </c>
      <c r="Q1803" s="1" t="s">
        <v>72</v>
      </c>
      <c r="R1803" s="8" t="s">
        <v>343</v>
      </c>
      <c r="S180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0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0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0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0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0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0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0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0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0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0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0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0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03" s="12">
        <f ca="1">[1]!Tabel1[[#This Row],[Vægtet Honorar]]*([1]!Tabel1[[#This Row],[Sidst redigeret]]&gt;TODAY()-40)*([1]!Tabel1[[#This Row],[Er i resplan?]]&lt;&gt;"Ja")*([1]!Tabel1[[#This Row],[Status]]="Pågår")</f>
        <v>80000</v>
      </c>
      <c r="AG1803" s="12">
        <f ca="1">[1]!Tabel1[[#This Row],[Vægtet Honorar]]*([1]!Tabel1[[#This Row],[Sidst redigeret]]&gt;TODAY()-40)*([1]!Tabel1[[#This Row],[Status]]="Pågår")</f>
        <v>80000</v>
      </c>
      <c r="AH1803" s="13"/>
      <c r="AI1803" s="12"/>
      <c r="AJ1803" s="12" t="s">
        <v>1213</v>
      </c>
      <c r="AK1803" s="12"/>
      <c r="AL1803" s="12"/>
      <c r="AM1803" s="12"/>
      <c r="AN1803" s="12"/>
      <c r="AO1803" s="12"/>
      <c r="AP1803" s="12"/>
    </row>
    <row r="1804" spans="1:42">
      <c r="A1804" t="s">
        <v>6160</v>
      </c>
      <c r="B1804" s="8"/>
      <c r="C1804" s="8" t="s">
        <v>6161</v>
      </c>
      <c r="D1804" s="8" t="s">
        <v>2886</v>
      </c>
      <c r="E1804" s="8" t="s">
        <v>120</v>
      </c>
      <c r="F1804" s="8" t="s">
        <v>6161</v>
      </c>
      <c r="G1804" s="8" t="s">
        <v>1170</v>
      </c>
      <c r="H1804" s="9">
        <v>315000</v>
      </c>
      <c r="I1804" s="9">
        <f>[1]!Tabel1[[#This Row],[Honorar]]*[1]!Tabel1[[#This Row],[Sandsynlighed]]</f>
        <v>375000</v>
      </c>
      <c r="J1804" s="10" t="s">
        <v>1062</v>
      </c>
      <c r="K1804" s="1" t="s">
        <v>1861</v>
      </c>
      <c r="L1804" s="17"/>
      <c r="M1804" s="11">
        <v>0.05</v>
      </c>
      <c r="N1804" s="1"/>
      <c r="O1804" s="10">
        <v>46269.501712962963</v>
      </c>
      <c r="P1804" s="10" t="s">
        <v>46</v>
      </c>
      <c r="Q1804" s="1" t="s">
        <v>72</v>
      </c>
      <c r="R1804" s="8" t="s">
        <v>1265</v>
      </c>
      <c r="S180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0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0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0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0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0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0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0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0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0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0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0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0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04" s="12">
        <f ca="1">[1]!Tabel1[[#This Row],[Vægtet Honorar]]*([1]!Tabel1[[#This Row],[Sidst redigeret]]&gt;TODAY()-40)*([1]!Tabel1[[#This Row],[Er i resplan?]]&lt;&gt;"Ja")*([1]!Tabel1[[#This Row],[Status]]="Pågår")</f>
        <v>0</v>
      </c>
      <c r="AG1804" s="12">
        <f ca="1">[1]!Tabel1[[#This Row],[Vægtet Honorar]]*([1]!Tabel1[[#This Row],[Sidst redigeret]]&gt;TODAY()-40)*([1]!Tabel1[[#This Row],[Status]]="Pågår")</f>
        <v>0</v>
      </c>
      <c r="AH1804" s="13"/>
      <c r="AI1804" s="12"/>
      <c r="AJ1804" s="12" t="s">
        <v>943</v>
      </c>
      <c r="AK1804" s="12"/>
      <c r="AL1804" s="12"/>
      <c r="AM1804" s="12"/>
      <c r="AN1804" s="12"/>
      <c r="AO1804" s="12"/>
      <c r="AP1804" s="12"/>
    </row>
    <row r="1805" spans="1:42" ht="150">
      <c r="A1805" t="s">
        <v>6162</v>
      </c>
      <c r="B1805" s="8"/>
      <c r="C1805" s="8" t="s">
        <v>6163</v>
      </c>
      <c r="D1805" s="8" t="s">
        <v>896</v>
      </c>
      <c r="E1805" s="8" t="s">
        <v>94</v>
      </c>
      <c r="F1805" s="8" t="s">
        <v>589</v>
      </c>
      <c r="G1805" s="8" t="s">
        <v>2107</v>
      </c>
      <c r="H1805" s="9">
        <v>500000</v>
      </c>
      <c r="I1805" s="9">
        <f>[1]!Tabel1[[#This Row],[Honorar]]*[1]!Tabel1[[#This Row],[Sandsynlighed]]</f>
        <v>270000</v>
      </c>
      <c r="J1805" s="10" t="s">
        <v>585</v>
      </c>
      <c r="K1805" s="1" t="s">
        <v>2405</v>
      </c>
      <c r="L1805" s="17" t="s">
        <v>6164</v>
      </c>
      <c r="M1805" s="11">
        <v>0.01</v>
      </c>
      <c r="N1805" s="1"/>
      <c r="O1805" s="10">
        <v>46264.603888888887</v>
      </c>
      <c r="P1805" s="10" t="s">
        <v>46</v>
      </c>
      <c r="Q1805" s="1" t="s">
        <v>72</v>
      </c>
      <c r="R1805" s="8" t="s">
        <v>343</v>
      </c>
      <c r="S180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0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0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0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0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0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0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0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0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0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0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0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0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05" s="12">
        <f ca="1">[1]!Tabel1[[#This Row],[Vægtet Honorar]]*([1]!Tabel1[[#This Row],[Sidst redigeret]]&gt;TODAY()-40)*([1]!Tabel1[[#This Row],[Er i resplan?]]&lt;&gt;"Ja")*([1]!Tabel1[[#This Row],[Status]]="Pågår")</f>
        <v>0</v>
      </c>
      <c r="AG1805" s="12">
        <f ca="1">[1]!Tabel1[[#This Row],[Vægtet Honorar]]*([1]!Tabel1[[#This Row],[Sidst redigeret]]&gt;TODAY()-40)*([1]!Tabel1[[#This Row],[Status]]="Pågår")</f>
        <v>0</v>
      </c>
      <c r="AH1805" s="13"/>
      <c r="AI1805" s="12"/>
      <c r="AJ1805" s="12" t="s">
        <v>2107</v>
      </c>
      <c r="AK1805" s="12"/>
      <c r="AL1805" s="12"/>
      <c r="AM1805" s="12"/>
      <c r="AN1805" s="12"/>
      <c r="AO1805" s="12"/>
      <c r="AP1805" s="12"/>
    </row>
    <row r="1806" spans="1:42" ht="285">
      <c r="A1806" t="s">
        <v>6165</v>
      </c>
      <c r="B1806" s="8"/>
      <c r="C1806" s="8" t="s">
        <v>6166</v>
      </c>
      <c r="D1806" s="8" t="s">
        <v>896</v>
      </c>
      <c r="E1806" s="8" t="s">
        <v>94</v>
      </c>
      <c r="F1806" s="8" t="s">
        <v>589</v>
      </c>
      <c r="G1806" s="8" t="s">
        <v>2775</v>
      </c>
      <c r="H1806" s="9">
        <v>500000</v>
      </c>
      <c r="I1806" s="9">
        <f>[1]!Tabel1[[#This Row],[Honorar]]*[1]!Tabel1[[#This Row],[Sandsynlighed]]</f>
        <v>0</v>
      </c>
      <c r="J1806" s="10" t="s">
        <v>585</v>
      </c>
      <c r="K1806" s="1" t="s">
        <v>2405</v>
      </c>
      <c r="L1806" s="17" t="s">
        <v>6167</v>
      </c>
      <c r="M1806" s="11">
        <v>0.01</v>
      </c>
      <c r="N1806" s="1"/>
      <c r="O1806" s="10">
        <v>46241.341249999998</v>
      </c>
      <c r="P1806" s="10" t="s">
        <v>46</v>
      </c>
      <c r="Q1806" s="1" t="s">
        <v>72</v>
      </c>
      <c r="R1806" s="8" t="s">
        <v>343</v>
      </c>
      <c r="S180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0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0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0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0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0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0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0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0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0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0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0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0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06" s="12">
        <f ca="1">[1]!Tabel1[[#This Row],[Vægtet Honorar]]*([1]!Tabel1[[#This Row],[Sidst redigeret]]&gt;TODAY()-40)*([1]!Tabel1[[#This Row],[Er i resplan?]]&lt;&gt;"Ja")*([1]!Tabel1[[#This Row],[Status]]="Pågår")</f>
        <v>0</v>
      </c>
      <c r="AG1806" s="12">
        <f ca="1">[1]!Tabel1[[#This Row],[Vægtet Honorar]]*([1]!Tabel1[[#This Row],[Sidst redigeret]]&gt;TODAY()-40)*([1]!Tabel1[[#This Row],[Status]]="Pågår")</f>
        <v>0</v>
      </c>
      <c r="AH1806" s="13"/>
      <c r="AI1806" s="12"/>
      <c r="AJ1806" s="12" t="s">
        <v>2775</v>
      </c>
      <c r="AK1806" s="12"/>
      <c r="AL1806" s="12"/>
      <c r="AM1806" s="12"/>
      <c r="AN1806" s="12"/>
      <c r="AO1806" s="12"/>
      <c r="AP1806" s="12"/>
    </row>
    <row r="1807" spans="1:42">
      <c r="A1807" t="s">
        <v>6168</v>
      </c>
      <c r="B1807" s="8"/>
      <c r="C1807" s="8" t="s">
        <v>6169</v>
      </c>
      <c r="D1807" s="8" t="s">
        <v>896</v>
      </c>
      <c r="E1807" s="8" t="s">
        <v>120</v>
      </c>
      <c r="F1807" s="8" t="s">
        <v>3659</v>
      </c>
      <c r="G1807" s="8" t="s">
        <v>3659</v>
      </c>
      <c r="H1807" s="9">
        <v>5000000</v>
      </c>
      <c r="I1807" s="9">
        <f>[1]!Tabel1[[#This Row],[Honorar]]*[1]!Tabel1[[#This Row],[Sandsynlighed]]</f>
        <v>225000</v>
      </c>
      <c r="J1807" s="10" t="s">
        <v>585</v>
      </c>
      <c r="K1807" s="1" t="s">
        <v>2405</v>
      </c>
      <c r="L1807" s="17"/>
      <c r="M1807" s="11">
        <v>0.01</v>
      </c>
      <c r="N1807" s="1"/>
      <c r="O1807" s="10">
        <v>46206.308449074073</v>
      </c>
      <c r="P1807" s="10" t="s">
        <v>46</v>
      </c>
      <c r="Q1807" s="1" t="s">
        <v>72</v>
      </c>
      <c r="R1807" s="8" t="s">
        <v>343</v>
      </c>
      <c r="S180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0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0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0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0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0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0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0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0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0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0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0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0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07" s="12">
        <f ca="1">[1]!Tabel1[[#This Row],[Vægtet Honorar]]*([1]!Tabel1[[#This Row],[Sidst redigeret]]&gt;TODAY()-40)*([1]!Tabel1[[#This Row],[Er i resplan?]]&lt;&gt;"Ja")*([1]!Tabel1[[#This Row],[Status]]="Pågår")</f>
        <v>0</v>
      </c>
      <c r="AG1807" s="12">
        <f ca="1">[1]!Tabel1[[#This Row],[Vægtet Honorar]]*([1]!Tabel1[[#This Row],[Sidst redigeret]]&gt;TODAY()-40)*([1]!Tabel1[[#This Row],[Status]]="Pågår")</f>
        <v>0</v>
      </c>
      <c r="AH1807" s="13"/>
      <c r="AI1807" s="12"/>
      <c r="AJ1807" s="12"/>
      <c r="AK1807" s="12"/>
      <c r="AL1807" s="12"/>
      <c r="AM1807" s="12"/>
      <c r="AN1807" s="12"/>
      <c r="AO1807" s="12"/>
      <c r="AP1807" s="12"/>
    </row>
    <row r="1808" spans="1:42">
      <c r="A1808" t="s">
        <v>6170</v>
      </c>
      <c r="B1808" s="8"/>
      <c r="C1808" s="8" t="s">
        <v>6169</v>
      </c>
      <c r="D1808" s="8" t="s">
        <v>896</v>
      </c>
      <c r="E1808" s="8" t="s">
        <v>120</v>
      </c>
      <c r="F1808" s="8" t="s">
        <v>3659</v>
      </c>
      <c r="G1808" s="8" t="s">
        <v>3659</v>
      </c>
      <c r="H1808" s="9">
        <v>5000000</v>
      </c>
      <c r="I1808" s="9">
        <f>[1]!Tabel1[[#This Row],[Honorar]]*[1]!Tabel1[[#This Row],[Sandsynlighed]]</f>
        <v>157500</v>
      </c>
      <c r="J1808" s="10" t="s">
        <v>585</v>
      </c>
      <c r="K1808" s="1" t="s">
        <v>2405</v>
      </c>
      <c r="L1808" s="17"/>
      <c r="M1808" s="11">
        <v>0.01</v>
      </c>
      <c r="N1808" s="1"/>
      <c r="O1808" s="10">
        <v>46206.478460648148</v>
      </c>
      <c r="P1808" s="10" t="s">
        <v>46</v>
      </c>
      <c r="Q1808" s="1" t="s">
        <v>72</v>
      </c>
      <c r="R1808" s="8" t="s">
        <v>343</v>
      </c>
      <c r="S180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0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0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0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0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0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0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0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0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0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0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0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0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08" s="12">
        <f ca="1">[1]!Tabel1[[#This Row],[Vægtet Honorar]]*([1]!Tabel1[[#This Row],[Sidst redigeret]]&gt;TODAY()-40)*([1]!Tabel1[[#This Row],[Er i resplan?]]&lt;&gt;"Ja")*([1]!Tabel1[[#This Row],[Status]]="Pågår")</f>
        <v>0</v>
      </c>
      <c r="AG1808" s="12">
        <f ca="1">[1]!Tabel1[[#This Row],[Vægtet Honorar]]*([1]!Tabel1[[#This Row],[Sidst redigeret]]&gt;TODAY()-40)*([1]!Tabel1[[#This Row],[Status]]="Pågår")</f>
        <v>0</v>
      </c>
      <c r="AH1808" s="13"/>
      <c r="AI1808" s="12"/>
      <c r="AJ1808" s="12"/>
      <c r="AK1808" s="12"/>
      <c r="AL1808" s="12"/>
      <c r="AM1808" s="12"/>
      <c r="AN1808" s="12"/>
      <c r="AO1808" s="12"/>
      <c r="AP1808" s="12"/>
    </row>
    <row r="1809" spans="1:42">
      <c r="A1809" t="s">
        <v>6171</v>
      </c>
      <c r="B1809" s="8"/>
      <c r="C1809" s="8" t="s">
        <v>6172</v>
      </c>
      <c r="D1809" s="8" t="s">
        <v>5781</v>
      </c>
      <c r="E1809" s="8" t="s">
        <v>102</v>
      </c>
      <c r="F1809" s="8" t="s">
        <v>1119</v>
      </c>
      <c r="G1809" s="8" t="s">
        <v>1119</v>
      </c>
      <c r="H1809" s="9">
        <v>1000000</v>
      </c>
      <c r="I1809" s="9">
        <f>[1]!Tabel1[[#This Row],[Honorar]]*[1]!Tabel1[[#This Row],[Sandsynlighed]]</f>
        <v>15750</v>
      </c>
      <c r="J1809" s="10" t="s">
        <v>342</v>
      </c>
      <c r="K1809" s="1" t="s">
        <v>2405</v>
      </c>
      <c r="L1809" s="17"/>
      <c r="M1809" s="11">
        <v>0.25</v>
      </c>
      <c r="N1809" s="1"/>
      <c r="O1809" s="10">
        <v>46206.483090277776</v>
      </c>
      <c r="P1809" s="10" t="s">
        <v>46</v>
      </c>
      <c r="Q1809" s="1" t="s">
        <v>72</v>
      </c>
      <c r="R1809" s="8" t="s">
        <v>343</v>
      </c>
      <c r="S180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0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0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0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0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0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0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0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0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0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0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0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0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09" s="12">
        <f ca="1">[1]!Tabel1[[#This Row],[Vægtet Honorar]]*([1]!Tabel1[[#This Row],[Sidst redigeret]]&gt;TODAY()-40)*([1]!Tabel1[[#This Row],[Er i resplan?]]&lt;&gt;"Ja")*([1]!Tabel1[[#This Row],[Status]]="Pågår")</f>
        <v>0</v>
      </c>
      <c r="AG1809" s="12">
        <f ca="1">[1]!Tabel1[[#This Row],[Vægtet Honorar]]*([1]!Tabel1[[#This Row],[Sidst redigeret]]&gt;TODAY()-40)*([1]!Tabel1[[#This Row],[Status]]="Pågår")</f>
        <v>0</v>
      </c>
      <c r="AH1809" s="13"/>
      <c r="AI1809" s="12"/>
      <c r="AJ1809" s="12"/>
      <c r="AK1809" s="12"/>
      <c r="AL1809" s="12"/>
      <c r="AM1809" s="12"/>
      <c r="AN1809" s="12"/>
      <c r="AO1809" s="12"/>
      <c r="AP1809" s="12"/>
    </row>
    <row r="1810" spans="1:42" ht="150">
      <c r="A1810" t="s">
        <v>6173</v>
      </c>
      <c r="B1810" s="8"/>
      <c r="C1810" s="8" t="s">
        <v>6174</v>
      </c>
      <c r="D1810" s="8" t="s">
        <v>896</v>
      </c>
      <c r="E1810" s="8" t="s">
        <v>94</v>
      </c>
      <c r="F1810" s="8" t="s">
        <v>6175</v>
      </c>
      <c r="G1810" s="8" t="s">
        <v>402</v>
      </c>
      <c r="H1810" s="9">
        <v>1000000</v>
      </c>
      <c r="I1810" s="9">
        <f>[1]!Tabel1[[#This Row],[Honorar]]*[1]!Tabel1[[#This Row],[Sandsynlighed]]</f>
        <v>5000</v>
      </c>
      <c r="J1810" s="10" t="s">
        <v>342</v>
      </c>
      <c r="K1810" s="1" t="s">
        <v>2405</v>
      </c>
      <c r="L1810" s="17" t="s">
        <v>6176</v>
      </c>
      <c r="M1810" s="11">
        <v>0.01</v>
      </c>
      <c r="N1810" s="1"/>
      <c r="O1810" s="10">
        <v>46264.337627314817</v>
      </c>
      <c r="P1810" s="10" t="s">
        <v>46</v>
      </c>
      <c r="Q1810" s="1" t="s">
        <v>72</v>
      </c>
      <c r="R1810" s="8" t="s">
        <v>49</v>
      </c>
      <c r="S181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1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1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1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1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1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1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1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1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1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1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1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1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10" s="12">
        <f ca="1">[1]!Tabel1[[#This Row],[Vægtet Honorar]]*([1]!Tabel1[[#This Row],[Sidst redigeret]]&gt;TODAY()-40)*([1]!Tabel1[[#This Row],[Er i resplan?]]&lt;&gt;"Ja")*([1]!Tabel1[[#This Row],[Status]]="Pågår")</f>
        <v>5000</v>
      </c>
      <c r="AG1810" s="12">
        <f ca="1">[1]!Tabel1[[#This Row],[Vægtet Honorar]]*([1]!Tabel1[[#This Row],[Sidst redigeret]]&gt;TODAY()-40)*([1]!Tabel1[[#This Row],[Status]]="Pågår")</f>
        <v>5000</v>
      </c>
      <c r="AH1810" s="13"/>
      <c r="AI1810" s="12"/>
      <c r="AJ1810" s="12" t="s">
        <v>402</v>
      </c>
      <c r="AK1810" s="12"/>
      <c r="AL1810" s="12"/>
      <c r="AM1810" s="12"/>
      <c r="AN1810" s="12"/>
      <c r="AO1810" s="12"/>
      <c r="AP1810" s="12"/>
    </row>
    <row r="1811" spans="1:42">
      <c r="A1811" t="s">
        <v>6177</v>
      </c>
      <c r="B1811" s="8"/>
      <c r="C1811" s="8" t="s">
        <v>6178</v>
      </c>
      <c r="D1811" s="8" t="s">
        <v>4254</v>
      </c>
      <c r="E1811" s="8" t="s">
        <v>167</v>
      </c>
      <c r="F1811" s="8" t="s">
        <v>1152</v>
      </c>
      <c r="G1811" s="8" t="s">
        <v>1152</v>
      </c>
      <c r="H1811" s="9">
        <v>650000</v>
      </c>
      <c r="I1811" s="9">
        <f>[1]!Tabel1[[#This Row],[Honorar]]*[1]!Tabel1[[#This Row],[Sandsynlighed]]</f>
        <v>5000</v>
      </c>
      <c r="J1811" s="10" t="s">
        <v>342</v>
      </c>
      <c r="K1811" s="1" t="s">
        <v>2405</v>
      </c>
      <c r="L1811" s="17"/>
      <c r="M1811" s="11">
        <v>0.5</v>
      </c>
      <c r="N1811" s="1"/>
      <c r="O1811" s="10">
        <v>46209.429849537039</v>
      </c>
      <c r="P1811" s="10" t="s">
        <v>46</v>
      </c>
      <c r="Q1811" s="1" t="s">
        <v>72</v>
      </c>
      <c r="R1811" s="8" t="s">
        <v>343</v>
      </c>
      <c r="S181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1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1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1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1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1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1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1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1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1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1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1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1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11" s="12">
        <f ca="1">[1]!Tabel1[[#This Row],[Vægtet Honorar]]*([1]!Tabel1[[#This Row],[Sidst redigeret]]&gt;TODAY()-40)*([1]!Tabel1[[#This Row],[Er i resplan?]]&lt;&gt;"Ja")*([1]!Tabel1[[#This Row],[Status]]="Pågår")</f>
        <v>0</v>
      </c>
      <c r="AG1811" s="12">
        <f ca="1">[1]!Tabel1[[#This Row],[Vægtet Honorar]]*([1]!Tabel1[[#This Row],[Sidst redigeret]]&gt;TODAY()-40)*([1]!Tabel1[[#This Row],[Status]]="Pågår")</f>
        <v>0</v>
      </c>
      <c r="AH1811" s="13"/>
      <c r="AI1811" s="12"/>
      <c r="AJ1811" s="12" t="s">
        <v>402</v>
      </c>
      <c r="AK1811" s="12"/>
      <c r="AL1811" s="12"/>
      <c r="AM1811" s="12"/>
      <c r="AN1811" s="12"/>
      <c r="AO1811" s="12"/>
      <c r="AP1811" s="12"/>
    </row>
    <row r="1812" spans="1:42">
      <c r="A1812" t="s">
        <v>6179</v>
      </c>
      <c r="B1812" s="8"/>
      <c r="C1812" s="8" t="s">
        <v>6180</v>
      </c>
      <c r="D1812" s="8" t="s">
        <v>5488</v>
      </c>
      <c r="E1812" s="8" t="s">
        <v>71</v>
      </c>
      <c r="F1812" s="8" t="s">
        <v>6181</v>
      </c>
      <c r="G1812" s="8" t="s">
        <v>6181</v>
      </c>
      <c r="H1812" s="9">
        <v>250000</v>
      </c>
      <c r="I1812" s="9">
        <f>[1]!Tabel1[[#This Row],[Honorar]]*[1]!Tabel1[[#This Row],[Sandsynlighed]]</f>
        <v>50000</v>
      </c>
      <c r="J1812" s="10" t="s">
        <v>585</v>
      </c>
      <c r="K1812" s="1" t="s">
        <v>342</v>
      </c>
      <c r="L1812" s="17"/>
      <c r="M1812" s="11">
        <v>0.75</v>
      </c>
      <c r="N1812" s="1">
        <v>77614</v>
      </c>
      <c r="O1812" s="10">
        <v>46209.703634259262</v>
      </c>
      <c r="P1812" s="10" t="s">
        <v>46</v>
      </c>
      <c r="Q1812" s="1" t="s">
        <v>72</v>
      </c>
      <c r="R1812" s="8" t="s">
        <v>343</v>
      </c>
      <c r="S181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1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1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1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1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1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1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1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1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1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1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1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1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12" s="12">
        <f ca="1">[1]!Tabel1[[#This Row],[Vægtet Honorar]]*([1]!Tabel1[[#This Row],[Sidst redigeret]]&gt;TODAY()-40)*([1]!Tabel1[[#This Row],[Er i resplan?]]&lt;&gt;"Ja")*([1]!Tabel1[[#This Row],[Status]]="Pågår")</f>
        <v>0</v>
      </c>
      <c r="AG1812" s="12">
        <f ca="1">[1]!Tabel1[[#This Row],[Vægtet Honorar]]*([1]!Tabel1[[#This Row],[Sidst redigeret]]&gt;TODAY()-40)*([1]!Tabel1[[#This Row],[Status]]="Pågår")</f>
        <v>0</v>
      </c>
      <c r="AH1812" s="13"/>
      <c r="AI1812" s="12"/>
      <c r="AJ1812" s="12" t="s">
        <v>402</v>
      </c>
      <c r="AK1812" s="12"/>
      <c r="AL1812" s="12"/>
      <c r="AM1812" s="12"/>
      <c r="AN1812" s="12"/>
      <c r="AO1812" s="12"/>
      <c r="AP1812" s="12"/>
    </row>
    <row r="1813" spans="1:42">
      <c r="A1813" t="s">
        <v>6182</v>
      </c>
      <c r="B1813" s="8"/>
      <c r="C1813" s="8" t="s">
        <v>6183</v>
      </c>
      <c r="D1813" s="8" t="s">
        <v>70</v>
      </c>
      <c r="E1813" s="8" t="s">
        <v>102</v>
      </c>
      <c r="F1813" s="8"/>
      <c r="G1813" s="8" t="s">
        <v>1592</v>
      </c>
      <c r="H1813" s="9">
        <v>1000000</v>
      </c>
      <c r="I1813" s="9">
        <f>[1]!Tabel1[[#This Row],[Honorar]]*[1]!Tabel1[[#This Row],[Sandsynlighed]]</f>
        <v>50000</v>
      </c>
      <c r="J1813" s="10" t="s">
        <v>1861</v>
      </c>
      <c r="K1813" s="1" t="s">
        <v>898</v>
      </c>
      <c r="L1813" s="17"/>
      <c r="M1813" s="11">
        <v>0.1</v>
      </c>
      <c r="N1813" s="1" t="s">
        <v>6184</v>
      </c>
      <c r="O1813" s="10">
        <v>46211.625196759262</v>
      </c>
      <c r="P1813" s="10" t="s">
        <v>46</v>
      </c>
      <c r="Q1813" s="1" t="s">
        <v>72</v>
      </c>
      <c r="R1813" s="8" t="s">
        <v>343</v>
      </c>
      <c r="S181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1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1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1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1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1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1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1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1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1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1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1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1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13" s="12">
        <f ca="1">[1]!Tabel1[[#This Row],[Vægtet Honorar]]*([1]!Tabel1[[#This Row],[Sidst redigeret]]&gt;TODAY()-40)*([1]!Tabel1[[#This Row],[Er i resplan?]]&lt;&gt;"Ja")*([1]!Tabel1[[#This Row],[Status]]="Pågår")</f>
        <v>0</v>
      </c>
      <c r="AG1813" s="12">
        <f ca="1">[1]!Tabel1[[#This Row],[Vægtet Honorar]]*([1]!Tabel1[[#This Row],[Sidst redigeret]]&gt;TODAY()-40)*([1]!Tabel1[[#This Row],[Status]]="Pågår")</f>
        <v>0</v>
      </c>
      <c r="AH1813" s="13"/>
      <c r="AI1813" s="12"/>
      <c r="AJ1813" s="12" t="s">
        <v>6185</v>
      </c>
      <c r="AK1813" s="12"/>
      <c r="AL1813" s="12"/>
      <c r="AM1813" s="12"/>
      <c r="AN1813" s="12"/>
      <c r="AO1813" s="12"/>
      <c r="AP1813" s="12"/>
    </row>
    <row r="1814" spans="1:42">
      <c r="A1814" t="s">
        <v>6186</v>
      </c>
      <c r="B1814" s="8"/>
      <c r="C1814" s="8" t="s">
        <v>6187</v>
      </c>
      <c r="D1814" s="8" t="s">
        <v>2886</v>
      </c>
      <c r="E1814" s="8" t="s">
        <v>120</v>
      </c>
      <c r="F1814" s="8" t="s">
        <v>6188</v>
      </c>
      <c r="G1814" s="8" t="s">
        <v>6188</v>
      </c>
      <c r="H1814" s="9">
        <v>1000000</v>
      </c>
      <c r="I1814" s="9">
        <f>[1]!Tabel1[[#This Row],[Honorar]]*[1]!Tabel1[[#This Row],[Sandsynlighed]]</f>
        <v>250000</v>
      </c>
      <c r="J1814" s="10" t="s">
        <v>585</v>
      </c>
      <c r="K1814" s="1" t="s">
        <v>1323</v>
      </c>
      <c r="L1814" s="17"/>
      <c r="M1814" s="11">
        <v>0.33</v>
      </c>
      <c r="N1814" s="1" t="s">
        <v>252</v>
      </c>
      <c r="O1814" s="10">
        <v>46269.646701388891</v>
      </c>
      <c r="P1814" s="10" t="s">
        <v>46</v>
      </c>
      <c r="Q1814" s="1" t="s">
        <v>72</v>
      </c>
      <c r="R1814" s="8" t="s">
        <v>343</v>
      </c>
      <c r="S181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1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1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1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1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1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1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1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1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1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1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1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1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14" s="12">
        <f ca="1">[1]!Tabel1[[#This Row],[Vægtet Honorar]]*([1]!Tabel1[[#This Row],[Sidst redigeret]]&gt;TODAY()-40)*([1]!Tabel1[[#This Row],[Er i resplan?]]&lt;&gt;"Ja")*([1]!Tabel1[[#This Row],[Status]]="Pågår")</f>
        <v>0</v>
      </c>
      <c r="AG1814" s="12">
        <f ca="1">[1]!Tabel1[[#This Row],[Vægtet Honorar]]*([1]!Tabel1[[#This Row],[Sidst redigeret]]&gt;TODAY()-40)*([1]!Tabel1[[#This Row],[Status]]="Pågår")</f>
        <v>0</v>
      </c>
      <c r="AH1814" s="13"/>
      <c r="AI1814" s="12"/>
      <c r="AJ1814" s="12"/>
      <c r="AK1814" s="12"/>
      <c r="AL1814" s="12"/>
      <c r="AM1814" s="12"/>
      <c r="AN1814" s="12"/>
      <c r="AO1814" s="12"/>
      <c r="AP1814" s="12"/>
    </row>
    <row r="1815" spans="1:42">
      <c r="A1815" t="s">
        <v>6189</v>
      </c>
      <c r="B1815" s="8"/>
      <c r="C1815" s="8" t="s">
        <v>6190</v>
      </c>
      <c r="D1815" s="8" t="s">
        <v>70</v>
      </c>
      <c r="E1815" s="8" t="s">
        <v>102</v>
      </c>
      <c r="F1815" s="8" t="s">
        <v>6190</v>
      </c>
      <c r="G1815" s="8" t="s">
        <v>6190</v>
      </c>
      <c r="H1815" s="9">
        <v>1000000</v>
      </c>
      <c r="I1815" s="9">
        <f>[1]!Tabel1[[#This Row],[Honorar]]*[1]!Tabel1[[#This Row],[Sandsynlighed]]</f>
        <v>10000</v>
      </c>
      <c r="J1815" s="10" t="s">
        <v>585</v>
      </c>
      <c r="K1815" s="1" t="s">
        <v>1323</v>
      </c>
      <c r="L1815" s="17"/>
      <c r="M1815" s="11">
        <v>0.5</v>
      </c>
      <c r="N1815" s="1" t="s">
        <v>252</v>
      </c>
      <c r="O1815" s="10">
        <v>46216.442453703705</v>
      </c>
      <c r="P1815" s="10" t="s">
        <v>46</v>
      </c>
      <c r="Q1815" s="1" t="s">
        <v>72</v>
      </c>
      <c r="R1815" s="8" t="s">
        <v>343</v>
      </c>
      <c r="S181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1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1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1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1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1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1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1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1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1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1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1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1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15" s="12">
        <f ca="1">[1]!Tabel1[[#This Row],[Vægtet Honorar]]*([1]!Tabel1[[#This Row],[Sidst redigeret]]&gt;TODAY()-40)*([1]!Tabel1[[#This Row],[Er i resplan?]]&lt;&gt;"Ja")*([1]!Tabel1[[#This Row],[Status]]="Pågår")</f>
        <v>0</v>
      </c>
      <c r="AG1815" s="12">
        <f ca="1">[1]!Tabel1[[#This Row],[Vægtet Honorar]]*([1]!Tabel1[[#This Row],[Sidst redigeret]]&gt;TODAY()-40)*([1]!Tabel1[[#This Row],[Status]]="Pågår")</f>
        <v>0</v>
      </c>
      <c r="AH1815" s="13"/>
      <c r="AI1815" s="12"/>
      <c r="AJ1815" s="12"/>
      <c r="AK1815" s="12"/>
      <c r="AL1815" s="12"/>
      <c r="AM1815" s="12"/>
      <c r="AN1815" s="12"/>
      <c r="AO1815" s="12"/>
      <c r="AP1815" s="12"/>
    </row>
    <row r="1816" spans="1:42">
      <c r="A1816" t="s">
        <v>6191</v>
      </c>
      <c r="B1816" s="8"/>
      <c r="C1816" s="8" t="s">
        <v>6192</v>
      </c>
      <c r="D1816" s="8" t="s">
        <v>70</v>
      </c>
      <c r="E1816" s="8" t="s">
        <v>102</v>
      </c>
      <c r="F1816" s="8" t="s">
        <v>1235</v>
      </c>
      <c r="G1816" s="8" t="s">
        <v>1235</v>
      </c>
      <c r="H1816" s="9">
        <v>350000</v>
      </c>
      <c r="I1816" s="9">
        <f>[1]!Tabel1[[#This Row],[Honorar]]*[1]!Tabel1[[#This Row],[Sandsynlighed]]</f>
        <v>325000</v>
      </c>
      <c r="J1816" s="10" t="s">
        <v>585</v>
      </c>
      <c r="K1816" s="1" t="s">
        <v>1323</v>
      </c>
      <c r="L1816" s="17"/>
      <c r="M1816" s="11">
        <v>0.25</v>
      </c>
      <c r="N1816" s="1" t="s">
        <v>252</v>
      </c>
      <c r="O1816" s="10">
        <v>46234.436469907407</v>
      </c>
      <c r="P1816" s="10" t="s">
        <v>46</v>
      </c>
      <c r="Q1816" s="1" t="s">
        <v>72</v>
      </c>
      <c r="R1816" s="8" t="s">
        <v>343</v>
      </c>
      <c r="S181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1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1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1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1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1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1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1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1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1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1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1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1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16" s="12">
        <f ca="1">[1]!Tabel1[[#This Row],[Vægtet Honorar]]*([1]!Tabel1[[#This Row],[Sidst redigeret]]&gt;TODAY()-40)*([1]!Tabel1[[#This Row],[Er i resplan?]]&lt;&gt;"Ja")*([1]!Tabel1[[#This Row],[Status]]="Pågår")</f>
        <v>0</v>
      </c>
      <c r="AG1816" s="12">
        <f ca="1">[1]!Tabel1[[#This Row],[Vægtet Honorar]]*([1]!Tabel1[[#This Row],[Sidst redigeret]]&gt;TODAY()-40)*([1]!Tabel1[[#This Row],[Status]]="Pågår")</f>
        <v>0</v>
      </c>
      <c r="AH1816" s="13"/>
      <c r="AI1816" s="12"/>
      <c r="AJ1816" s="12"/>
      <c r="AK1816" s="12"/>
      <c r="AL1816" s="12"/>
      <c r="AM1816" s="12"/>
      <c r="AN1816" s="12"/>
      <c r="AO1816" s="12"/>
      <c r="AP1816" s="12"/>
    </row>
    <row r="1817" spans="1:42" ht="45">
      <c r="A1817" t="s">
        <v>6193</v>
      </c>
      <c r="B1817" s="8"/>
      <c r="C1817" s="8" t="s">
        <v>6194</v>
      </c>
      <c r="D1817" s="8" t="s">
        <v>134</v>
      </c>
      <c r="E1817" s="8" t="s">
        <v>94</v>
      </c>
      <c r="F1817" s="8" t="s">
        <v>6195</v>
      </c>
      <c r="G1817" s="8" t="s">
        <v>6195</v>
      </c>
      <c r="H1817" s="9">
        <v>250000</v>
      </c>
      <c r="I1817" s="9">
        <f>[1]!Tabel1[[#This Row],[Honorar]]*[1]!Tabel1[[#This Row],[Sandsynlighed]]</f>
        <v>187500</v>
      </c>
      <c r="J1817" s="10" t="s">
        <v>342</v>
      </c>
      <c r="K1817" s="1" t="s">
        <v>1861</v>
      </c>
      <c r="L1817" s="17" t="s">
        <v>6196</v>
      </c>
      <c r="M1817" s="11">
        <v>0.1</v>
      </c>
      <c r="N1817" s="1" t="s">
        <v>1903</v>
      </c>
      <c r="O1817" s="10">
        <v>46234.542754629627</v>
      </c>
      <c r="P1817" s="10" t="s">
        <v>46</v>
      </c>
      <c r="Q1817" s="1" t="s">
        <v>72</v>
      </c>
      <c r="R1817" s="8" t="s">
        <v>343</v>
      </c>
      <c r="S181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1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1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1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1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1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1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1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1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1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1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1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1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17" s="12">
        <f ca="1">[1]!Tabel1[[#This Row],[Vægtet Honorar]]*([1]!Tabel1[[#This Row],[Sidst redigeret]]&gt;TODAY()-40)*([1]!Tabel1[[#This Row],[Er i resplan?]]&lt;&gt;"Ja")*([1]!Tabel1[[#This Row],[Status]]="Pågår")</f>
        <v>0</v>
      </c>
      <c r="AG1817" s="12">
        <f ca="1">[1]!Tabel1[[#This Row],[Vægtet Honorar]]*([1]!Tabel1[[#This Row],[Sidst redigeret]]&gt;TODAY()-40)*([1]!Tabel1[[#This Row],[Status]]="Pågår")</f>
        <v>0</v>
      </c>
      <c r="AH1817" s="13"/>
      <c r="AI1817" s="12"/>
      <c r="AJ1817" s="12"/>
      <c r="AK1817" s="12"/>
      <c r="AL1817" s="12"/>
      <c r="AM1817" s="12"/>
      <c r="AN1817" s="12"/>
      <c r="AO1817" s="12"/>
      <c r="AP1817" s="12"/>
    </row>
    <row r="1818" spans="1:42" ht="105">
      <c r="A1818" t="s">
        <v>6197</v>
      </c>
      <c r="B1818" s="8"/>
      <c r="C1818" s="8" t="s">
        <v>6198</v>
      </c>
      <c r="D1818" s="8" t="s">
        <v>134</v>
      </c>
      <c r="E1818" s="8" t="s">
        <v>94</v>
      </c>
      <c r="F1818" s="8" t="s">
        <v>6199</v>
      </c>
      <c r="G1818" s="8" t="s">
        <v>6199</v>
      </c>
      <c r="H1818" s="9">
        <v>150000</v>
      </c>
      <c r="I1818" s="9">
        <f>[1]!Tabel1[[#This Row],[Honorar]]*[1]!Tabel1[[#This Row],[Sandsynlighed]]</f>
        <v>100000</v>
      </c>
      <c r="J1818" s="10" t="s">
        <v>585</v>
      </c>
      <c r="K1818" s="1" t="s">
        <v>1323</v>
      </c>
      <c r="L1818" s="17" t="s">
        <v>6200</v>
      </c>
      <c r="M1818" s="11">
        <v>0.1</v>
      </c>
      <c r="N1818" s="1" t="s">
        <v>6201</v>
      </c>
      <c r="O1818" s="10">
        <v>46237.4608912037</v>
      </c>
      <c r="P1818" s="10" t="s">
        <v>46</v>
      </c>
      <c r="Q1818" s="1" t="s">
        <v>72</v>
      </c>
      <c r="R1818" s="8" t="s">
        <v>343</v>
      </c>
      <c r="S181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1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1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1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1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1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1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1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1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1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1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1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1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18" s="12">
        <f ca="1">[1]!Tabel1[[#This Row],[Vægtet Honorar]]*([1]!Tabel1[[#This Row],[Sidst redigeret]]&gt;TODAY()-40)*([1]!Tabel1[[#This Row],[Er i resplan?]]&lt;&gt;"Ja")*([1]!Tabel1[[#This Row],[Status]]="Pågår")</f>
        <v>0</v>
      </c>
      <c r="AG1818" s="12">
        <f ca="1">[1]!Tabel1[[#This Row],[Vægtet Honorar]]*([1]!Tabel1[[#This Row],[Sidst redigeret]]&gt;TODAY()-40)*([1]!Tabel1[[#This Row],[Status]]="Pågår")</f>
        <v>0</v>
      </c>
      <c r="AH1818" s="13"/>
      <c r="AI1818" s="12"/>
      <c r="AJ1818" s="12"/>
      <c r="AK1818" s="12"/>
      <c r="AL1818" s="12"/>
      <c r="AM1818" s="12"/>
      <c r="AN1818" s="12"/>
      <c r="AO1818" s="12"/>
      <c r="AP1818" s="12"/>
    </row>
    <row r="1819" spans="1:42" ht="45">
      <c r="A1819" t="s">
        <v>6202</v>
      </c>
      <c r="B1819" s="8"/>
      <c r="C1819" s="8" t="s">
        <v>6203</v>
      </c>
      <c r="D1819" s="8" t="s">
        <v>896</v>
      </c>
      <c r="E1819" s="8" t="s">
        <v>94</v>
      </c>
      <c r="F1819" s="8" t="s">
        <v>6204</v>
      </c>
      <c r="G1819" s="8" t="s">
        <v>5656</v>
      </c>
      <c r="H1819" s="9">
        <v>150000</v>
      </c>
      <c r="I1819" s="9">
        <f>[1]!Tabel1[[#This Row],[Honorar]]*[1]!Tabel1[[#This Row],[Sandsynlighed]]</f>
        <v>330000</v>
      </c>
      <c r="J1819" s="10" t="s">
        <v>342</v>
      </c>
      <c r="K1819" s="1" t="s">
        <v>1323</v>
      </c>
      <c r="L1819" s="17" t="s">
        <v>6428</v>
      </c>
      <c r="M1819" s="11">
        <v>0.01</v>
      </c>
      <c r="N1819" s="1"/>
      <c r="O1819" s="10">
        <v>46279.618657407409</v>
      </c>
      <c r="P1819" s="10" t="s">
        <v>46</v>
      </c>
      <c r="Q1819" s="1" t="s">
        <v>72</v>
      </c>
      <c r="R1819" s="8" t="s">
        <v>343</v>
      </c>
      <c r="S181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1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1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1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1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1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1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1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1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1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1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1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1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19" s="12">
        <f ca="1">[1]!Tabel1[[#This Row],[Vægtet Honorar]]*([1]!Tabel1[[#This Row],[Sidst redigeret]]&gt;TODAY()-40)*([1]!Tabel1[[#This Row],[Er i resplan?]]&lt;&gt;"Ja")*([1]!Tabel1[[#This Row],[Status]]="Pågår")</f>
        <v>330000</v>
      </c>
      <c r="AG1819" s="12">
        <f ca="1">[1]!Tabel1[[#This Row],[Vægtet Honorar]]*([1]!Tabel1[[#This Row],[Sidst redigeret]]&gt;TODAY()-40)*([1]!Tabel1[[#This Row],[Status]]="Pågår")</f>
        <v>330000</v>
      </c>
      <c r="AH1819" s="13"/>
      <c r="AI1819" s="12"/>
      <c r="AJ1819" s="12" t="s">
        <v>4517</v>
      </c>
      <c r="AK1819" s="12"/>
      <c r="AL1819" s="12"/>
      <c r="AM1819" s="12"/>
      <c r="AN1819" s="12"/>
      <c r="AO1819" s="12"/>
      <c r="AP1819" s="12"/>
    </row>
    <row r="1820" spans="1:42" ht="30">
      <c r="A1820" t="s">
        <v>6205</v>
      </c>
      <c r="B1820" s="8"/>
      <c r="C1820" s="8" t="s">
        <v>6206</v>
      </c>
      <c r="D1820" s="8" t="s">
        <v>134</v>
      </c>
      <c r="E1820" s="8" t="s">
        <v>94</v>
      </c>
      <c r="F1820" s="8" t="s">
        <v>6207</v>
      </c>
      <c r="G1820" s="8" t="s">
        <v>6207</v>
      </c>
      <c r="H1820" s="9">
        <v>50000</v>
      </c>
      <c r="I1820" s="9">
        <f>[1]!Tabel1[[#This Row],[Honorar]]*[1]!Tabel1[[#This Row],[Sandsynlighed]]</f>
        <v>500000</v>
      </c>
      <c r="J1820" s="10" t="s">
        <v>585</v>
      </c>
      <c r="K1820" s="1" t="s">
        <v>585</v>
      </c>
      <c r="L1820" s="17" t="s">
        <v>6208</v>
      </c>
      <c r="M1820" s="11">
        <v>0.5</v>
      </c>
      <c r="N1820" s="1" t="s">
        <v>6209</v>
      </c>
      <c r="O1820" s="10">
        <v>46266.42459490741</v>
      </c>
      <c r="P1820" s="10" t="s">
        <v>46</v>
      </c>
      <c r="Q1820" s="1" t="s">
        <v>72</v>
      </c>
      <c r="R1820" s="8" t="s">
        <v>75</v>
      </c>
      <c r="S182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2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2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2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2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2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2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2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2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2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2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2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2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20" s="12">
        <f ca="1">[1]!Tabel1[[#This Row],[Vægtet Honorar]]*([1]!Tabel1[[#This Row],[Sidst redigeret]]&gt;TODAY()-40)*([1]!Tabel1[[#This Row],[Er i resplan?]]&lt;&gt;"Ja")*([1]!Tabel1[[#This Row],[Status]]="Pågår")</f>
        <v>0</v>
      </c>
      <c r="AG1820" s="12">
        <f ca="1">[1]!Tabel1[[#This Row],[Vægtet Honorar]]*([1]!Tabel1[[#This Row],[Sidst redigeret]]&gt;TODAY()-40)*([1]!Tabel1[[#This Row],[Status]]="Pågår")</f>
        <v>0</v>
      </c>
      <c r="AH1820" s="13"/>
      <c r="AI1820" s="12"/>
      <c r="AJ1820" s="12" t="s">
        <v>4517</v>
      </c>
      <c r="AK1820" s="12"/>
      <c r="AL1820" s="12"/>
      <c r="AM1820" s="12"/>
      <c r="AN1820" s="12"/>
      <c r="AO1820" s="12"/>
      <c r="AP1820" s="12"/>
    </row>
    <row r="1821" spans="1:42">
      <c r="A1821" t="s">
        <v>6210</v>
      </c>
      <c r="B1821" s="8"/>
      <c r="C1821" s="8"/>
      <c r="D1821" s="8"/>
      <c r="E1821" s="8"/>
      <c r="F1821" s="8"/>
      <c r="G1821" s="8"/>
      <c r="H1821" s="9"/>
      <c r="I1821" s="9">
        <f>[1]!Tabel1[[#This Row],[Honorar]]*[1]!Tabel1[[#This Row],[Sandsynlighed]]</f>
        <v>87500</v>
      </c>
      <c r="J1821" s="10"/>
      <c r="K1821" s="1"/>
      <c r="L1821" s="17"/>
      <c r="M1821" s="11"/>
      <c r="N1821" s="1"/>
      <c r="O1821" s="10">
        <v>46240.52138888889</v>
      </c>
      <c r="P1821" s="10"/>
      <c r="Q1821" s="1"/>
      <c r="R1821" s="8"/>
      <c r="S182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2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2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2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2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2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2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2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2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2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2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2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2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21" s="12">
        <f ca="1">[1]!Tabel1[[#This Row],[Vægtet Honorar]]*([1]!Tabel1[[#This Row],[Sidst redigeret]]&gt;TODAY()-40)*([1]!Tabel1[[#This Row],[Er i resplan?]]&lt;&gt;"Ja")*([1]!Tabel1[[#This Row],[Status]]="Pågår")</f>
        <v>0</v>
      </c>
      <c r="AG1821" s="12">
        <f ca="1">[1]!Tabel1[[#This Row],[Vægtet Honorar]]*([1]!Tabel1[[#This Row],[Sidst redigeret]]&gt;TODAY()-40)*([1]!Tabel1[[#This Row],[Status]]="Pågår")</f>
        <v>0</v>
      </c>
      <c r="AH1821" s="13"/>
      <c r="AI1821" s="12"/>
      <c r="AJ1821" s="12"/>
      <c r="AK1821" s="12"/>
      <c r="AL1821" s="12"/>
      <c r="AM1821" s="12"/>
      <c r="AN1821" s="12"/>
      <c r="AO1821" s="12"/>
      <c r="AP1821" s="12"/>
    </row>
    <row r="1822" spans="1:42" ht="30">
      <c r="A1822" t="s">
        <v>6211</v>
      </c>
      <c r="B1822" s="8"/>
      <c r="C1822" s="8" t="s">
        <v>6212</v>
      </c>
      <c r="D1822" s="8" t="s">
        <v>1771</v>
      </c>
      <c r="E1822" s="8" t="s">
        <v>167</v>
      </c>
      <c r="F1822" s="8" t="s">
        <v>3846</v>
      </c>
      <c r="G1822" s="8" t="s">
        <v>3846</v>
      </c>
      <c r="H1822" s="9">
        <v>3000000</v>
      </c>
      <c r="I1822" s="9">
        <f>[1]!Tabel1[[#This Row],[Honorar]]*[1]!Tabel1[[#This Row],[Sandsynlighed]]</f>
        <v>25000</v>
      </c>
      <c r="J1822" s="10" t="s">
        <v>342</v>
      </c>
      <c r="K1822" s="1" t="s">
        <v>1709</v>
      </c>
      <c r="L1822" s="17" t="s">
        <v>3049</v>
      </c>
      <c r="M1822" s="11">
        <v>0.01</v>
      </c>
      <c r="N1822" s="1" t="s">
        <v>6213</v>
      </c>
      <c r="O1822" s="10">
        <v>46240.523182870369</v>
      </c>
      <c r="P1822" s="10" t="s">
        <v>46</v>
      </c>
      <c r="Q1822" s="1" t="s">
        <v>72</v>
      </c>
      <c r="R1822" s="8" t="s">
        <v>343</v>
      </c>
      <c r="S182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2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2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2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2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2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2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2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2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2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2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2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2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22" s="12">
        <f ca="1">[1]!Tabel1[[#This Row],[Vægtet Honorar]]*([1]!Tabel1[[#This Row],[Sidst redigeret]]&gt;TODAY()-40)*([1]!Tabel1[[#This Row],[Er i resplan?]]&lt;&gt;"Ja")*([1]!Tabel1[[#This Row],[Status]]="Pågår")</f>
        <v>0</v>
      </c>
      <c r="AG1822" s="12">
        <f ca="1">[1]!Tabel1[[#This Row],[Vægtet Honorar]]*([1]!Tabel1[[#This Row],[Sidst redigeret]]&gt;TODAY()-40)*([1]!Tabel1[[#This Row],[Status]]="Pågår")</f>
        <v>0</v>
      </c>
      <c r="AH1822" s="13"/>
      <c r="AI1822" s="12"/>
      <c r="AJ1822" s="12" t="s">
        <v>6214</v>
      </c>
      <c r="AK1822" s="12" t="s">
        <v>6215</v>
      </c>
      <c r="AL1822" s="12"/>
      <c r="AM1822" s="12"/>
      <c r="AN1822" s="12"/>
      <c r="AO1822" s="12"/>
      <c r="AP1822" s="12"/>
    </row>
    <row r="1823" spans="1:42" ht="210">
      <c r="A1823" t="s">
        <v>6216</v>
      </c>
      <c r="B1823" s="8"/>
      <c r="C1823" s="8" t="s">
        <v>6217</v>
      </c>
      <c r="D1823" s="8" t="s">
        <v>896</v>
      </c>
      <c r="E1823" s="8" t="s">
        <v>94</v>
      </c>
      <c r="F1823" s="8" t="s">
        <v>6049</v>
      </c>
      <c r="G1823" s="8" t="s">
        <v>6218</v>
      </c>
      <c r="H1823" s="9">
        <v>15000000</v>
      </c>
      <c r="I1823" s="9">
        <f>[1]!Tabel1[[#This Row],[Honorar]]*[1]!Tabel1[[#This Row],[Sandsynlighed]]</f>
        <v>15000</v>
      </c>
      <c r="J1823" s="10" t="s">
        <v>342</v>
      </c>
      <c r="K1823" s="1" t="s">
        <v>1709</v>
      </c>
      <c r="L1823" s="17" t="s">
        <v>6219</v>
      </c>
      <c r="M1823" s="11">
        <v>0.01</v>
      </c>
      <c r="N1823" s="1" t="s">
        <v>6220</v>
      </c>
      <c r="O1823" s="10">
        <v>46241.339328703703</v>
      </c>
      <c r="P1823" s="10" t="s">
        <v>46</v>
      </c>
      <c r="Q1823" s="1" t="s">
        <v>72</v>
      </c>
      <c r="R1823" s="8" t="s">
        <v>343</v>
      </c>
      <c r="S182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2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2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2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2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2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2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2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2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2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2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2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2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23" s="12">
        <f ca="1">[1]!Tabel1[[#This Row],[Vægtet Honorar]]*([1]!Tabel1[[#This Row],[Sidst redigeret]]&gt;TODAY()-40)*([1]!Tabel1[[#This Row],[Er i resplan?]]&lt;&gt;"Ja")*([1]!Tabel1[[#This Row],[Status]]="Pågår")</f>
        <v>0</v>
      </c>
      <c r="AG1823" s="12">
        <f ca="1">[1]!Tabel1[[#This Row],[Vægtet Honorar]]*([1]!Tabel1[[#This Row],[Sidst redigeret]]&gt;TODAY()-40)*([1]!Tabel1[[#This Row],[Status]]="Pågår")</f>
        <v>0</v>
      </c>
      <c r="AH1823" s="13"/>
      <c r="AI1823" s="12"/>
      <c r="AJ1823" s="12"/>
      <c r="AK1823" s="12" t="s">
        <v>6221</v>
      </c>
      <c r="AL1823" s="12"/>
      <c r="AM1823" s="12"/>
      <c r="AN1823" s="12"/>
      <c r="AO1823" s="12"/>
      <c r="AP1823" s="12"/>
    </row>
    <row r="1824" spans="1:42" ht="30">
      <c r="A1824" t="s">
        <v>6222</v>
      </c>
      <c r="B1824" s="8"/>
      <c r="C1824" s="8" t="s">
        <v>6223</v>
      </c>
      <c r="D1824" s="8" t="s">
        <v>720</v>
      </c>
      <c r="E1824" s="8" t="s">
        <v>71</v>
      </c>
      <c r="F1824" s="8" t="s">
        <v>788</v>
      </c>
      <c r="G1824" s="8" t="s">
        <v>788</v>
      </c>
      <c r="H1824" s="9">
        <v>3000000</v>
      </c>
      <c r="I1824" s="9">
        <f>[1]!Tabel1[[#This Row],[Honorar]]*[1]!Tabel1[[#This Row],[Sandsynlighed]]</f>
        <v>1500</v>
      </c>
      <c r="J1824" s="10" t="s">
        <v>1062</v>
      </c>
      <c r="K1824" s="1" t="s">
        <v>1709</v>
      </c>
      <c r="L1824" s="17" t="s">
        <v>577</v>
      </c>
      <c r="M1824" s="11">
        <v>0.01</v>
      </c>
      <c r="N1824" s="1"/>
      <c r="O1824" s="10">
        <v>46240.56521990741</v>
      </c>
      <c r="P1824" s="10" t="s">
        <v>46</v>
      </c>
      <c r="Q1824" s="1" t="s">
        <v>72</v>
      </c>
      <c r="R1824" s="8" t="s">
        <v>343</v>
      </c>
      <c r="S182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2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2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2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2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2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2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2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2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2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2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2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2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24" s="12">
        <f ca="1">[1]!Tabel1[[#This Row],[Vægtet Honorar]]*([1]!Tabel1[[#This Row],[Sidst redigeret]]&gt;TODAY()-40)*([1]!Tabel1[[#This Row],[Er i resplan?]]&lt;&gt;"Ja")*([1]!Tabel1[[#This Row],[Status]]="Pågår")</f>
        <v>1500</v>
      </c>
      <c r="AG1824" s="12">
        <f ca="1">[1]!Tabel1[[#This Row],[Vægtet Honorar]]*([1]!Tabel1[[#This Row],[Sidst redigeret]]&gt;TODAY()-40)*([1]!Tabel1[[#This Row],[Status]]="Pågår")</f>
        <v>1500</v>
      </c>
      <c r="AH1824" s="13"/>
      <c r="AI1824" s="12"/>
      <c r="AJ1824" s="12"/>
      <c r="AK1824" s="12"/>
      <c r="AL1824" s="12"/>
      <c r="AM1824" s="12"/>
      <c r="AN1824" s="12"/>
      <c r="AO1824" s="12"/>
      <c r="AP1824" s="12"/>
    </row>
    <row r="1825" spans="1:42" ht="30">
      <c r="A1825" t="s">
        <v>6224</v>
      </c>
      <c r="B1825" s="8"/>
      <c r="C1825" s="8" t="s">
        <v>6225</v>
      </c>
      <c r="D1825" s="8" t="s">
        <v>2886</v>
      </c>
      <c r="E1825" s="8" t="s">
        <v>120</v>
      </c>
      <c r="F1825" s="8" t="s">
        <v>6226</v>
      </c>
      <c r="G1825" s="8" t="s">
        <v>2868</v>
      </c>
      <c r="H1825" s="9">
        <v>3000000</v>
      </c>
      <c r="I1825" s="9">
        <f>[1]!Tabel1[[#This Row],[Honorar]]*[1]!Tabel1[[#This Row],[Sandsynlighed]]</f>
        <v>25000</v>
      </c>
      <c r="J1825" s="10" t="s">
        <v>1062</v>
      </c>
      <c r="K1825" s="1" t="s">
        <v>3601</v>
      </c>
      <c r="L1825" s="17" t="s">
        <v>577</v>
      </c>
      <c r="M1825" s="11">
        <v>0.05</v>
      </c>
      <c r="N1825" s="1"/>
      <c r="O1825" s="10">
        <v>46240.703298611108</v>
      </c>
      <c r="P1825" s="10" t="s">
        <v>46</v>
      </c>
      <c r="Q1825" s="1" t="s">
        <v>72</v>
      </c>
      <c r="R1825" s="8" t="s">
        <v>343</v>
      </c>
      <c r="S182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2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2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2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2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2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2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2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2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2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2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2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2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25" s="12">
        <f ca="1">[1]!Tabel1[[#This Row],[Vægtet Honorar]]*([1]!Tabel1[[#This Row],[Sidst redigeret]]&gt;TODAY()-40)*([1]!Tabel1[[#This Row],[Er i resplan?]]&lt;&gt;"Ja")*([1]!Tabel1[[#This Row],[Status]]="Pågår")</f>
        <v>0</v>
      </c>
      <c r="AG1825" s="12">
        <f ca="1">[1]!Tabel1[[#This Row],[Vægtet Honorar]]*([1]!Tabel1[[#This Row],[Sidst redigeret]]&gt;TODAY()-40)*([1]!Tabel1[[#This Row],[Status]]="Pågår")</f>
        <v>0</v>
      </c>
      <c r="AH1825" s="13"/>
      <c r="AI1825" s="12"/>
      <c r="AJ1825" s="12" t="s">
        <v>2868</v>
      </c>
      <c r="AK1825" s="12"/>
      <c r="AL1825" s="12"/>
      <c r="AM1825" s="12"/>
      <c r="AN1825" s="12"/>
      <c r="AO1825" s="12"/>
      <c r="AP1825" s="12"/>
    </row>
    <row r="1826" spans="1:42" ht="195">
      <c r="A1826" t="s">
        <v>6227</v>
      </c>
      <c r="B1826" s="8"/>
      <c r="C1826" s="8" t="s">
        <v>6228</v>
      </c>
      <c r="D1826" s="8" t="s">
        <v>896</v>
      </c>
      <c r="E1826" s="8" t="s">
        <v>94</v>
      </c>
      <c r="F1826" s="8" t="s">
        <v>5074</v>
      </c>
      <c r="G1826" s="8" t="s">
        <v>5656</v>
      </c>
      <c r="H1826" s="9">
        <v>50000000</v>
      </c>
      <c r="I1826" s="9">
        <f>[1]!Tabel1[[#This Row],[Honorar]]*[1]!Tabel1[[#This Row],[Sandsynlighed]]</f>
        <v>0</v>
      </c>
      <c r="J1826" s="10" t="s">
        <v>1062</v>
      </c>
      <c r="K1826" s="1" t="s">
        <v>3601</v>
      </c>
      <c r="L1826" s="17" t="s">
        <v>6229</v>
      </c>
      <c r="M1826" s="11">
        <v>0.1</v>
      </c>
      <c r="N1826" s="1"/>
      <c r="O1826" s="10">
        <v>46279.618969907409</v>
      </c>
      <c r="P1826" s="10" t="s">
        <v>46</v>
      </c>
      <c r="Q1826" s="1" t="s">
        <v>72</v>
      </c>
      <c r="R1826" s="8" t="s">
        <v>343</v>
      </c>
      <c r="S182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2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2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2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2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2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2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2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2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2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2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2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2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26" s="12">
        <f ca="1">[1]!Tabel1[[#This Row],[Vægtet Honorar]]*([1]!Tabel1[[#This Row],[Sidst redigeret]]&gt;TODAY()-40)*([1]!Tabel1[[#This Row],[Er i resplan?]]&lt;&gt;"Ja")*([1]!Tabel1[[#This Row],[Status]]="Pågår")</f>
        <v>0</v>
      </c>
      <c r="AG1826" s="12">
        <f ca="1">[1]!Tabel1[[#This Row],[Vægtet Honorar]]*([1]!Tabel1[[#This Row],[Sidst redigeret]]&gt;TODAY()-40)*([1]!Tabel1[[#This Row],[Status]]="Pågår")</f>
        <v>0</v>
      </c>
      <c r="AH1826" s="13"/>
      <c r="AI1826" s="12"/>
      <c r="AJ1826" s="12"/>
      <c r="AK1826" s="12" t="s">
        <v>6230</v>
      </c>
      <c r="AL1826" s="12"/>
      <c r="AM1826" s="12"/>
      <c r="AN1826" s="12"/>
      <c r="AO1826" s="12"/>
      <c r="AP1826" s="12"/>
    </row>
    <row r="1827" spans="1:42" ht="45">
      <c r="A1827" t="s">
        <v>6231</v>
      </c>
      <c r="B1827" s="8"/>
      <c r="C1827" s="8" t="s">
        <v>6232</v>
      </c>
      <c r="D1827" s="8" t="s">
        <v>1771</v>
      </c>
      <c r="E1827" s="8" t="s">
        <v>167</v>
      </c>
      <c r="F1827" s="8" t="s">
        <v>2165</v>
      </c>
      <c r="G1827" s="8" t="s">
        <v>2165</v>
      </c>
      <c r="H1827" s="9">
        <v>1000000</v>
      </c>
      <c r="I1827" s="9">
        <f>[1]!Tabel1[[#This Row],[Honorar]]*[1]!Tabel1[[#This Row],[Sandsynlighed]]</f>
        <v>30000</v>
      </c>
      <c r="J1827" s="10" t="s">
        <v>1062</v>
      </c>
      <c r="K1827" s="1" t="s">
        <v>1709</v>
      </c>
      <c r="L1827" s="17" t="s">
        <v>6233</v>
      </c>
      <c r="M1827" s="11">
        <v>0.01</v>
      </c>
      <c r="N1827" s="1" t="s">
        <v>6234</v>
      </c>
      <c r="O1827" s="10">
        <v>46245.460613425923</v>
      </c>
      <c r="P1827" s="10"/>
      <c r="Q1827" s="1" t="s">
        <v>72</v>
      </c>
      <c r="R1827" s="8" t="s">
        <v>343</v>
      </c>
      <c r="S182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2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2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2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2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2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2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2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2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2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2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2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2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27" s="12">
        <f ca="1">[1]!Tabel1[[#This Row],[Vægtet Honorar]]*([1]!Tabel1[[#This Row],[Sidst redigeret]]&gt;TODAY()-40)*([1]!Tabel1[[#This Row],[Er i resplan?]]&lt;&gt;"Ja")*([1]!Tabel1[[#This Row],[Status]]="Pågår")</f>
        <v>0</v>
      </c>
      <c r="AG1827" s="12">
        <f ca="1">[1]!Tabel1[[#This Row],[Vægtet Honorar]]*([1]!Tabel1[[#This Row],[Sidst redigeret]]&gt;TODAY()-40)*([1]!Tabel1[[#This Row],[Status]]="Pågår")</f>
        <v>0</v>
      </c>
      <c r="AH1827" s="13"/>
      <c r="AI1827" s="12"/>
      <c r="AJ1827" s="12" t="s">
        <v>343</v>
      </c>
      <c r="AK1827" s="12" t="s">
        <v>6235</v>
      </c>
      <c r="AL1827" s="12"/>
      <c r="AM1827" s="12"/>
      <c r="AN1827" s="12"/>
      <c r="AO1827" s="12"/>
      <c r="AP1827" s="12"/>
    </row>
    <row r="1828" spans="1:42" ht="45">
      <c r="A1828" t="s">
        <v>6236</v>
      </c>
      <c r="B1828" s="8"/>
      <c r="C1828" s="8" t="s">
        <v>6237</v>
      </c>
      <c r="D1828" s="8" t="s">
        <v>1771</v>
      </c>
      <c r="E1828" s="8" t="s">
        <v>167</v>
      </c>
      <c r="F1828" s="8" t="s">
        <v>2165</v>
      </c>
      <c r="G1828" s="8" t="s">
        <v>2165</v>
      </c>
      <c r="H1828" s="9">
        <v>1100000</v>
      </c>
      <c r="I1828" s="9">
        <f>[1]!Tabel1[[#This Row],[Honorar]]*[1]!Tabel1[[#This Row],[Sandsynlighed]]</f>
        <v>150000</v>
      </c>
      <c r="J1828" s="10" t="s">
        <v>342</v>
      </c>
      <c r="K1828" s="1" t="s">
        <v>2105</v>
      </c>
      <c r="L1828" s="17" t="s">
        <v>6233</v>
      </c>
      <c r="M1828" s="11">
        <v>0.01</v>
      </c>
      <c r="N1828" s="1" t="s">
        <v>6238</v>
      </c>
      <c r="O1828" s="10">
        <v>46245.4606712963</v>
      </c>
      <c r="P1828" s="10"/>
      <c r="Q1828" s="1" t="s">
        <v>72</v>
      </c>
      <c r="R1828" s="8" t="s">
        <v>343</v>
      </c>
      <c r="S182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2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2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2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2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2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2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2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2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2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2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2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2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28" s="12">
        <f ca="1">[1]!Tabel1[[#This Row],[Vægtet Honorar]]*([1]!Tabel1[[#This Row],[Sidst redigeret]]&gt;TODAY()-40)*([1]!Tabel1[[#This Row],[Er i resplan?]]&lt;&gt;"Ja")*([1]!Tabel1[[#This Row],[Status]]="Pågår")</f>
        <v>0</v>
      </c>
      <c r="AG1828" s="12">
        <f ca="1">[1]!Tabel1[[#This Row],[Vægtet Honorar]]*([1]!Tabel1[[#This Row],[Sidst redigeret]]&gt;TODAY()-40)*([1]!Tabel1[[#This Row],[Status]]="Pågår")</f>
        <v>0</v>
      </c>
      <c r="AH1828" s="13"/>
      <c r="AI1828" s="12"/>
      <c r="AJ1828" s="12" t="s">
        <v>343</v>
      </c>
      <c r="AK1828" s="12" t="s">
        <v>6235</v>
      </c>
      <c r="AL1828" s="12"/>
      <c r="AM1828" s="12"/>
      <c r="AN1828" s="12"/>
      <c r="AO1828" s="12"/>
      <c r="AP1828" s="12"/>
    </row>
    <row r="1829" spans="1:42" ht="60">
      <c r="A1829" t="s">
        <v>6239</v>
      </c>
      <c r="B1829" s="8"/>
      <c r="C1829" s="8" t="s">
        <v>6240</v>
      </c>
      <c r="D1829" s="8" t="s">
        <v>1623</v>
      </c>
      <c r="E1829" s="8" t="s">
        <v>102</v>
      </c>
      <c r="F1829" s="8" t="s">
        <v>1538</v>
      </c>
      <c r="G1829" s="8" t="s">
        <v>5248</v>
      </c>
      <c r="H1829" s="9">
        <v>1500000</v>
      </c>
      <c r="I1829" s="9">
        <f>[1]!Tabel1[[#This Row],[Honorar]]*[1]!Tabel1[[#This Row],[Sandsynlighed]]</f>
        <v>30000</v>
      </c>
      <c r="J1829" s="10" t="s">
        <v>342</v>
      </c>
      <c r="K1829" s="1" t="s">
        <v>1709</v>
      </c>
      <c r="L1829" s="17" t="s">
        <v>6241</v>
      </c>
      <c r="M1829" s="11">
        <v>0.5</v>
      </c>
      <c r="N1829" s="1" t="s">
        <v>6242</v>
      </c>
      <c r="O1829" s="10">
        <v>46244.578981481478</v>
      </c>
      <c r="P1829" s="10"/>
      <c r="Q1829" s="1" t="s">
        <v>46</v>
      </c>
      <c r="R1829" s="8" t="s">
        <v>343</v>
      </c>
      <c r="S182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2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2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2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2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2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2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2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2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2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2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2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2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29" s="12">
        <f ca="1">[1]!Tabel1[[#This Row],[Vægtet Honorar]]*([1]!Tabel1[[#This Row],[Sidst redigeret]]&gt;TODAY()-40)*([1]!Tabel1[[#This Row],[Er i resplan?]]&lt;&gt;"Ja")*([1]!Tabel1[[#This Row],[Status]]="Pågår")</f>
        <v>0</v>
      </c>
      <c r="AG1829" s="12">
        <f ca="1">[1]!Tabel1[[#This Row],[Vægtet Honorar]]*([1]!Tabel1[[#This Row],[Sidst redigeret]]&gt;TODAY()-40)*([1]!Tabel1[[#This Row],[Status]]="Pågår")</f>
        <v>0</v>
      </c>
      <c r="AH1829" s="13"/>
      <c r="AI1829" s="12"/>
      <c r="AJ1829" s="12" t="s">
        <v>343</v>
      </c>
      <c r="AK1829" s="12" t="s">
        <v>6235</v>
      </c>
      <c r="AL1829" s="12"/>
      <c r="AM1829" s="12"/>
      <c r="AN1829" s="12"/>
      <c r="AO1829" s="12"/>
      <c r="AP1829" s="12"/>
    </row>
    <row r="1830" spans="1:42" ht="30">
      <c r="A1830" t="s">
        <v>6243</v>
      </c>
      <c r="B1830" s="8"/>
      <c r="C1830" s="8" t="s">
        <v>6244</v>
      </c>
      <c r="D1830" s="8" t="s">
        <v>896</v>
      </c>
      <c r="E1830" s="8" t="s">
        <v>102</v>
      </c>
      <c r="F1830" s="8" t="s">
        <v>6245</v>
      </c>
      <c r="G1830" s="8" t="s">
        <v>6246</v>
      </c>
      <c r="H1830" s="9">
        <v>50000</v>
      </c>
      <c r="I1830" s="9">
        <f>[1]!Tabel1[[#This Row],[Honorar]]*[1]!Tabel1[[#This Row],[Sandsynlighed]]</f>
        <v>150000</v>
      </c>
      <c r="J1830" s="10" t="s">
        <v>585</v>
      </c>
      <c r="K1830" s="1" t="s">
        <v>585</v>
      </c>
      <c r="L1830" s="17" t="s">
        <v>6247</v>
      </c>
      <c r="M1830" s="11">
        <v>0.5</v>
      </c>
      <c r="N1830" s="1" t="s">
        <v>6248</v>
      </c>
      <c r="O1830" s="10">
        <v>46245.321712962963</v>
      </c>
      <c r="P1830" s="10"/>
      <c r="Q1830" s="1" t="s">
        <v>46</v>
      </c>
      <c r="R1830" s="8" t="s">
        <v>343</v>
      </c>
      <c r="S183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3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3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3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3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3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3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3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3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3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3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3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3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30" s="12">
        <f ca="1">[1]!Tabel1[[#This Row],[Vægtet Honorar]]*([1]!Tabel1[[#This Row],[Sidst redigeret]]&gt;TODAY()-40)*([1]!Tabel1[[#This Row],[Er i resplan?]]&lt;&gt;"Ja")*([1]!Tabel1[[#This Row],[Status]]="Pågår")</f>
        <v>0</v>
      </c>
      <c r="AG1830" s="12">
        <f ca="1">[1]!Tabel1[[#This Row],[Vægtet Honorar]]*([1]!Tabel1[[#This Row],[Sidst redigeret]]&gt;TODAY()-40)*([1]!Tabel1[[#This Row],[Status]]="Pågår")</f>
        <v>0</v>
      </c>
      <c r="AH1830" s="13"/>
      <c r="AI1830" s="12"/>
      <c r="AJ1830" s="12" t="s">
        <v>6246</v>
      </c>
      <c r="AK1830" s="12"/>
      <c r="AL1830" s="12"/>
      <c r="AM1830" s="12"/>
      <c r="AN1830" s="12"/>
      <c r="AO1830" s="12"/>
      <c r="AP1830" s="12"/>
    </row>
    <row r="1831" spans="1:42" ht="45">
      <c r="A1831" t="s">
        <v>6249</v>
      </c>
      <c r="B1831" s="8"/>
      <c r="C1831" s="8" t="s">
        <v>6250</v>
      </c>
      <c r="D1831" s="8" t="s">
        <v>1771</v>
      </c>
      <c r="E1831" s="8" t="s">
        <v>167</v>
      </c>
      <c r="F1831" s="8" t="s">
        <v>1357</v>
      </c>
      <c r="G1831" s="8" t="s">
        <v>2261</v>
      </c>
      <c r="H1831" s="9">
        <v>800000</v>
      </c>
      <c r="I1831" s="9">
        <f>[1]!Tabel1[[#This Row],[Honorar]]*[1]!Tabel1[[#This Row],[Sandsynlighed]]</f>
        <v>5000000</v>
      </c>
      <c r="J1831" s="10" t="s">
        <v>342</v>
      </c>
      <c r="K1831" s="1" t="s">
        <v>1861</v>
      </c>
      <c r="L1831" s="17" t="s">
        <v>6251</v>
      </c>
      <c r="M1831" s="11">
        <v>0.02</v>
      </c>
      <c r="N1831" s="1"/>
      <c r="O1831" s="10">
        <v>46245.475937499999</v>
      </c>
      <c r="P1831" s="10"/>
      <c r="Q1831" s="1"/>
      <c r="R1831" s="8" t="s">
        <v>343</v>
      </c>
      <c r="S183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3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3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3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3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3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3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3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3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3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3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3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3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31" s="12">
        <f ca="1">[1]!Tabel1[[#This Row],[Vægtet Honorar]]*([1]!Tabel1[[#This Row],[Sidst redigeret]]&gt;TODAY()-40)*([1]!Tabel1[[#This Row],[Er i resplan?]]&lt;&gt;"Ja")*([1]!Tabel1[[#This Row],[Status]]="Pågår")</f>
        <v>5000000</v>
      </c>
      <c r="AG1831" s="12">
        <f ca="1">[1]!Tabel1[[#This Row],[Vægtet Honorar]]*([1]!Tabel1[[#This Row],[Sidst redigeret]]&gt;TODAY()-40)*([1]!Tabel1[[#This Row],[Status]]="Pågår")</f>
        <v>5000000</v>
      </c>
      <c r="AH1831" s="13"/>
      <c r="AI1831" s="12"/>
      <c r="AJ1831" s="12"/>
      <c r="AK1831" s="12"/>
      <c r="AL1831" s="12"/>
      <c r="AM1831" s="12"/>
      <c r="AN1831" s="12"/>
      <c r="AO1831" s="12"/>
      <c r="AP1831" s="12"/>
    </row>
    <row r="1832" spans="1:42" ht="45">
      <c r="A1832" t="s">
        <v>6252</v>
      </c>
      <c r="B1832" s="8"/>
      <c r="C1832" s="8" t="s">
        <v>6253</v>
      </c>
      <c r="D1832" s="8" t="s">
        <v>1771</v>
      </c>
      <c r="E1832" s="8" t="s">
        <v>167</v>
      </c>
      <c r="F1832" s="8" t="s">
        <v>1357</v>
      </c>
      <c r="G1832" s="8" t="s">
        <v>2261</v>
      </c>
      <c r="H1832" s="9">
        <v>350000</v>
      </c>
      <c r="I1832" s="9">
        <f>[1]!Tabel1[[#This Row],[Honorar]]*[1]!Tabel1[[#This Row],[Sandsynlighed]]</f>
        <v>10000</v>
      </c>
      <c r="J1832" s="10" t="s">
        <v>342</v>
      </c>
      <c r="K1832" s="1" t="s">
        <v>1861</v>
      </c>
      <c r="L1832" s="17" t="s">
        <v>6254</v>
      </c>
      <c r="M1832" s="11">
        <v>0.02</v>
      </c>
      <c r="N1832" s="1"/>
      <c r="O1832" s="10">
        <v>46245.476550925923</v>
      </c>
      <c r="P1832" s="10"/>
      <c r="Q1832" s="1"/>
      <c r="R1832" s="8" t="s">
        <v>343</v>
      </c>
      <c r="S183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3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3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3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3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3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3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3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3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3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3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3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3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32" s="12">
        <f ca="1">[1]!Tabel1[[#This Row],[Vægtet Honorar]]*([1]!Tabel1[[#This Row],[Sidst redigeret]]&gt;TODAY()-40)*([1]!Tabel1[[#This Row],[Er i resplan?]]&lt;&gt;"Ja")*([1]!Tabel1[[#This Row],[Status]]="Pågår")</f>
        <v>10000</v>
      </c>
      <c r="AG1832" s="12">
        <f ca="1">[1]!Tabel1[[#This Row],[Vægtet Honorar]]*([1]!Tabel1[[#This Row],[Sidst redigeret]]&gt;TODAY()-40)*([1]!Tabel1[[#This Row],[Status]]="Pågår")</f>
        <v>10000</v>
      </c>
      <c r="AH1832" s="13"/>
      <c r="AI1832" s="12"/>
      <c r="AJ1832" s="12"/>
      <c r="AK1832" s="12"/>
      <c r="AL1832" s="12"/>
      <c r="AM1832" s="12"/>
      <c r="AN1832" s="12"/>
      <c r="AO1832" s="12"/>
      <c r="AP1832" s="12"/>
    </row>
    <row r="1833" spans="1:42" ht="45">
      <c r="A1833" t="s">
        <v>6255</v>
      </c>
      <c r="B1833" s="8"/>
      <c r="C1833" s="8" t="s">
        <v>6256</v>
      </c>
      <c r="D1833" s="8" t="s">
        <v>1771</v>
      </c>
      <c r="E1833" s="8" t="s">
        <v>167</v>
      </c>
      <c r="F1833" s="8" t="s">
        <v>1357</v>
      </c>
      <c r="G1833" s="8" t="s">
        <v>2261</v>
      </c>
      <c r="H1833" s="9">
        <v>600000</v>
      </c>
      <c r="I1833" s="9">
        <f>[1]!Tabel1[[#This Row],[Honorar]]*[1]!Tabel1[[#This Row],[Sandsynlighed]]</f>
        <v>11000</v>
      </c>
      <c r="J1833" s="10" t="s">
        <v>342</v>
      </c>
      <c r="K1833" s="1" t="s">
        <v>1861</v>
      </c>
      <c r="L1833" s="17" t="s">
        <v>6257</v>
      </c>
      <c r="M1833" s="11">
        <v>0.02</v>
      </c>
      <c r="N1833" s="1"/>
      <c r="O1833" s="10">
        <v>46245.477025462962</v>
      </c>
      <c r="P1833" s="10"/>
      <c r="Q1833" s="1"/>
      <c r="R1833" s="8" t="s">
        <v>343</v>
      </c>
      <c r="S183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3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3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3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3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3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3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3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3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3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3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3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3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33" s="12">
        <f ca="1">[1]!Tabel1[[#This Row],[Vægtet Honorar]]*([1]!Tabel1[[#This Row],[Sidst redigeret]]&gt;TODAY()-40)*([1]!Tabel1[[#This Row],[Er i resplan?]]&lt;&gt;"Ja")*([1]!Tabel1[[#This Row],[Status]]="Pågår")</f>
        <v>11000</v>
      </c>
      <c r="AG1833" s="12">
        <f ca="1">[1]!Tabel1[[#This Row],[Vægtet Honorar]]*([1]!Tabel1[[#This Row],[Sidst redigeret]]&gt;TODAY()-40)*([1]!Tabel1[[#This Row],[Status]]="Pågår")</f>
        <v>11000</v>
      </c>
      <c r="AH1833" s="13"/>
      <c r="AI1833" s="12"/>
      <c r="AJ1833" s="12"/>
      <c r="AK1833" s="12"/>
      <c r="AL1833" s="12"/>
      <c r="AM1833" s="12"/>
      <c r="AN1833" s="12"/>
      <c r="AO1833" s="12"/>
      <c r="AP1833" s="12"/>
    </row>
    <row r="1834" spans="1:42" ht="30">
      <c r="A1834" t="s">
        <v>6258</v>
      </c>
      <c r="B1834" s="8"/>
      <c r="C1834" s="8" t="s">
        <v>6259</v>
      </c>
      <c r="D1834" s="8" t="s">
        <v>358</v>
      </c>
      <c r="E1834" s="8" t="s">
        <v>102</v>
      </c>
      <c r="F1834" s="8" t="s">
        <v>6260</v>
      </c>
      <c r="G1834" s="8" t="s">
        <v>6260</v>
      </c>
      <c r="H1834" s="9">
        <v>83000</v>
      </c>
      <c r="I1834" s="9">
        <f>[1]!Tabel1[[#This Row],[Honorar]]*[1]!Tabel1[[#This Row],[Sandsynlighed]]</f>
        <v>750000</v>
      </c>
      <c r="J1834" s="10" t="s">
        <v>585</v>
      </c>
      <c r="K1834" s="1" t="s">
        <v>1861</v>
      </c>
      <c r="L1834" s="17" t="s">
        <v>6261</v>
      </c>
      <c r="M1834" s="11">
        <v>0.8</v>
      </c>
      <c r="N1834" s="1"/>
      <c r="O1834" s="10">
        <v>46245.669490740744</v>
      </c>
      <c r="P1834" s="10"/>
      <c r="Q1834" s="1" t="s">
        <v>46</v>
      </c>
      <c r="R1834" s="8" t="s">
        <v>343</v>
      </c>
      <c r="S183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3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3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3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3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3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3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3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3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3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3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3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3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34" s="12">
        <f ca="1">[1]!Tabel1[[#This Row],[Vægtet Honorar]]*([1]!Tabel1[[#This Row],[Sidst redigeret]]&gt;TODAY()-40)*([1]!Tabel1[[#This Row],[Er i resplan?]]&lt;&gt;"Ja")*([1]!Tabel1[[#This Row],[Status]]="Pågår")</f>
        <v>0</v>
      </c>
      <c r="AG1834" s="12">
        <f ca="1">[1]!Tabel1[[#This Row],[Vægtet Honorar]]*([1]!Tabel1[[#This Row],[Sidst redigeret]]&gt;TODAY()-40)*([1]!Tabel1[[#This Row],[Status]]="Pågår")</f>
        <v>750000</v>
      </c>
      <c r="AH1834" s="13"/>
      <c r="AI1834" s="12"/>
      <c r="AJ1834" s="12"/>
      <c r="AK1834" s="12"/>
      <c r="AL1834" s="12"/>
      <c r="AM1834" s="12"/>
      <c r="AN1834" s="12"/>
      <c r="AO1834" s="12"/>
      <c r="AP1834" s="12"/>
    </row>
    <row r="1835" spans="1:42" ht="60">
      <c r="A1835" t="s">
        <v>6262</v>
      </c>
      <c r="B1835" s="8"/>
      <c r="C1835" s="8" t="s">
        <v>6263</v>
      </c>
      <c r="D1835" s="8" t="s">
        <v>1771</v>
      </c>
      <c r="E1835" s="8" t="s">
        <v>167</v>
      </c>
      <c r="F1835" s="8" t="s">
        <v>1427</v>
      </c>
      <c r="G1835" s="8" t="s">
        <v>1427</v>
      </c>
      <c r="H1835" s="9">
        <v>14000000</v>
      </c>
      <c r="I1835" s="9">
        <f>[1]!Tabel1[[#This Row],[Honorar]]*[1]!Tabel1[[#This Row],[Sandsynlighed]]</f>
        <v>25000</v>
      </c>
      <c r="J1835" s="10" t="s">
        <v>1062</v>
      </c>
      <c r="K1835" s="1" t="s">
        <v>898</v>
      </c>
      <c r="L1835" s="17" t="s">
        <v>6264</v>
      </c>
      <c r="M1835" s="11">
        <v>0.25</v>
      </c>
      <c r="N1835" s="1" t="s">
        <v>6265</v>
      </c>
      <c r="O1835" s="10">
        <v>46246.559050925927</v>
      </c>
      <c r="P1835" s="10" t="s">
        <v>4507</v>
      </c>
      <c r="Q1835" s="1"/>
      <c r="R1835" s="8" t="s">
        <v>343</v>
      </c>
      <c r="S183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3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3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3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3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3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3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3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3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3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3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3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3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35" s="12">
        <f ca="1">[1]!Tabel1[[#This Row],[Vægtet Honorar]]*([1]!Tabel1[[#This Row],[Sidst redigeret]]&gt;TODAY()-40)*([1]!Tabel1[[#This Row],[Er i resplan?]]&lt;&gt;"Ja")*([1]!Tabel1[[#This Row],[Status]]="Pågår")</f>
        <v>0</v>
      </c>
      <c r="AG1835" s="12">
        <f ca="1">[1]!Tabel1[[#This Row],[Vægtet Honorar]]*([1]!Tabel1[[#This Row],[Sidst redigeret]]&gt;TODAY()-40)*([1]!Tabel1[[#This Row],[Status]]="Pågår")</f>
        <v>25000</v>
      </c>
      <c r="AH1835" s="13"/>
      <c r="AI1835" s="12"/>
      <c r="AJ1835" s="12"/>
      <c r="AK1835" s="12"/>
      <c r="AL1835" s="12"/>
      <c r="AM1835" s="12"/>
      <c r="AN1835" s="12"/>
      <c r="AO1835" s="12"/>
      <c r="AP1835" s="12"/>
    </row>
    <row r="1836" spans="1:42" ht="90">
      <c r="A1836" t="s">
        <v>6266</v>
      </c>
      <c r="B1836" s="8"/>
      <c r="C1836" s="8" t="s">
        <v>6267</v>
      </c>
      <c r="D1836" s="8" t="s">
        <v>896</v>
      </c>
      <c r="E1836" s="8" t="s">
        <v>94</v>
      </c>
      <c r="F1836" s="8" t="s">
        <v>6268</v>
      </c>
      <c r="G1836" s="8" t="s">
        <v>5041</v>
      </c>
      <c r="H1836" s="9">
        <v>10000000</v>
      </c>
      <c r="I1836" s="9">
        <f>[1]!Tabel1[[#This Row],[Honorar]]*[1]!Tabel1[[#This Row],[Sandsynlighed]]</f>
        <v>16000</v>
      </c>
      <c r="J1836" s="10" t="s">
        <v>1062</v>
      </c>
      <c r="K1836" s="1" t="s">
        <v>898</v>
      </c>
      <c r="L1836" s="17" t="s">
        <v>6269</v>
      </c>
      <c r="M1836" s="11">
        <v>0.01</v>
      </c>
      <c r="N1836" s="1" t="s">
        <v>6270</v>
      </c>
      <c r="O1836" s="10">
        <v>46246.725370370368</v>
      </c>
      <c r="P1836" s="10" t="s">
        <v>4507</v>
      </c>
      <c r="Q1836" s="1"/>
      <c r="R1836" s="8" t="s">
        <v>343</v>
      </c>
      <c r="S183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3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3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3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3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3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3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3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3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3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3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3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3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36" s="12">
        <f ca="1">[1]!Tabel1[[#This Row],[Vægtet Honorar]]*([1]!Tabel1[[#This Row],[Sidst redigeret]]&gt;TODAY()-40)*([1]!Tabel1[[#This Row],[Er i resplan?]]&lt;&gt;"Ja")*([1]!Tabel1[[#This Row],[Status]]="Pågår")</f>
        <v>16000</v>
      </c>
      <c r="AG1836" s="12">
        <f ca="1">[1]!Tabel1[[#This Row],[Vægtet Honorar]]*([1]!Tabel1[[#This Row],[Sidst redigeret]]&gt;TODAY()-40)*([1]!Tabel1[[#This Row],[Status]]="Pågår")</f>
        <v>16000</v>
      </c>
      <c r="AH1836" s="13"/>
      <c r="AI1836" s="12"/>
      <c r="AJ1836" s="12" t="s">
        <v>5041</v>
      </c>
      <c r="AK1836" s="12"/>
      <c r="AL1836" s="12"/>
      <c r="AM1836" s="12"/>
      <c r="AN1836" s="12"/>
      <c r="AO1836" s="12"/>
      <c r="AP1836" s="12"/>
    </row>
    <row r="1837" spans="1:42" ht="30">
      <c r="A1837" t="s">
        <v>6271</v>
      </c>
      <c r="B1837" s="8"/>
      <c r="C1837" s="8" t="s">
        <v>6272</v>
      </c>
      <c r="D1837" s="8" t="s">
        <v>158</v>
      </c>
      <c r="E1837" s="8" t="s">
        <v>167</v>
      </c>
      <c r="F1837" s="8" t="s">
        <v>671</v>
      </c>
      <c r="G1837" s="8" t="s">
        <v>671</v>
      </c>
      <c r="H1837" s="9">
        <v>1500000</v>
      </c>
      <c r="I1837" s="9">
        <f>[1]!Tabel1[[#This Row],[Honorar]]*[1]!Tabel1[[#This Row],[Sandsynlighed]]</f>
        <v>7000</v>
      </c>
      <c r="J1837" s="10" t="s">
        <v>342</v>
      </c>
      <c r="K1837" s="1" t="s">
        <v>898</v>
      </c>
      <c r="L1837" s="17" t="s">
        <v>6273</v>
      </c>
      <c r="M1837" s="11">
        <v>0.01</v>
      </c>
      <c r="N1837" s="1"/>
      <c r="O1837" s="10">
        <v>46265.537233796298</v>
      </c>
      <c r="P1837" s="10"/>
      <c r="Q1837" s="1"/>
      <c r="R1837" s="8"/>
      <c r="S183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3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3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3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3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3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3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3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3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3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3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3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3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37" s="12">
        <f ca="1">[1]!Tabel1[[#This Row],[Vægtet Honorar]]*([1]!Tabel1[[#This Row],[Sidst redigeret]]&gt;TODAY()-40)*([1]!Tabel1[[#This Row],[Er i resplan?]]&lt;&gt;"Ja")*([1]!Tabel1[[#This Row],[Status]]="Pågår")</f>
        <v>7000</v>
      </c>
      <c r="AG1837" s="12">
        <f ca="1">[1]!Tabel1[[#This Row],[Vægtet Honorar]]*([1]!Tabel1[[#This Row],[Sidst redigeret]]&gt;TODAY()-40)*([1]!Tabel1[[#This Row],[Status]]="Pågår")</f>
        <v>7000</v>
      </c>
      <c r="AH1837" s="13"/>
      <c r="AI1837" s="12"/>
      <c r="AJ1837" s="12" t="s">
        <v>6274</v>
      </c>
      <c r="AK1837" s="12"/>
      <c r="AL1837" s="12"/>
      <c r="AM1837" s="12"/>
      <c r="AN1837" s="12"/>
      <c r="AO1837" s="12"/>
      <c r="AP1837" s="12"/>
    </row>
    <row r="1838" spans="1:42">
      <c r="A1838" t="s">
        <v>6275</v>
      </c>
      <c r="B1838" s="8"/>
      <c r="C1838" s="8" t="s">
        <v>6276</v>
      </c>
      <c r="D1838" s="8" t="s">
        <v>2886</v>
      </c>
      <c r="E1838" s="8" t="s">
        <v>120</v>
      </c>
      <c r="F1838" s="8" t="s">
        <v>6276</v>
      </c>
      <c r="G1838" s="8" t="s">
        <v>2970</v>
      </c>
      <c r="H1838" s="9">
        <v>2000000</v>
      </c>
      <c r="I1838" s="9">
        <f>[1]!Tabel1[[#This Row],[Honorar]]*[1]!Tabel1[[#This Row],[Sandsynlighed]]</f>
        <v>12000</v>
      </c>
      <c r="J1838" s="10" t="s">
        <v>342</v>
      </c>
      <c r="K1838" s="1" t="s">
        <v>1861</v>
      </c>
      <c r="L1838" s="17"/>
      <c r="M1838" s="11">
        <v>0.33</v>
      </c>
      <c r="N1838" s="1" t="s">
        <v>6277</v>
      </c>
      <c r="O1838" s="10">
        <v>46269.646979166668</v>
      </c>
      <c r="P1838" s="10" t="s">
        <v>4507</v>
      </c>
      <c r="Q1838" s="1"/>
      <c r="R1838" s="8" t="s">
        <v>343</v>
      </c>
      <c r="S183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3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3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3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3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3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3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3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3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3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3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3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3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38" s="12">
        <f ca="1">[1]!Tabel1[[#This Row],[Vægtet Honorar]]*([1]!Tabel1[[#This Row],[Sidst redigeret]]&gt;TODAY()-40)*([1]!Tabel1[[#This Row],[Er i resplan?]]&lt;&gt;"Ja")*([1]!Tabel1[[#This Row],[Status]]="Pågår")</f>
        <v>12000</v>
      </c>
      <c r="AG1838" s="12">
        <f ca="1">[1]!Tabel1[[#This Row],[Vægtet Honorar]]*([1]!Tabel1[[#This Row],[Sidst redigeret]]&gt;TODAY()-40)*([1]!Tabel1[[#This Row],[Status]]="Pågår")</f>
        <v>12000</v>
      </c>
      <c r="AH1838" s="13"/>
      <c r="AI1838" s="12"/>
      <c r="AJ1838" s="12" t="s">
        <v>2970</v>
      </c>
      <c r="AK1838" s="12"/>
      <c r="AL1838" s="12"/>
      <c r="AM1838" s="12"/>
      <c r="AN1838" s="12"/>
      <c r="AO1838" s="12"/>
      <c r="AP1838" s="12"/>
    </row>
    <row r="1839" spans="1:42">
      <c r="A1839" t="s">
        <v>6278</v>
      </c>
      <c r="B1839" s="8"/>
      <c r="C1839" s="8" t="s">
        <v>6279</v>
      </c>
      <c r="D1839" s="8" t="s">
        <v>2886</v>
      </c>
      <c r="E1839" s="8" t="s">
        <v>120</v>
      </c>
      <c r="F1839" s="8"/>
      <c r="G1839" s="8" t="s">
        <v>4367</v>
      </c>
      <c r="H1839" s="9">
        <v>2000000</v>
      </c>
      <c r="I1839" s="9">
        <f>[1]!Tabel1[[#This Row],[Honorar]]*[1]!Tabel1[[#This Row],[Sandsynlighed]]</f>
        <v>66400</v>
      </c>
      <c r="J1839" s="10" t="s">
        <v>1062</v>
      </c>
      <c r="K1839" s="1" t="s">
        <v>1861</v>
      </c>
      <c r="L1839" s="17"/>
      <c r="M1839" s="11">
        <v>0.33</v>
      </c>
      <c r="N1839" s="1" t="s">
        <v>6280</v>
      </c>
      <c r="O1839" s="10">
        <v>46269.647152777776</v>
      </c>
      <c r="P1839" s="10" t="s">
        <v>4507</v>
      </c>
      <c r="Q1839" s="1"/>
      <c r="R1839" s="8" t="s">
        <v>343</v>
      </c>
      <c r="S1839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3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3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3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3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3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3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3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3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3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3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3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3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39" s="12">
        <f ca="1">[1]!Tabel1[[#This Row],[Vægtet Honorar]]*([1]!Tabel1[[#This Row],[Sidst redigeret]]&gt;TODAY()-40)*([1]!Tabel1[[#This Row],[Er i resplan?]]&lt;&gt;"Ja")*([1]!Tabel1[[#This Row],[Status]]="Pågår")</f>
        <v>0</v>
      </c>
      <c r="AG1839" s="12">
        <f ca="1">[1]!Tabel1[[#This Row],[Vægtet Honorar]]*([1]!Tabel1[[#This Row],[Sidst redigeret]]&gt;TODAY()-40)*([1]!Tabel1[[#This Row],[Status]]="Pågår")</f>
        <v>66400</v>
      </c>
      <c r="AH1839" s="13"/>
      <c r="AI1839" s="12"/>
      <c r="AJ1839" s="12" t="s">
        <v>4367</v>
      </c>
      <c r="AK1839" s="12"/>
      <c r="AL1839" s="12"/>
      <c r="AM1839" s="12"/>
      <c r="AN1839" s="12"/>
      <c r="AO1839" s="12"/>
      <c r="AP1839" s="12"/>
    </row>
    <row r="1840" spans="1:42" ht="30">
      <c r="A1840" t="s">
        <v>6281</v>
      </c>
      <c r="B1840" s="8"/>
      <c r="C1840" s="8" t="s">
        <v>6282</v>
      </c>
      <c r="D1840" s="8" t="s">
        <v>896</v>
      </c>
      <c r="E1840" s="8" t="s">
        <v>94</v>
      </c>
      <c r="F1840" s="8" t="s">
        <v>6283</v>
      </c>
      <c r="G1840" s="8" t="s">
        <v>2005</v>
      </c>
      <c r="H1840" s="9">
        <v>25000000</v>
      </c>
      <c r="I1840" s="9">
        <f>[1]!Tabel1[[#This Row],[Honorar]]*[1]!Tabel1[[#This Row],[Sandsynlighed]]</f>
        <v>3500000</v>
      </c>
      <c r="J1840" s="10" t="s">
        <v>2105</v>
      </c>
      <c r="K1840" s="1" t="s">
        <v>6284</v>
      </c>
      <c r="L1840" s="17" t="s">
        <v>6273</v>
      </c>
      <c r="M1840" s="11">
        <v>0.01</v>
      </c>
      <c r="N1840" s="1"/>
      <c r="O1840" s="10">
        <v>46251.663344907407</v>
      </c>
      <c r="P1840" s="10" t="s">
        <v>4507</v>
      </c>
      <c r="Q1840" s="1"/>
      <c r="R1840" s="8" t="s">
        <v>343</v>
      </c>
      <c r="S184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4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4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4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4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4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4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4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4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4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4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4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4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40" s="12">
        <f ca="1">[1]!Tabel1[[#This Row],[Vægtet Honorar]]*([1]!Tabel1[[#This Row],[Sidst redigeret]]&gt;TODAY()-40)*([1]!Tabel1[[#This Row],[Er i resplan?]]&lt;&gt;"Ja")*([1]!Tabel1[[#This Row],[Status]]="Pågår")</f>
        <v>3500000</v>
      </c>
      <c r="AG1840" s="12">
        <f ca="1">[1]!Tabel1[[#This Row],[Vægtet Honorar]]*([1]!Tabel1[[#This Row],[Sidst redigeret]]&gt;TODAY()-40)*([1]!Tabel1[[#This Row],[Status]]="Pågår")</f>
        <v>3500000</v>
      </c>
      <c r="AH1840" s="13"/>
      <c r="AI1840" s="12"/>
      <c r="AJ1840" s="12" t="s">
        <v>2005</v>
      </c>
      <c r="AK1840" s="12"/>
      <c r="AL1840" s="12"/>
      <c r="AM1840" s="12"/>
      <c r="AN1840" s="12"/>
      <c r="AO1840" s="12"/>
      <c r="AP1840" s="12"/>
    </row>
    <row r="1841" spans="1:42" ht="30">
      <c r="A1841" t="s">
        <v>6285</v>
      </c>
      <c r="B1841" s="8"/>
      <c r="C1841" s="8" t="s">
        <v>6286</v>
      </c>
      <c r="D1841" s="8" t="s">
        <v>896</v>
      </c>
      <c r="E1841" s="8" t="s">
        <v>94</v>
      </c>
      <c r="F1841" s="8" t="s">
        <v>6283</v>
      </c>
      <c r="G1841" s="8" t="s">
        <v>2005</v>
      </c>
      <c r="H1841" s="9">
        <v>25000000</v>
      </c>
      <c r="I1841" s="9">
        <f>[1]!Tabel1[[#This Row],[Honorar]]*[1]!Tabel1[[#This Row],[Sandsynlighed]]</f>
        <v>100000</v>
      </c>
      <c r="J1841" s="10" t="s">
        <v>2105</v>
      </c>
      <c r="K1841" s="1" t="s">
        <v>6284</v>
      </c>
      <c r="L1841" s="17" t="s">
        <v>6273</v>
      </c>
      <c r="M1841" s="11">
        <v>0.01</v>
      </c>
      <c r="N1841" s="1"/>
      <c r="O1841" s="10">
        <v>46251.663368055553</v>
      </c>
      <c r="P1841" s="10" t="s">
        <v>4507</v>
      </c>
      <c r="Q1841" s="1"/>
      <c r="R1841" s="8" t="s">
        <v>343</v>
      </c>
      <c r="S184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4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4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4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4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4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4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4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4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4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4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4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4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41" s="12">
        <f ca="1">[1]!Tabel1[[#This Row],[Vægtet Honorar]]*([1]!Tabel1[[#This Row],[Sidst redigeret]]&gt;TODAY()-40)*([1]!Tabel1[[#This Row],[Er i resplan?]]&lt;&gt;"Ja")*([1]!Tabel1[[#This Row],[Status]]="Pågår")</f>
        <v>100000</v>
      </c>
      <c r="AG1841" s="12">
        <f ca="1">[1]!Tabel1[[#This Row],[Vægtet Honorar]]*([1]!Tabel1[[#This Row],[Sidst redigeret]]&gt;TODAY()-40)*([1]!Tabel1[[#This Row],[Status]]="Pågår")</f>
        <v>100000</v>
      </c>
      <c r="AH1841" s="13"/>
      <c r="AI1841" s="12"/>
      <c r="AJ1841" s="12" t="s">
        <v>2005</v>
      </c>
      <c r="AK1841" s="12"/>
      <c r="AL1841" s="12"/>
      <c r="AM1841" s="12"/>
      <c r="AN1841" s="12"/>
      <c r="AO1841" s="12"/>
      <c r="AP1841" s="12"/>
    </row>
    <row r="1842" spans="1:42" ht="30">
      <c r="A1842" t="s">
        <v>6287</v>
      </c>
      <c r="B1842" s="8"/>
      <c r="C1842" s="8" t="s">
        <v>6288</v>
      </c>
      <c r="D1842" s="8" t="s">
        <v>896</v>
      </c>
      <c r="E1842" s="8" t="s">
        <v>94</v>
      </c>
      <c r="F1842" s="8" t="s">
        <v>6283</v>
      </c>
      <c r="G1842" s="8" t="s">
        <v>2005</v>
      </c>
      <c r="H1842" s="9">
        <v>50000000</v>
      </c>
      <c r="I1842" s="9">
        <f>[1]!Tabel1[[#This Row],[Honorar]]*[1]!Tabel1[[#This Row],[Sandsynlighed]]</f>
        <v>15000</v>
      </c>
      <c r="J1842" s="10" t="s">
        <v>2105</v>
      </c>
      <c r="K1842" s="1" t="s">
        <v>6284</v>
      </c>
      <c r="L1842" s="17" t="s">
        <v>6273</v>
      </c>
      <c r="M1842" s="11">
        <v>0.01</v>
      </c>
      <c r="N1842" s="1"/>
      <c r="O1842" s="10">
        <v>46251.662916666668</v>
      </c>
      <c r="P1842" s="10" t="s">
        <v>4507</v>
      </c>
      <c r="Q1842" s="1"/>
      <c r="R1842" s="8" t="s">
        <v>343</v>
      </c>
      <c r="S184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4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4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4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4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4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4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4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4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4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4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4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4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42" s="12">
        <f ca="1">[1]!Tabel1[[#This Row],[Vægtet Honorar]]*([1]!Tabel1[[#This Row],[Sidst redigeret]]&gt;TODAY()-40)*([1]!Tabel1[[#This Row],[Er i resplan?]]&lt;&gt;"Ja")*([1]!Tabel1[[#This Row],[Status]]="Pågår")</f>
        <v>0</v>
      </c>
      <c r="AG1842" s="12">
        <f ca="1">[1]!Tabel1[[#This Row],[Vægtet Honorar]]*([1]!Tabel1[[#This Row],[Sidst redigeret]]&gt;TODAY()-40)*([1]!Tabel1[[#This Row],[Status]]="Pågår")</f>
        <v>0</v>
      </c>
      <c r="AH1842" s="13"/>
      <c r="AI1842" s="12"/>
      <c r="AJ1842" s="12" t="s">
        <v>2005</v>
      </c>
      <c r="AK1842" s="12"/>
      <c r="AL1842" s="12"/>
      <c r="AM1842" s="12"/>
      <c r="AN1842" s="12"/>
      <c r="AO1842" s="12"/>
      <c r="AP1842" s="12"/>
    </row>
    <row r="1843" spans="1:42" ht="45">
      <c r="A1843" t="s">
        <v>6289</v>
      </c>
      <c r="B1843" s="8"/>
      <c r="C1843" s="8" t="s">
        <v>6290</v>
      </c>
      <c r="D1843" s="8" t="s">
        <v>896</v>
      </c>
      <c r="E1843" s="8" t="s">
        <v>94</v>
      </c>
      <c r="F1843" s="8" t="s">
        <v>6283</v>
      </c>
      <c r="G1843" s="8" t="s">
        <v>2005</v>
      </c>
      <c r="H1843" s="9">
        <v>10000000</v>
      </c>
      <c r="I1843" s="9">
        <f>[1]!Tabel1[[#This Row],[Honorar]]*[1]!Tabel1[[#This Row],[Sandsynlighed]]</f>
        <v>660000</v>
      </c>
      <c r="J1843" s="10" t="s">
        <v>2105</v>
      </c>
      <c r="K1843" s="1" t="s">
        <v>6284</v>
      </c>
      <c r="L1843" s="17" t="s">
        <v>252</v>
      </c>
      <c r="M1843" s="11">
        <v>0.01</v>
      </c>
      <c r="N1843" s="1"/>
      <c r="O1843" s="10">
        <v>46251.663263888891</v>
      </c>
      <c r="P1843" s="10" t="s">
        <v>4507</v>
      </c>
      <c r="Q1843" s="1"/>
      <c r="R1843" s="8" t="s">
        <v>343</v>
      </c>
      <c r="S184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4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4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4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4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4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4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4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4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4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4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4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4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43" s="12">
        <f ca="1">[1]!Tabel1[[#This Row],[Vægtet Honorar]]*([1]!Tabel1[[#This Row],[Sidst redigeret]]&gt;TODAY()-40)*([1]!Tabel1[[#This Row],[Er i resplan?]]&lt;&gt;"Ja")*([1]!Tabel1[[#This Row],[Status]]="Pågår")</f>
        <v>660000</v>
      </c>
      <c r="AG1843" s="12">
        <f ca="1">[1]!Tabel1[[#This Row],[Vægtet Honorar]]*([1]!Tabel1[[#This Row],[Sidst redigeret]]&gt;TODAY()-40)*([1]!Tabel1[[#This Row],[Status]]="Pågår")</f>
        <v>660000</v>
      </c>
      <c r="AH1843" s="13"/>
      <c r="AI1843" s="12"/>
      <c r="AJ1843" s="12" t="s">
        <v>2005</v>
      </c>
      <c r="AK1843" s="12"/>
      <c r="AL1843" s="12"/>
      <c r="AM1843" s="12"/>
      <c r="AN1843" s="12"/>
      <c r="AO1843" s="12"/>
      <c r="AP1843" s="12"/>
    </row>
    <row r="1844" spans="1:42" ht="30">
      <c r="A1844" t="s">
        <v>6291</v>
      </c>
      <c r="B1844" s="8"/>
      <c r="C1844" s="8" t="s">
        <v>6292</v>
      </c>
      <c r="D1844" s="8" t="s">
        <v>57</v>
      </c>
      <c r="E1844" s="8" t="s">
        <v>167</v>
      </c>
      <c r="F1844" s="8" t="s">
        <v>6293</v>
      </c>
      <c r="G1844" s="8" t="s">
        <v>6293</v>
      </c>
      <c r="H1844" s="9">
        <v>800000</v>
      </c>
      <c r="I1844" s="9">
        <f>[1]!Tabel1[[#This Row],[Honorar]]*[1]!Tabel1[[#This Row],[Sandsynlighed]]</f>
        <v>660000</v>
      </c>
      <c r="J1844" s="10" t="s">
        <v>342</v>
      </c>
      <c r="K1844" s="1" t="s">
        <v>1430</v>
      </c>
      <c r="L1844" s="17" t="s">
        <v>936</v>
      </c>
      <c r="M1844" s="11">
        <v>0.05</v>
      </c>
      <c r="N1844" s="1">
        <v>1000</v>
      </c>
      <c r="O1844" s="10">
        <v>46252.469965277778</v>
      </c>
      <c r="P1844" s="10" t="s">
        <v>4507</v>
      </c>
      <c r="Q1844" s="1" t="s">
        <v>72</v>
      </c>
      <c r="R1844" s="8" t="s">
        <v>343</v>
      </c>
      <c r="S184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4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4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4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4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4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4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4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4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4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4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4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4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44" s="12">
        <f ca="1">[1]!Tabel1[[#This Row],[Vægtet Honorar]]*([1]!Tabel1[[#This Row],[Sidst redigeret]]&gt;TODAY()-40)*([1]!Tabel1[[#This Row],[Er i resplan?]]&lt;&gt;"Ja")*([1]!Tabel1[[#This Row],[Status]]="Pågår")</f>
        <v>660000</v>
      </c>
      <c r="AG1844" s="12">
        <f ca="1">[1]!Tabel1[[#This Row],[Vægtet Honorar]]*([1]!Tabel1[[#This Row],[Sidst redigeret]]&gt;TODAY()-40)*([1]!Tabel1[[#This Row],[Status]]="Pågår")</f>
        <v>660000</v>
      </c>
      <c r="AH1844" s="13"/>
      <c r="AI1844" s="12"/>
      <c r="AJ1844" s="12"/>
      <c r="AK1844" s="12"/>
      <c r="AL1844" s="12"/>
      <c r="AM1844" s="12"/>
      <c r="AN1844" s="12"/>
      <c r="AO1844" s="12"/>
      <c r="AP1844" s="12"/>
    </row>
    <row r="1845" spans="1:42" ht="30">
      <c r="A1845" t="s">
        <v>6294</v>
      </c>
      <c r="B1845" s="8"/>
      <c r="C1845" s="8" t="s">
        <v>6295</v>
      </c>
      <c r="D1845" s="8" t="s">
        <v>57</v>
      </c>
      <c r="E1845" s="8" t="s">
        <v>167</v>
      </c>
      <c r="F1845" s="8" t="s">
        <v>6296</v>
      </c>
      <c r="G1845" s="8" t="s">
        <v>6296</v>
      </c>
      <c r="H1845" s="9">
        <v>15000</v>
      </c>
      <c r="I1845" s="9">
        <f>[1]!Tabel1[[#This Row],[Honorar]]*[1]!Tabel1[[#This Row],[Sandsynlighed]]</f>
        <v>250000</v>
      </c>
      <c r="J1845" s="10" t="s">
        <v>585</v>
      </c>
      <c r="K1845" s="1" t="s">
        <v>585</v>
      </c>
      <c r="L1845" s="17" t="s">
        <v>6297</v>
      </c>
      <c r="M1845" s="11">
        <v>0.9</v>
      </c>
      <c r="N1845" s="1"/>
      <c r="O1845" s="10">
        <v>46252.471493055556</v>
      </c>
      <c r="P1845" s="10" t="s">
        <v>4507</v>
      </c>
      <c r="Q1845" s="1" t="s">
        <v>72</v>
      </c>
      <c r="R1845" s="8" t="s">
        <v>343</v>
      </c>
      <c r="S184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4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4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4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4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4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4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4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4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4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4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4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4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45" s="12">
        <f ca="1">[1]!Tabel1[[#This Row],[Vægtet Honorar]]*([1]!Tabel1[[#This Row],[Sidst redigeret]]&gt;TODAY()-40)*([1]!Tabel1[[#This Row],[Er i resplan?]]&lt;&gt;"Ja")*([1]!Tabel1[[#This Row],[Status]]="Pågår")</f>
        <v>250000</v>
      </c>
      <c r="AG1845" s="12">
        <f ca="1">[1]!Tabel1[[#This Row],[Vægtet Honorar]]*([1]!Tabel1[[#This Row],[Sidst redigeret]]&gt;TODAY()-40)*([1]!Tabel1[[#This Row],[Status]]="Pågår")</f>
        <v>250000</v>
      </c>
      <c r="AH1845" s="13"/>
      <c r="AI1845" s="12"/>
      <c r="AJ1845" s="12"/>
      <c r="AK1845" s="12"/>
      <c r="AL1845" s="12"/>
      <c r="AM1845" s="12"/>
      <c r="AN1845" s="12"/>
      <c r="AO1845" s="12"/>
      <c r="AP1845" s="12"/>
    </row>
    <row r="1846" spans="1:42" ht="30">
      <c r="A1846" t="s">
        <v>6298</v>
      </c>
      <c r="B1846" s="8"/>
      <c r="C1846" s="8" t="s">
        <v>6299</v>
      </c>
      <c r="D1846" s="8" t="s">
        <v>57</v>
      </c>
      <c r="E1846" s="8" t="s">
        <v>167</v>
      </c>
      <c r="F1846" s="8" t="s">
        <v>6300</v>
      </c>
      <c r="G1846" s="8" t="s">
        <v>6300</v>
      </c>
      <c r="H1846" s="9">
        <v>4000000</v>
      </c>
      <c r="I1846" s="9">
        <f>[1]!Tabel1[[#This Row],[Honorar]]*[1]!Tabel1[[#This Row],[Sandsynlighed]]</f>
        <v>250000</v>
      </c>
      <c r="J1846" s="10" t="s">
        <v>342</v>
      </c>
      <c r="K1846" s="1" t="s">
        <v>2039</v>
      </c>
      <c r="L1846" s="17" t="s">
        <v>6301</v>
      </c>
      <c r="M1846" s="11">
        <v>0.01</v>
      </c>
      <c r="N1846" s="1">
        <v>15000</v>
      </c>
      <c r="O1846" s="10">
        <v>46259.505590277775</v>
      </c>
      <c r="P1846" s="10" t="s">
        <v>4507</v>
      </c>
      <c r="Q1846" s="1" t="s">
        <v>72</v>
      </c>
      <c r="R1846" s="8" t="s">
        <v>343</v>
      </c>
      <c r="S184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4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4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4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4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4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4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4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4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4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4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4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4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46" s="12">
        <f ca="1">[1]!Tabel1[[#This Row],[Vægtet Honorar]]*([1]!Tabel1[[#This Row],[Sidst redigeret]]&gt;TODAY()-40)*([1]!Tabel1[[#This Row],[Er i resplan?]]&lt;&gt;"Ja")*([1]!Tabel1[[#This Row],[Status]]="Pågår")</f>
        <v>250000</v>
      </c>
      <c r="AG1846" s="12">
        <f ca="1">[1]!Tabel1[[#This Row],[Vægtet Honorar]]*([1]!Tabel1[[#This Row],[Sidst redigeret]]&gt;TODAY()-40)*([1]!Tabel1[[#This Row],[Status]]="Pågår")</f>
        <v>250000</v>
      </c>
      <c r="AH1846" s="13"/>
      <c r="AI1846" s="12"/>
      <c r="AJ1846" s="12"/>
      <c r="AK1846" s="12"/>
      <c r="AL1846" s="12"/>
      <c r="AM1846" s="12"/>
      <c r="AN1846" s="12"/>
      <c r="AO1846" s="12"/>
      <c r="AP1846" s="12"/>
    </row>
    <row r="1847" spans="1:42" ht="60">
      <c r="A1847" t="s">
        <v>6302</v>
      </c>
      <c r="B1847" s="8"/>
      <c r="C1847" s="8" t="s">
        <v>6303</v>
      </c>
      <c r="D1847" s="8" t="s">
        <v>57</v>
      </c>
      <c r="E1847" s="8" t="s">
        <v>167</v>
      </c>
      <c r="F1847" s="8" t="s">
        <v>671</v>
      </c>
      <c r="G1847" s="8" t="s">
        <v>671</v>
      </c>
      <c r="H1847" s="9">
        <v>1000000</v>
      </c>
      <c r="I1847" s="9">
        <f>[1]!Tabel1[[#This Row],[Honorar]]*[1]!Tabel1[[#This Row],[Sandsynlighed]]</f>
        <v>500000</v>
      </c>
      <c r="J1847" s="10" t="s">
        <v>342</v>
      </c>
      <c r="K1847" s="1" t="s">
        <v>1062</v>
      </c>
      <c r="L1847" s="17" t="s">
        <v>6304</v>
      </c>
      <c r="M1847" s="11">
        <v>0.2</v>
      </c>
      <c r="N1847" s="1">
        <v>20000</v>
      </c>
      <c r="O1847" s="10">
        <v>46259.505694444444</v>
      </c>
      <c r="P1847" s="10" t="s">
        <v>4507</v>
      </c>
      <c r="Q1847" s="1" t="s">
        <v>72</v>
      </c>
      <c r="R1847" s="8" t="s">
        <v>343</v>
      </c>
      <c r="S184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4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4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4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4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4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4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4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4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4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4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4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4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47" s="12">
        <f ca="1">[1]!Tabel1[[#This Row],[Vægtet Honorar]]*([1]!Tabel1[[#This Row],[Sidst redigeret]]&gt;TODAY()-40)*([1]!Tabel1[[#This Row],[Er i resplan?]]&lt;&gt;"Ja")*([1]!Tabel1[[#This Row],[Status]]="Pågår")</f>
        <v>500000</v>
      </c>
      <c r="AG1847" s="12">
        <f ca="1">[1]!Tabel1[[#This Row],[Vægtet Honorar]]*([1]!Tabel1[[#This Row],[Sidst redigeret]]&gt;TODAY()-40)*([1]!Tabel1[[#This Row],[Status]]="Pågår")</f>
        <v>500000</v>
      </c>
      <c r="AH1847" s="13"/>
      <c r="AI1847" s="12"/>
      <c r="AJ1847" s="12"/>
      <c r="AK1847" s="12"/>
      <c r="AL1847" s="12"/>
      <c r="AM1847" s="12"/>
      <c r="AN1847" s="12"/>
      <c r="AO1847" s="12"/>
      <c r="AP1847" s="12"/>
    </row>
    <row r="1848" spans="1:42">
      <c r="A1848" t="s">
        <v>6305</v>
      </c>
      <c r="B1848" s="8"/>
      <c r="C1848" s="8" t="s">
        <v>6306</v>
      </c>
      <c r="D1848" s="8" t="s">
        <v>4254</v>
      </c>
      <c r="E1848" s="8" t="s">
        <v>167</v>
      </c>
      <c r="F1848" s="8" t="s">
        <v>6307</v>
      </c>
      <c r="G1848" s="8" t="s">
        <v>6307</v>
      </c>
      <c r="H1848" s="9">
        <v>75000</v>
      </c>
      <c r="I1848" s="9">
        <f>[1]!Tabel1[[#This Row],[Honorar]]*[1]!Tabel1[[#This Row],[Sandsynlighed]]</f>
        <v>100000</v>
      </c>
      <c r="J1848" s="10" t="s">
        <v>585</v>
      </c>
      <c r="K1848" s="1" t="s">
        <v>342</v>
      </c>
      <c r="L1848" s="17"/>
      <c r="M1848" s="11">
        <v>0.75</v>
      </c>
      <c r="N1848" s="1"/>
      <c r="O1848" s="10">
        <v>46253.565324074072</v>
      </c>
      <c r="P1848" s="10" t="s">
        <v>4507</v>
      </c>
      <c r="Q1848" s="1" t="s">
        <v>72</v>
      </c>
      <c r="R1848" s="8" t="s">
        <v>343</v>
      </c>
      <c r="S184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4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4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4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4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4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4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4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4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4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4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4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4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48" s="12">
        <f ca="1">[1]!Tabel1[[#This Row],[Vægtet Honorar]]*([1]!Tabel1[[#This Row],[Sidst redigeret]]&gt;TODAY()-40)*([1]!Tabel1[[#This Row],[Er i resplan?]]&lt;&gt;"Ja")*([1]!Tabel1[[#This Row],[Status]]="Pågår")</f>
        <v>100000</v>
      </c>
      <c r="AG1848" s="12">
        <f ca="1">[1]!Tabel1[[#This Row],[Vægtet Honorar]]*([1]!Tabel1[[#This Row],[Sidst redigeret]]&gt;TODAY()-40)*([1]!Tabel1[[#This Row],[Status]]="Pågår")</f>
        <v>100000</v>
      </c>
      <c r="AH1848" s="13"/>
      <c r="AI1848" s="12"/>
      <c r="AJ1848" s="12"/>
      <c r="AK1848" s="12" t="s">
        <v>3256</v>
      </c>
      <c r="AL1848" s="12"/>
      <c r="AM1848" s="12"/>
      <c r="AN1848" s="12"/>
      <c r="AO1848" s="12"/>
      <c r="AP1848" s="12"/>
    </row>
    <row r="1849" spans="1:42" ht="90">
      <c r="A1849" t="s">
        <v>6308</v>
      </c>
      <c r="B1849" s="8"/>
      <c r="C1849" s="8" t="s">
        <v>6309</v>
      </c>
      <c r="D1849" s="8" t="s">
        <v>1771</v>
      </c>
      <c r="E1849" s="8" t="s">
        <v>167</v>
      </c>
      <c r="F1849" s="8" t="s">
        <v>5793</v>
      </c>
      <c r="G1849" s="8" t="s">
        <v>5793</v>
      </c>
      <c r="H1849" s="9">
        <v>2500000</v>
      </c>
      <c r="I1849" s="9">
        <f>[1]!Tabel1[[#This Row],[Honorar]]*[1]!Tabel1[[#This Row],[Sandsynlighed]]</f>
        <v>40000</v>
      </c>
      <c r="J1849" s="10" t="s">
        <v>2580</v>
      </c>
      <c r="K1849" s="1" t="s">
        <v>2093</v>
      </c>
      <c r="L1849" s="17" t="s">
        <v>6310</v>
      </c>
      <c r="M1849" s="11">
        <v>0.01</v>
      </c>
      <c r="N1849" s="1" t="s">
        <v>6311</v>
      </c>
      <c r="O1849" s="10">
        <v>46269.563425925924</v>
      </c>
      <c r="P1849" s="10"/>
      <c r="Q1849" s="1" t="s">
        <v>72</v>
      </c>
      <c r="R1849" s="8" t="s">
        <v>343</v>
      </c>
      <c r="S184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4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4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4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4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4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4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4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4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4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4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4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4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49" s="12">
        <f ca="1">[1]!Tabel1[[#This Row],[Vægtet Honorar]]*([1]!Tabel1[[#This Row],[Sidst redigeret]]&gt;TODAY()-40)*([1]!Tabel1[[#This Row],[Er i resplan?]]&lt;&gt;"Ja")*([1]!Tabel1[[#This Row],[Status]]="Pågår")</f>
        <v>40000</v>
      </c>
      <c r="AG1849" s="12">
        <f ca="1">[1]!Tabel1[[#This Row],[Vægtet Honorar]]*([1]!Tabel1[[#This Row],[Sidst redigeret]]&gt;TODAY()-40)*([1]!Tabel1[[#This Row],[Status]]="Pågår")</f>
        <v>40000</v>
      </c>
      <c r="AH1849" s="13"/>
      <c r="AI1849" s="12"/>
      <c r="AJ1849" s="12" t="s">
        <v>600</v>
      </c>
      <c r="AK1849" s="12" t="s">
        <v>6312</v>
      </c>
      <c r="AL1849" s="12"/>
      <c r="AM1849" s="12"/>
      <c r="AN1849" s="12"/>
      <c r="AO1849" s="12"/>
      <c r="AP1849" s="12"/>
    </row>
    <row r="1850" spans="1:42">
      <c r="A1850" t="s">
        <v>6313</v>
      </c>
      <c r="B1850" s="8"/>
      <c r="C1850" s="8" t="s">
        <v>6314</v>
      </c>
      <c r="D1850" s="8" t="s">
        <v>896</v>
      </c>
      <c r="E1850" s="8" t="s">
        <v>94</v>
      </c>
      <c r="F1850" s="8" t="s">
        <v>6315</v>
      </c>
      <c r="G1850" s="8" t="s">
        <v>2005</v>
      </c>
      <c r="H1850" s="9">
        <v>2500000</v>
      </c>
      <c r="I1850" s="9">
        <f>[1]!Tabel1[[#This Row],[Honorar]]*[1]!Tabel1[[#This Row],[Sandsynlighed]]</f>
        <v>13500</v>
      </c>
      <c r="J1850" s="10" t="s">
        <v>342</v>
      </c>
      <c r="K1850" s="1" t="s">
        <v>2093</v>
      </c>
      <c r="L1850" s="17" t="s">
        <v>6316</v>
      </c>
      <c r="M1850" s="11">
        <v>0.01</v>
      </c>
      <c r="N1850" s="1"/>
      <c r="O1850" s="10">
        <v>46279.619421296295</v>
      </c>
      <c r="P1850" s="10"/>
      <c r="Q1850" s="1" t="s">
        <v>72</v>
      </c>
      <c r="R1850" s="8" t="s">
        <v>343</v>
      </c>
      <c r="S185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5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5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5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5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5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5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5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5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5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5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5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5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50" s="12">
        <f ca="1">[1]!Tabel1[[#This Row],[Vægtet Honorar]]*([1]!Tabel1[[#This Row],[Sidst redigeret]]&gt;TODAY()-40)*([1]!Tabel1[[#This Row],[Er i resplan?]]&lt;&gt;"Ja")*([1]!Tabel1[[#This Row],[Status]]="Pågår")</f>
        <v>13500</v>
      </c>
      <c r="AG1850" s="12">
        <f ca="1">[1]!Tabel1[[#This Row],[Vægtet Honorar]]*([1]!Tabel1[[#This Row],[Sidst redigeret]]&gt;TODAY()-40)*([1]!Tabel1[[#This Row],[Status]]="Pågår")</f>
        <v>13500</v>
      </c>
      <c r="AH1850" s="13"/>
      <c r="AI1850" s="12"/>
      <c r="AJ1850" s="12" t="s">
        <v>6317</v>
      </c>
      <c r="AK1850" s="12" t="s">
        <v>3523</v>
      </c>
      <c r="AL1850" s="12"/>
      <c r="AM1850" s="12"/>
      <c r="AN1850" s="12"/>
      <c r="AO1850" s="12"/>
      <c r="AP1850" s="12"/>
    </row>
    <row r="1851" spans="1:42">
      <c r="A1851" t="s">
        <v>6318</v>
      </c>
      <c r="B1851" s="8"/>
      <c r="C1851" s="8" t="s">
        <v>6319</v>
      </c>
      <c r="D1851" s="8" t="s">
        <v>896</v>
      </c>
      <c r="E1851" s="8" t="s">
        <v>94</v>
      </c>
      <c r="F1851" s="8" t="s">
        <v>589</v>
      </c>
      <c r="G1851" s="8" t="s">
        <v>5763</v>
      </c>
      <c r="H1851" s="9">
        <v>2500000</v>
      </c>
      <c r="I1851" s="9">
        <f>[1]!Tabel1[[#This Row],[Honorar]]*[1]!Tabel1[[#This Row],[Sandsynlighed]]</f>
        <v>40000</v>
      </c>
      <c r="J1851" s="10" t="s">
        <v>342</v>
      </c>
      <c r="K1851" s="1" t="s">
        <v>2093</v>
      </c>
      <c r="L1851" s="17" t="s">
        <v>6316</v>
      </c>
      <c r="M1851" s="11">
        <v>0.01</v>
      </c>
      <c r="N1851" s="1"/>
      <c r="O1851" s="10">
        <v>46255.440891203703</v>
      </c>
      <c r="P1851" s="10"/>
      <c r="Q1851" s="1" t="s">
        <v>72</v>
      </c>
      <c r="R1851" s="8" t="s">
        <v>343</v>
      </c>
      <c r="S185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5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5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5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5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5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5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5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5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5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5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5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5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51" s="12">
        <f ca="1">[1]!Tabel1[[#This Row],[Vægtet Honorar]]*([1]!Tabel1[[#This Row],[Sidst redigeret]]&gt;TODAY()-40)*([1]!Tabel1[[#This Row],[Er i resplan?]]&lt;&gt;"Ja")*([1]!Tabel1[[#This Row],[Status]]="Pågår")</f>
        <v>40000</v>
      </c>
      <c r="AG1851" s="12">
        <f ca="1">[1]!Tabel1[[#This Row],[Vægtet Honorar]]*([1]!Tabel1[[#This Row],[Sidst redigeret]]&gt;TODAY()-40)*([1]!Tabel1[[#This Row],[Status]]="Pågår")</f>
        <v>40000</v>
      </c>
      <c r="AH1851" s="13"/>
      <c r="AI1851" s="12"/>
      <c r="AJ1851" s="12" t="s">
        <v>5763</v>
      </c>
      <c r="AK1851" s="12"/>
      <c r="AL1851" s="12"/>
      <c r="AM1851" s="12"/>
      <c r="AN1851" s="12"/>
      <c r="AO1851" s="12"/>
      <c r="AP1851" s="12"/>
    </row>
    <row r="1852" spans="1:42">
      <c r="A1852" t="s">
        <v>6320</v>
      </c>
      <c r="B1852" s="8"/>
      <c r="C1852" s="8" t="s">
        <v>6321</v>
      </c>
      <c r="D1852" s="8" t="s">
        <v>896</v>
      </c>
      <c r="E1852" s="8" t="s">
        <v>94</v>
      </c>
      <c r="F1852" s="8" t="s">
        <v>5811</v>
      </c>
      <c r="G1852" s="8" t="s">
        <v>2005</v>
      </c>
      <c r="H1852" s="9">
        <v>2500000</v>
      </c>
      <c r="I1852" s="9">
        <f>[1]!Tabel1[[#This Row],[Honorar]]*[1]!Tabel1[[#This Row],[Sandsynlighed]]</f>
        <v>200000</v>
      </c>
      <c r="J1852" s="10" t="s">
        <v>342</v>
      </c>
      <c r="K1852" s="1" t="s">
        <v>2093</v>
      </c>
      <c r="L1852" s="17" t="s">
        <v>6316</v>
      </c>
      <c r="M1852" s="11">
        <v>0.01</v>
      </c>
      <c r="N1852" s="1"/>
      <c r="O1852" s="10">
        <v>46255.460659722223</v>
      </c>
      <c r="P1852" s="10"/>
      <c r="Q1852" s="1" t="s">
        <v>72</v>
      </c>
      <c r="R1852" s="8" t="s">
        <v>343</v>
      </c>
      <c r="S185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5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5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5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5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5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5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5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5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5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5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5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5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52" s="12">
        <f ca="1">[1]!Tabel1[[#This Row],[Vægtet Honorar]]*([1]!Tabel1[[#This Row],[Sidst redigeret]]&gt;TODAY()-40)*([1]!Tabel1[[#This Row],[Er i resplan?]]&lt;&gt;"Ja")*([1]!Tabel1[[#This Row],[Status]]="Pågår")</f>
        <v>200000</v>
      </c>
      <c r="AG1852" s="12">
        <f ca="1">[1]!Tabel1[[#This Row],[Vægtet Honorar]]*([1]!Tabel1[[#This Row],[Sidst redigeret]]&gt;TODAY()-40)*([1]!Tabel1[[#This Row],[Status]]="Pågår")</f>
        <v>200000</v>
      </c>
      <c r="AH1852" s="13"/>
      <c r="AI1852" s="12"/>
      <c r="AJ1852" s="12" t="s">
        <v>2005</v>
      </c>
      <c r="AK1852" s="12" t="s">
        <v>6322</v>
      </c>
      <c r="AL1852" s="12"/>
      <c r="AM1852" s="12"/>
      <c r="AN1852" s="12"/>
      <c r="AO1852" s="12"/>
      <c r="AP1852" s="12"/>
    </row>
    <row r="1853" spans="1:42">
      <c r="A1853" t="s">
        <v>6323</v>
      </c>
      <c r="B1853" s="8"/>
      <c r="C1853" s="8" t="s">
        <v>6324</v>
      </c>
      <c r="D1853" s="8" t="s">
        <v>70</v>
      </c>
      <c r="E1853" s="8" t="s">
        <v>102</v>
      </c>
      <c r="F1853" s="8"/>
      <c r="G1853" s="8" t="s">
        <v>6325</v>
      </c>
      <c r="H1853" s="9">
        <v>4000000</v>
      </c>
      <c r="I1853" s="9">
        <f>[1]!Tabel1[[#This Row],[Honorar]]*[1]!Tabel1[[#This Row],[Sandsynlighed]]</f>
        <v>56250</v>
      </c>
      <c r="J1853" s="10" t="s">
        <v>342</v>
      </c>
      <c r="K1853" s="1" t="s">
        <v>2093</v>
      </c>
      <c r="L1853" s="17"/>
      <c r="M1853" s="11">
        <v>0.01</v>
      </c>
      <c r="N1853" s="1" t="s">
        <v>6326</v>
      </c>
      <c r="O1853" s="10">
        <v>46255.568252314813</v>
      </c>
      <c r="P1853" s="10" t="s">
        <v>679</v>
      </c>
      <c r="Q1853" s="1" t="s">
        <v>72</v>
      </c>
      <c r="R1853" s="8" t="s">
        <v>343</v>
      </c>
      <c r="S185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5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5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5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5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5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5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5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5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5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5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5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5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53" s="12">
        <f ca="1">[1]!Tabel1[[#This Row],[Vægtet Honorar]]*([1]!Tabel1[[#This Row],[Sidst redigeret]]&gt;TODAY()-40)*([1]!Tabel1[[#This Row],[Er i resplan?]]&lt;&gt;"Ja")*([1]!Tabel1[[#This Row],[Status]]="Pågår")</f>
        <v>56250</v>
      </c>
      <c r="AG1853" s="12">
        <f ca="1">[1]!Tabel1[[#This Row],[Vægtet Honorar]]*([1]!Tabel1[[#This Row],[Sidst redigeret]]&gt;TODAY()-40)*([1]!Tabel1[[#This Row],[Status]]="Pågår")</f>
        <v>56250</v>
      </c>
      <c r="AH1853" s="13"/>
      <c r="AI1853" s="12"/>
      <c r="AJ1853" s="12" t="s">
        <v>256</v>
      </c>
      <c r="AK1853" s="12" t="s">
        <v>6327</v>
      </c>
      <c r="AL1853" s="12"/>
      <c r="AM1853" s="12"/>
      <c r="AN1853" s="12"/>
      <c r="AO1853" s="12"/>
      <c r="AP1853" s="12"/>
    </row>
    <row r="1854" spans="1:42" ht="60">
      <c r="A1854" t="s">
        <v>6328</v>
      </c>
      <c r="B1854" s="8"/>
      <c r="C1854" s="8" t="s">
        <v>6329</v>
      </c>
      <c r="D1854" s="8" t="s">
        <v>896</v>
      </c>
      <c r="E1854" s="8" t="s">
        <v>94</v>
      </c>
      <c r="F1854" s="8" t="s">
        <v>6330</v>
      </c>
      <c r="G1854" s="8" t="s">
        <v>6331</v>
      </c>
      <c r="H1854" s="9">
        <v>1250000</v>
      </c>
      <c r="I1854" s="9">
        <f>[1]!Tabel1[[#This Row],[Honorar]]*[1]!Tabel1[[#This Row],[Sandsynlighed]]</f>
        <v>25000</v>
      </c>
      <c r="J1854" s="10" t="s">
        <v>585</v>
      </c>
      <c r="K1854" s="1" t="s">
        <v>1062</v>
      </c>
      <c r="L1854" s="17" t="s">
        <v>6332</v>
      </c>
      <c r="M1854" s="11">
        <v>0.15</v>
      </c>
      <c r="N1854" s="1"/>
      <c r="O1854" s="10">
        <v>46260.355775462966</v>
      </c>
      <c r="P1854" s="10" t="s">
        <v>679</v>
      </c>
      <c r="Q1854" s="1" t="s">
        <v>72</v>
      </c>
      <c r="R1854" s="8" t="s">
        <v>343</v>
      </c>
      <c r="S185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5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5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5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5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5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5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5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5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5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5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5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5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54" s="12">
        <f ca="1">[1]!Tabel1[[#This Row],[Vægtet Honorar]]*([1]!Tabel1[[#This Row],[Sidst redigeret]]&gt;TODAY()-40)*([1]!Tabel1[[#This Row],[Er i resplan?]]&lt;&gt;"Ja")*([1]!Tabel1[[#This Row],[Status]]="Pågår")</f>
        <v>25000</v>
      </c>
      <c r="AG1854" s="12">
        <f ca="1">[1]!Tabel1[[#This Row],[Vægtet Honorar]]*([1]!Tabel1[[#This Row],[Sidst redigeret]]&gt;TODAY()-40)*([1]!Tabel1[[#This Row],[Status]]="Pågår")</f>
        <v>25000</v>
      </c>
      <c r="AH1854" s="13"/>
      <c r="AI1854" s="12"/>
      <c r="AJ1854" s="12" t="s">
        <v>6331</v>
      </c>
      <c r="AK1854" s="12"/>
      <c r="AL1854" s="12"/>
      <c r="AM1854" s="12"/>
      <c r="AN1854" s="12"/>
      <c r="AO1854" s="12"/>
      <c r="AP1854" s="12"/>
    </row>
    <row r="1855" spans="1:42">
      <c r="A1855" t="s">
        <v>6333</v>
      </c>
      <c r="B1855" s="8"/>
      <c r="C1855" s="8" t="s">
        <v>2171</v>
      </c>
      <c r="D1855" s="8"/>
      <c r="E1855" s="8"/>
      <c r="F1855" s="8" t="s">
        <v>5904</v>
      </c>
      <c r="G1855" s="8" t="s">
        <v>5904</v>
      </c>
      <c r="H1855" s="9">
        <v>0</v>
      </c>
      <c r="I1855" s="9">
        <f>[1]!Tabel1[[#This Row],[Honorar]]*[1]!Tabel1[[#This Row],[Sandsynlighed]]</f>
        <v>25000</v>
      </c>
      <c r="J1855" s="10" t="s">
        <v>585</v>
      </c>
      <c r="K1855" s="1" t="s">
        <v>1062</v>
      </c>
      <c r="L1855" s="17"/>
      <c r="M1855" s="11">
        <v>0.15</v>
      </c>
      <c r="N1855" s="1"/>
      <c r="O1855" s="10">
        <v>46266.427743055552</v>
      </c>
      <c r="P1855" s="10" t="s">
        <v>679</v>
      </c>
      <c r="Q1855" s="1" t="s">
        <v>72</v>
      </c>
      <c r="R1855" s="8" t="s">
        <v>343</v>
      </c>
      <c r="S185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5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5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5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5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5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5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5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5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5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5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5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5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55" s="12">
        <f ca="1">[1]!Tabel1[[#This Row],[Vægtet Honorar]]*([1]!Tabel1[[#This Row],[Sidst redigeret]]&gt;TODAY()-40)*([1]!Tabel1[[#This Row],[Er i resplan?]]&lt;&gt;"Ja")*([1]!Tabel1[[#This Row],[Status]]="Pågår")</f>
        <v>25000</v>
      </c>
      <c r="AG1855" s="12">
        <f ca="1">[1]!Tabel1[[#This Row],[Vægtet Honorar]]*([1]!Tabel1[[#This Row],[Sidst redigeret]]&gt;TODAY()-40)*([1]!Tabel1[[#This Row],[Status]]="Pågår")</f>
        <v>25000</v>
      </c>
      <c r="AH1855" s="13"/>
      <c r="AI1855" s="12"/>
      <c r="AJ1855" s="12" t="s">
        <v>6331</v>
      </c>
      <c r="AK1855" s="12"/>
      <c r="AL1855" s="12"/>
      <c r="AM1855" s="12"/>
      <c r="AN1855" s="12"/>
      <c r="AO1855" s="12"/>
      <c r="AP1855" s="12"/>
    </row>
    <row r="1856" spans="1:42">
      <c r="A1856" t="s">
        <v>6334</v>
      </c>
      <c r="B1856" s="8"/>
      <c r="C1856" s="8" t="s">
        <v>6335</v>
      </c>
      <c r="D1856" s="8" t="s">
        <v>4254</v>
      </c>
      <c r="E1856" s="8" t="s">
        <v>167</v>
      </c>
      <c r="F1856" s="8" t="s">
        <v>6307</v>
      </c>
      <c r="G1856" s="8" t="s">
        <v>6307</v>
      </c>
      <c r="H1856" s="9">
        <v>144500</v>
      </c>
      <c r="I1856" s="9">
        <f>[1]!Tabel1[[#This Row],[Honorar]]*[1]!Tabel1[[#This Row],[Sandsynlighed]]</f>
        <v>25000</v>
      </c>
      <c r="J1856" s="10" t="s">
        <v>585</v>
      </c>
      <c r="K1856" s="1" t="s">
        <v>1062</v>
      </c>
      <c r="L1856" s="17"/>
      <c r="M1856" s="11">
        <v>0.75</v>
      </c>
      <c r="N1856" s="1"/>
      <c r="O1856" s="10">
        <v>46259.423495370371</v>
      </c>
      <c r="P1856" s="10" t="s">
        <v>679</v>
      </c>
      <c r="Q1856" s="1" t="s">
        <v>72</v>
      </c>
      <c r="R1856" s="8" t="s">
        <v>343</v>
      </c>
      <c r="S185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5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5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5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5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5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5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5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5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5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5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5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5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56" s="12">
        <f ca="1">[1]!Tabel1[[#This Row],[Vægtet Honorar]]*([1]!Tabel1[[#This Row],[Sidst redigeret]]&gt;TODAY()-40)*([1]!Tabel1[[#This Row],[Er i resplan?]]&lt;&gt;"Ja")*([1]!Tabel1[[#This Row],[Status]]="Pågår")</f>
        <v>25000</v>
      </c>
      <c r="AG1856" s="12">
        <f ca="1">[1]!Tabel1[[#This Row],[Vægtet Honorar]]*([1]!Tabel1[[#This Row],[Sidst redigeret]]&gt;TODAY()-40)*([1]!Tabel1[[#This Row],[Status]]="Pågår")</f>
        <v>25000</v>
      </c>
      <c r="AH1856" s="13"/>
      <c r="AI1856" s="12"/>
      <c r="AJ1856" s="12" t="s">
        <v>6331</v>
      </c>
      <c r="AK1856" s="12"/>
      <c r="AL1856" s="12"/>
      <c r="AM1856" s="12"/>
      <c r="AN1856" s="12"/>
      <c r="AO1856" s="12"/>
      <c r="AP1856" s="12"/>
    </row>
    <row r="1857" spans="1:42">
      <c r="A1857" t="s">
        <v>6336</v>
      </c>
      <c r="B1857" s="8"/>
      <c r="C1857" s="8" t="s">
        <v>6337</v>
      </c>
      <c r="D1857" s="8" t="s">
        <v>3790</v>
      </c>
      <c r="E1857" s="8" t="s">
        <v>71</v>
      </c>
      <c r="F1857" s="8" t="s">
        <v>6338</v>
      </c>
      <c r="G1857" s="8" t="s">
        <v>6339</v>
      </c>
      <c r="H1857" s="9">
        <v>175000</v>
      </c>
      <c r="I1857" s="9">
        <f>[1]!Tabel1[[#This Row],[Honorar]]*[1]!Tabel1[[#This Row],[Sandsynlighed]]</f>
        <v>25000</v>
      </c>
      <c r="J1857" s="10" t="s">
        <v>585</v>
      </c>
      <c r="K1857" s="1" t="s">
        <v>1323</v>
      </c>
      <c r="L1857" s="17"/>
      <c r="M1857" s="11">
        <v>0.5</v>
      </c>
      <c r="N1857" s="1"/>
      <c r="O1857" s="10">
        <v>46259.600949074076</v>
      </c>
      <c r="P1857" s="10" t="s">
        <v>679</v>
      </c>
      <c r="Q1857" s="1" t="s">
        <v>46</v>
      </c>
      <c r="R1857" s="8" t="s">
        <v>343</v>
      </c>
      <c r="S185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5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5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5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5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5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5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5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5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5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5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5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5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57" s="12">
        <f ca="1">[1]!Tabel1[[#This Row],[Vægtet Honorar]]*([1]!Tabel1[[#This Row],[Sidst redigeret]]&gt;TODAY()-40)*([1]!Tabel1[[#This Row],[Er i resplan?]]&lt;&gt;"Ja")*([1]!Tabel1[[#This Row],[Status]]="Pågår")</f>
        <v>25000</v>
      </c>
      <c r="AG1857" s="12">
        <f ca="1">[1]!Tabel1[[#This Row],[Vægtet Honorar]]*([1]!Tabel1[[#This Row],[Sidst redigeret]]&gt;TODAY()-40)*([1]!Tabel1[[#This Row],[Status]]="Pågår")</f>
        <v>25000</v>
      </c>
      <c r="AH1857" s="13"/>
      <c r="AI1857" s="12"/>
      <c r="AJ1857" s="12" t="s">
        <v>6331</v>
      </c>
      <c r="AK1857" s="12"/>
      <c r="AL1857" s="12"/>
      <c r="AM1857" s="12"/>
      <c r="AN1857" s="12"/>
      <c r="AO1857" s="12"/>
      <c r="AP1857" s="12"/>
    </row>
    <row r="1858" spans="1:42">
      <c r="A1858" t="s">
        <v>6340</v>
      </c>
      <c r="B1858" s="8"/>
      <c r="C1858" s="8" t="s">
        <v>6341</v>
      </c>
      <c r="D1858" s="8" t="s">
        <v>720</v>
      </c>
      <c r="E1858" s="8" t="s">
        <v>71</v>
      </c>
      <c r="F1858" s="8" t="s">
        <v>6342</v>
      </c>
      <c r="G1858" s="8" t="s">
        <v>3480</v>
      </c>
      <c r="H1858" s="9">
        <v>200000</v>
      </c>
      <c r="I1858" s="9">
        <f>[1]!Tabel1[[#This Row],[Honorar]]*[1]!Tabel1[[#This Row],[Sandsynlighed]]</f>
        <v>40000</v>
      </c>
      <c r="J1858" s="10" t="s">
        <v>585</v>
      </c>
      <c r="K1858" s="1" t="s">
        <v>1323</v>
      </c>
      <c r="L1858" s="17"/>
      <c r="M1858" s="11">
        <v>0.5</v>
      </c>
      <c r="N1858" s="1"/>
      <c r="O1858" s="10">
        <v>46259.621736111112</v>
      </c>
      <c r="P1858" s="10" t="s">
        <v>679</v>
      </c>
      <c r="Q1858" s="1" t="s">
        <v>46</v>
      </c>
      <c r="R1858" s="8" t="s">
        <v>343</v>
      </c>
      <c r="S185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5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5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5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5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5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5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5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5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5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5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5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5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58" s="12">
        <f ca="1">[1]!Tabel1[[#This Row],[Vægtet Honorar]]*([1]!Tabel1[[#This Row],[Sidst redigeret]]&gt;TODAY()-40)*([1]!Tabel1[[#This Row],[Er i resplan?]]&lt;&gt;"Ja")*([1]!Tabel1[[#This Row],[Status]]="Pågår")</f>
        <v>40000</v>
      </c>
      <c r="AG1858" s="12">
        <f ca="1">[1]!Tabel1[[#This Row],[Vægtet Honorar]]*([1]!Tabel1[[#This Row],[Sidst redigeret]]&gt;TODAY()-40)*([1]!Tabel1[[#This Row],[Status]]="Pågår")</f>
        <v>40000</v>
      </c>
      <c r="AH1858" s="13"/>
      <c r="AI1858" s="12"/>
      <c r="AJ1858" s="12" t="s">
        <v>6331</v>
      </c>
      <c r="AK1858" s="12"/>
      <c r="AL1858" s="12"/>
      <c r="AM1858" s="12"/>
      <c r="AN1858" s="12"/>
      <c r="AO1858" s="12"/>
      <c r="AP1858" s="12"/>
    </row>
    <row r="1859" spans="1:42">
      <c r="A1859" t="s">
        <v>6343</v>
      </c>
      <c r="B1859" s="8"/>
      <c r="C1859" s="8" t="s">
        <v>6344</v>
      </c>
      <c r="D1859" s="8" t="s">
        <v>896</v>
      </c>
      <c r="E1859" s="8" t="s">
        <v>94</v>
      </c>
      <c r="F1859" s="8" t="s">
        <v>6345</v>
      </c>
      <c r="G1859" s="8" t="s">
        <v>5956</v>
      </c>
      <c r="H1859" s="9">
        <v>1000000</v>
      </c>
      <c r="I1859" s="9">
        <f>[1]!Tabel1[[#This Row],[Honorar]]*[1]!Tabel1[[#This Row],[Sandsynlighed]]</f>
        <v>187500</v>
      </c>
      <c r="J1859" s="10" t="s">
        <v>585</v>
      </c>
      <c r="K1859" s="1" t="s">
        <v>1430</v>
      </c>
      <c r="L1859" s="17"/>
      <c r="M1859" s="11">
        <v>0.19</v>
      </c>
      <c r="N1859" s="1"/>
      <c r="O1859" s="10">
        <v>46260.468715277777</v>
      </c>
      <c r="P1859" s="10" t="s">
        <v>679</v>
      </c>
      <c r="Q1859" s="1" t="s">
        <v>72</v>
      </c>
      <c r="R1859" s="8" t="s">
        <v>343</v>
      </c>
      <c r="S185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5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5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5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5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5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5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5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5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5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5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5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5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59" s="12">
        <f ca="1">[1]!Tabel1[[#This Row],[Vægtet Honorar]]*([1]!Tabel1[[#This Row],[Sidst redigeret]]&gt;TODAY()-40)*([1]!Tabel1[[#This Row],[Er i resplan?]]&lt;&gt;"Ja")*([1]!Tabel1[[#This Row],[Status]]="Pågår")</f>
        <v>187500</v>
      </c>
      <c r="AG1859" s="12">
        <f ca="1">[1]!Tabel1[[#This Row],[Vægtet Honorar]]*([1]!Tabel1[[#This Row],[Sidst redigeret]]&gt;TODAY()-40)*([1]!Tabel1[[#This Row],[Status]]="Pågår")</f>
        <v>187500</v>
      </c>
      <c r="AH1859" s="13"/>
      <c r="AI1859" s="12"/>
      <c r="AJ1859" s="12" t="s">
        <v>5956</v>
      </c>
      <c r="AK1859" s="12"/>
      <c r="AL1859" s="12"/>
      <c r="AM1859" s="12"/>
      <c r="AN1859" s="12"/>
      <c r="AO1859" s="12"/>
      <c r="AP1859" s="12"/>
    </row>
    <row r="1860" spans="1:42">
      <c r="A1860" t="s">
        <v>6346</v>
      </c>
      <c r="B1860" s="8"/>
      <c r="C1860" s="8" t="s">
        <v>6347</v>
      </c>
      <c r="D1860" s="8" t="s">
        <v>896</v>
      </c>
      <c r="E1860" s="8" t="s">
        <v>94</v>
      </c>
      <c r="F1860" s="8" t="s">
        <v>589</v>
      </c>
      <c r="G1860" s="8" t="s">
        <v>1864</v>
      </c>
      <c r="H1860" s="9">
        <v>1000000</v>
      </c>
      <c r="I1860" s="9">
        <f>[1]!Tabel1[[#This Row],[Honorar]]*[1]!Tabel1[[#This Row],[Sandsynlighed]]</f>
        <v>0</v>
      </c>
      <c r="J1860" s="10" t="s">
        <v>2405</v>
      </c>
      <c r="K1860" s="1" t="s">
        <v>1430</v>
      </c>
      <c r="L1860" s="17"/>
      <c r="M1860" s="11">
        <v>0.01</v>
      </c>
      <c r="N1860" s="1"/>
      <c r="O1860" s="10">
        <v>46260.617129629631</v>
      </c>
      <c r="P1860" s="10" t="s">
        <v>679</v>
      </c>
      <c r="Q1860" s="1" t="s">
        <v>72</v>
      </c>
      <c r="R1860" s="8" t="s">
        <v>343</v>
      </c>
      <c r="S186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6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6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6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6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6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6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6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6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6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6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6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6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60" s="12">
        <f ca="1">[1]!Tabel1[[#This Row],[Vægtet Honorar]]*([1]!Tabel1[[#This Row],[Sidst redigeret]]&gt;TODAY()-40)*([1]!Tabel1[[#This Row],[Er i resplan?]]&lt;&gt;"Ja")*([1]!Tabel1[[#This Row],[Status]]="Pågår")</f>
        <v>0</v>
      </c>
      <c r="AG1860" s="12">
        <f ca="1">[1]!Tabel1[[#This Row],[Vægtet Honorar]]*([1]!Tabel1[[#This Row],[Sidst redigeret]]&gt;TODAY()-40)*([1]!Tabel1[[#This Row],[Status]]="Pågår")</f>
        <v>0</v>
      </c>
      <c r="AH1860" s="13"/>
      <c r="AI1860" s="12"/>
      <c r="AJ1860" s="12" t="s">
        <v>6348</v>
      </c>
      <c r="AK1860" s="12"/>
      <c r="AL1860" s="12"/>
      <c r="AM1860" s="12"/>
      <c r="AN1860" s="12"/>
      <c r="AO1860" s="12"/>
      <c r="AP1860" s="12"/>
    </row>
    <row r="1861" spans="1:42">
      <c r="A1861" t="s">
        <v>6349</v>
      </c>
      <c r="B1861" s="8"/>
      <c r="C1861" s="8" t="s">
        <v>6350</v>
      </c>
      <c r="D1861" s="8" t="s">
        <v>896</v>
      </c>
      <c r="E1861" s="8" t="s">
        <v>94</v>
      </c>
      <c r="F1861" s="8" t="s">
        <v>6351</v>
      </c>
      <c r="G1861" s="8" t="s">
        <v>2005</v>
      </c>
      <c r="H1861" s="9">
        <v>51000</v>
      </c>
      <c r="I1861" s="9">
        <f>[1]!Tabel1[[#This Row],[Honorar]]*[1]!Tabel1[[#This Row],[Sandsynlighed]]</f>
        <v>108375</v>
      </c>
      <c r="J1861" s="10" t="s">
        <v>585</v>
      </c>
      <c r="K1861" s="1" t="s">
        <v>585</v>
      </c>
      <c r="L1861" s="17"/>
      <c r="M1861" s="11">
        <v>0.19</v>
      </c>
      <c r="N1861" s="1"/>
      <c r="O1861" s="10">
        <v>46264.336412037039</v>
      </c>
      <c r="P1861" s="10" t="s">
        <v>679</v>
      </c>
      <c r="Q1861" s="1" t="s">
        <v>72</v>
      </c>
      <c r="R1861" s="8" t="s">
        <v>343</v>
      </c>
      <c r="S186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6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6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6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6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6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6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6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6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6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6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6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6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61" s="12">
        <f ca="1">[1]!Tabel1[[#This Row],[Vægtet Honorar]]*([1]!Tabel1[[#This Row],[Sidst redigeret]]&gt;TODAY()-40)*([1]!Tabel1[[#This Row],[Er i resplan?]]&lt;&gt;"Ja")*([1]!Tabel1[[#This Row],[Status]]="Pågår")</f>
        <v>108375</v>
      </c>
      <c r="AG1861" s="12">
        <f ca="1">[1]!Tabel1[[#This Row],[Vægtet Honorar]]*([1]!Tabel1[[#This Row],[Sidst redigeret]]&gt;TODAY()-40)*([1]!Tabel1[[#This Row],[Status]]="Pågår")</f>
        <v>108375</v>
      </c>
      <c r="AH1861" s="13"/>
      <c r="AI1861" s="12"/>
      <c r="AJ1861" s="12" t="s">
        <v>2005</v>
      </c>
      <c r="AK1861" s="12"/>
      <c r="AL1861" s="12"/>
      <c r="AM1861" s="12"/>
      <c r="AN1861" s="12"/>
      <c r="AO1861" s="12"/>
      <c r="AP1861" s="12"/>
    </row>
    <row r="1862" spans="1:42">
      <c r="A1862" t="s">
        <v>6271</v>
      </c>
      <c r="B1862" s="8"/>
      <c r="C1862" s="8" t="s">
        <v>6352</v>
      </c>
      <c r="D1862" s="8" t="s">
        <v>158</v>
      </c>
      <c r="E1862" s="8" t="s">
        <v>167</v>
      </c>
      <c r="F1862" s="8" t="s">
        <v>671</v>
      </c>
      <c r="G1862" s="8" t="s">
        <v>671</v>
      </c>
      <c r="H1862" s="9">
        <v>1500000</v>
      </c>
      <c r="I1862" s="9">
        <f>[1]!Tabel1[[#This Row],[Honorar]]*[1]!Tabel1[[#This Row],[Sandsynlighed]]</f>
        <v>87500</v>
      </c>
      <c r="J1862" s="10" t="s">
        <v>342</v>
      </c>
      <c r="K1862" s="1" t="s">
        <v>898</v>
      </c>
      <c r="L1862" s="17"/>
      <c r="M1862" s="11"/>
      <c r="N1862" s="1"/>
      <c r="O1862" s="10">
        <v>46262.353437500002</v>
      </c>
      <c r="P1862" s="10" t="s">
        <v>679</v>
      </c>
      <c r="Q1862" s="1" t="s">
        <v>72</v>
      </c>
      <c r="R1862" s="8" t="s">
        <v>343</v>
      </c>
      <c r="S186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6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6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6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6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6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6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6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6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6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6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6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6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62" s="12">
        <f ca="1">[1]!Tabel1[[#This Row],[Vægtet Honorar]]*([1]!Tabel1[[#This Row],[Sidst redigeret]]&gt;TODAY()-40)*([1]!Tabel1[[#This Row],[Er i resplan?]]&lt;&gt;"Ja")*([1]!Tabel1[[#This Row],[Status]]="Pågår")</f>
        <v>0</v>
      </c>
      <c r="AG1862" s="12">
        <f ca="1">[1]!Tabel1[[#This Row],[Vægtet Honorar]]*([1]!Tabel1[[#This Row],[Sidst redigeret]]&gt;TODAY()-40)*([1]!Tabel1[[#This Row],[Status]]="Pågår")</f>
        <v>87500</v>
      </c>
      <c r="AH1862" s="13"/>
      <c r="AI1862" s="12"/>
      <c r="AJ1862" s="12" t="s">
        <v>6353</v>
      </c>
      <c r="AK1862" s="12"/>
      <c r="AL1862" s="12"/>
      <c r="AM1862" s="12"/>
      <c r="AN1862" s="12"/>
      <c r="AO1862" s="12"/>
      <c r="AP1862" s="12"/>
    </row>
    <row r="1863" spans="1:42">
      <c r="A1863" t="s">
        <v>6354</v>
      </c>
      <c r="B1863" s="8"/>
      <c r="C1863" s="8" t="s">
        <v>6355</v>
      </c>
      <c r="D1863" s="8" t="s">
        <v>720</v>
      </c>
      <c r="E1863" s="8" t="s">
        <v>71</v>
      </c>
      <c r="F1863" s="8" t="s">
        <v>6135</v>
      </c>
      <c r="G1863" s="8" t="s">
        <v>256</v>
      </c>
      <c r="H1863" s="9">
        <v>1500000</v>
      </c>
      <c r="I1863" s="9">
        <f>[1]!Tabel1[[#This Row],[Honorar]]*[1]!Tabel1[[#This Row],[Sandsynlighed]]</f>
        <v>100000</v>
      </c>
      <c r="J1863" s="10" t="s">
        <v>1062</v>
      </c>
      <c r="K1863" s="1" t="s">
        <v>898</v>
      </c>
      <c r="L1863" s="17"/>
      <c r="M1863" s="11"/>
      <c r="N1863" s="1" t="s">
        <v>6356</v>
      </c>
      <c r="O1863" s="10">
        <v>46262.474363425928</v>
      </c>
      <c r="P1863" s="10" t="s">
        <v>679</v>
      </c>
      <c r="Q1863" s="1" t="s">
        <v>72</v>
      </c>
      <c r="R1863" s="8" t="s">
        <v>343</v>
      </c>
      <c r="S186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6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6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6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6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6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6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6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6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6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6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6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6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63" s="12">
        <f ca="1">[1]!Tabel1[[#This Row],[Vægtet Honorar]]*([1]!Tabel1[[#This Row],[Sidst redigeret]]&gt;TODAY()-40)*([1]!Tabel1[[#This Row],[Er i resplan?]]&lt;&gt;"Ja")*([1]!Tabel1[[#This Row],[Status]]="Pågår")</f>
        <v>0</v>
      </c>
      <c r="AG1863" s="12">
        <f ca="1">[1]!Tabel1[[#This Row],[Vægtet Honorar]]*([1]!Tabel1[[#This Row],[Sidst redigeret]]&gt;TODAY()-40)*([1]!Tabel1[[#This Row],[Status]]="Pågår")</f>
        <v>100000</v>
      </c>
      <c r="AH1863" s="13"/>
      <c r="AI1863" s="12"/>
      <c r="AJ1863" s="12" t="s">
        <v>256</v>
      </c>
      <c r="AK1863" s="12"/>
      <c r="AL1863" s="12"/>
      <c r="AM1863" s="12"/>
      <c r="AN1863" s="12"/>
      <c r="AO1863" s="12"/>
      <c r="AP1863" s="12"/>
    </row>
    <row r="1864" spans="1:42" ht="45">
      <c r="A1864" t="s">
        <v>6357</v>
      </c>
      <c r="B1864" s="8"/>
      <c r="C1864" s="8" t="s">
        <v>6358</v>
      </c>
      <c r="D1864" s="8" t="s">
        <v>896</v>
      </c>
      <c r="E1864" s="8" t="s">
        <v>94</v>
      </c>
      <c r="F1864" s="8" t="s">
        <v>6358</v>
      </c>
      <c r="G1864" s="8" t="s">
        <v>5956</v>
      </c>
      <c r="H1864" s="9">
        <v>15000000</v>
      </c>
      <c r="I1864" s="9">
        <f>[1]!Tabel1[[#This Row],[Honorar]]*[1]!Tabel1[[#This Row],[Sandsynlighed]]</f>
        <v>190000</v>
      </c>
      <c r="J1864" s="10" t="s">
        <v>2105</v>
      </c>
      <c r="K1864" s="1" t="s">
        <v>6359</v>
      </c>
      <c r="L1864" s="17" t="s">
        <v>6360</v>
      </c>
      <c r="M1864" s="11">
        <v>0.01</v>
      </c>
      <c r="N1864" s="1" t="s">
        <v>6361</v>
      </c>
      <c r="O1864" s="10">
        <v>46264.34646990741</v>
      </c>
      <c r="P1864" s="10" t="s">
        <v>679</v>
      </c>
      <c r="Q1864" s="1" t="s">
        <v>72</v>
      </c>
      <c r="R1864" s="8" t="s">
        <v>343</v>
      </c>
      <c r="S186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6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6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6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6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6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6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6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6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6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6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6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6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64" s="12">
        <f ca="1">[1]!Tabel1[[#This Row],[Vægtet Honorar]]*([1]!Tabel1[[#This Row],[Sidst redigeret]]&gt;TODAY()-40)*([1]!Tabel1[[#This Row],[Er i resplan?]]&lt;&gt;"Ja")*([1]!Tabel1[[#This Row],[Status]]="Pågår")</f>
        <v>190000</v>
      </c>
      <c r="AG1864" s="12">
        <f ca="1">[1]!Tabel1[[#This Row],[Vægtet Honorar]]*([1]!Tabel1[[#This Row],[Sidst redigeret]]&gt;TODAY()-40)*([1]!Tabel1[[#This Row],[Status]]="Pågår")</f>
        <v>190000</v>
      </c>
      <c r="AH1864" s="13"/>
      <c r="AI1864" s="12"/>
      <c r="AJ1864" s="12" t="s">
        <v>5956</v>
      </c>
      <c r="AK1864" s="12" t="s">
        <v>5656</v>
      </c>
      <c r="AL1864" s="12"/>
      <c r="AM1864" s="12"/>
      <c r="AN1864" s="12"/>
      <c r="AO1864" s="12"/>
      <c r="AP1864" s="12"/>
    </row>
    <row r="1865" spans="1:42" ht="30">
      <c r="A1865" t="s">
        <v>6362</v>
      </c>
      <c r="B1865" s="8"/>
      <c r="C1865" s="8" t="s">
        <v>6363</v>
      </c>
      <c r="D1865" s="8" t="s">
        <v>1771</v>
      </c>
      <c r="E1865" s="8" t="s">
        <v>167</v>
      </c>
      <c r="F1865" s="8" t="s">
        <v>671</v>
      </c>
      <c r="G1865" s="8" t="s">
        <v>671</v>
      </c>
      <c r="H1865" s="9">
        <v>5500000</v>
      </c>
      <c r="I1865" s="9">
        <f>[1]!Tabel1[[#This Row],[Honorar]]*[1]!Tabel1[[#This Row],[Sandsynlighed]]</f>
        <v>10000</v>
      </c>
      <c r="J1865" s="10" t="s">
        <v>2039</v>
      </c>
      <c r="K1865" s="1" t="s">
        <v>2093</v>
      </c>
      <c r="L1865" s="17" t="s">
        <v>6364</v>
      </c>
      <c r="M1865" s="11">
        <v>0.01</v>
      </c>
      <c r="N1865" s="1" t="s">
        <v>6365</v>
      </c>
      <c r="O1865" s="10">
        <v>46265.353900462964</v>
      </c>
      <c r="P1865" s="10" t="s">
        <v>679</v>
      </c>
      <c r="Q1865" s="1" t="s">
        <v>72</v>
      </c>
      <c r="R1865" s="8" t="s">
        <v>343</v>
      </c>
      <c r="S186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6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6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6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6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6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6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6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6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6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6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6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6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65" s="12">
        <f ca="1">[1]!Tabel1[[#This Row],[Vægtet Honorar]]*([1]!Tabel1[[#This Row],[Sidst redigeret]]&gt;TODAY()-40)*([1]!Tabel1[[#This Row],[Er i resplan?]]&lt;&gt;"Ja")*([1]!Tabel1[[#This Row],[Status]]="Pågår")</f>
        <v>10000</v>
      </c>
      <c r="AG1865" s="12">
        <f ca="1">[1]!Tabel1[[#This Row],[Vægtet Honorar]]*([1]!Tabel1[[#This Row],[Sidst redigeret]]&gt;TODAY()-40)*([1]!Tabel1[[#This Row],[Status]]="Pågår")</f>
        <v>10000</v>
      </c>
      <c r="AH1865" s="13"/>
      <c r="AI1865" s="12"/>
      <c r="AJ1865" s="12" t="s">
        <v>600</v>
      </c>
      <c r="AK1865" s="12" t="s">
        <v>6366</v>
      </c>
      <c r="AL1865" s="12"/>
      <c r="AM1865" s="12"/>
      <c r="AN1865" s="12"/>
      <c r="AO1865" s="12"/>
      <c r="AP1865" s="12"/>
    </row>
    <row r="1866" spans="1:42" ht="60">
      <c r="A1866" t="s">
        <v>6367</v>
      </c>
      <c r="B1866" s="8"/>
      <c r="C1866" s="8" t="s">
        <v>6368</v>
      </c>
      <c r="D1866" s="8" t="s">
        <v>334</v>
      </c>
      <c r="E1866" s="8" t="s">
        <v>71</v>
      </c>
      <c r="F1866" s="8" t="s">
        <v>671</v>
      </c>
      <c r="G1866" s="8" t="s">
        <v>671</v>
      </c>
      <c r="H1866" s="9">
        <v>500000</v>
      </c>
      <c r="I1866" s="9">
        <f>[1]!Tabel1[[#This Row],[Honorar]]*[1]!Tabel1[[#This Row],[Sandsynlighed]]</f>
        <v>9690</v>
      </c>
      <c r="J1866" s="10" t="s">
        <v>1191</v>
      </c>
      <c r="K1866" s="1" t="s">
        <v>342</v>
      </c>
      <c r="L1866" s="17" t="s">
        <v>6369</v>
      </c>
      <c r="M1866" s="11">
        <v>0.33</v>
      </c>
      <c r="N1866" s="1" t="s">
        <v>6370</v>
      </c>
      <c r="O1866" s="10">
        <v>46272.638182870367</v>
      </c>
      <c r="P1866" s="10" t="s">
        <v>6371</v>
      </c>
      <c r="Q1866" s="1" t="s">
        <v>72</v>
      </c>
      <c r="R1866" s="8" t="s">
        <v>343</v>
      </c>
      <c r="S186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6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6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6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6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6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6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6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6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6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6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6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6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66" s="12">
        <f ca="1">[1]!Tabel1[[#This Row],[Vægtet Honorar]]*([1]!Tabel1[[#This Row],[Sidst redigeret]]&gt;TODAY()-40)*([1]!Tabel1[[#This Row],[Er i resplan?]]&lt;&gt;"Ja")*([1]!Tabel1[[#This Row],[Status]]="Pågår")</f>
        <v>9690</v>
      </c>
      <c r="AG1866" s="12">
        <f ca="1">[1]!Tabel1[[#This Row],[Vægtet Honorar]]*([1]!Tabel1[[#This Row],[Sidst redigeret]]&gt;TODAY()-40)*([1]!Tabel1[[#This Row],[Status]]="Pågår")</f>
        <v>9690</v>
      </c>
      <c r="AH1866" s="13"/>
      <c r="AI1866" s="12"/>
      <c r="AJ1866" s="12" t="s">
        <v>6370</v>
      </c>
      <c r="AK1866" s="12" t="s">
        <v>6370</v>
      </c>
      <c r="AL1866" s="12"/>
      <c r="AM1866" s="12"/>
      <c r="AN1866" s="12"/>
      <c r="AO1866" s="12"/>
      <c r="AP1866" s="12"/>
    </row>
    <row r="1867" spans="1:42" ht="60">
      <c r="A1867" t="s">
        <v>6372</v>
      </c>
      <c r="B1867" s="8"/>
      <c r="C1867" s="8" t="s">
        <v>6373</v>
      </c>
      <c r="D1867" s="8" t="s">
        <v>334</v>
      </c>
      <c r="E1867" s="8" t="s">
        <v>71</v>
      </c>
      <c r="F1867" s="8" t="s">
        <v>671</v>
      </c>
      <c r="G1867" s="8" t="s">
        <v>671</v>
      </c>
      <c r="H1867" s="9">
        <v>0</v>
      </c>
      <c r="I1867" s="9">
        <f>[1]!Tabel1[[#This Row],[Honorar]]*[1]!Tabel1[[#This Row],[Sandsynlighed]]</f>
        <v>0</v>
      </c>
      <c r="J1867" s="10" t="s">
        <v>1191</v>
      </c>
      <c r="K1867" s="1" t="s">
        <v>342</v>
      </c>
      <c r="L1867" s="17" t="s">
        <v>6369</v>
      </c>
      <c r="M1867" s="11">
        <v>0.33</v>
      </c>
      <c r="N1867" s="1" t="s">
        <v>6370</v>
      </c>
      <c r="O1867" s="10">
        <v>46265.460925925923</v>
      </c>
      <c r="P1867" s="10" t="s">
        <v>6371</v>
      </c>
      <c r="Q1867" s="1" t="s">
        <v>72</v>
      </c>
      <c r="R1867" s="8" t="s">
        <v>343</v>
      </c>
      <c r="S186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6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6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6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6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6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6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6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6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6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6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6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6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67" s="12">
        <f ca="1">[1]!Tabel1[[#This Row],[Vægtet Honorar]]*([1]!Tabel1[[#This Row],[Sidst redigeret]]&gt;TODAY()-40)*([1]!Tabel1[[#This Row],[Er i resplan?]]&lt;&gt;"Ja")*([1]!Tabel1[[#This Row],[Status]]="Pågår")</f>
        <v>0</v>
      </c>
      <c r="AG1867" s="12">
        <f ca="1">[1]!Tabel1[[#This Row],[Vægtet Honorar]]*([1]!Tabel1[[#This Row],[Sidst redigeret]]&gt;TODAY()-40)*([1]!Tabel1[[#This Row],[Status]]="Pågår")</f>
        <v>0</v>
      </c>
      <c r="AH1867" s="13"/>
      <c r="AI1867" s="12"/>
      <c r="AJ1867" s="12" t="s">
        <v>6370</v>
      </c>
      <c r="AK1867" s="12" t="s">
        <v>6370</v>
      </c>
      <c r="AL1867" s="12"/>
      <c r="AM1867" s="12"/>
      <c r="AN1867" s="12"/>
      <c r="AO1867" s="12"/>
      <c r="AP1867" s="12"/>
    </row>
    <row r="1868" spans="1:42">
      <c r="A1868" t="s">
        <v>6374</v>
      </c>
      <c r="B1868" s="8"/>
      <c r="C1868" s="8" t="s">
        <v>6375</v>
      </c>
      <c r="D1868" s="8" t="s">
        <v>4254</v>
      </c>
      <c r="E1868" s="8" t="s">
        <v>167</v>
      </c>
      <c r="F1868" s="8" t="s">
        <v>5145</v>
      </c>
      <c r="G1868" s="8" t="s">
        <v>5145</v>
      </c>
      <c r="H1868" s="9">
        <v>500000</v>
      </c>
      <c r="I1868" s="9">
        <f>[1]!Tabel1[[#This Row],[Honorar]]*[1]!Tabel1[[#This Row],[Sandsynlighed]]</f>
        <v>0</v>
      </c>
      <c r="J1868" s="10" t="s">
        <v>585</v>
      </c>
      <c r="K1868" s="1" t="s">
        <v>2405</v>
      </c>
      <c r="L1868" s="17"/>
      <c r="M1868" s="11">
        <v>0.5</v>
      </c>
      <c r="N1868" s="1" t="s">
        <v>6370</v>
      </c>
      <c r="O1868" s="10">
        <v>46265.489004629628</v>
      </c>
      <c r="P1868" s="10" t="s">
        <v>679</v>
      </c>
      <c r="Q1868" s="1" t="s">
        <v>72</v>
      </c>
      <c r="R1868" s="8" t="s">
        <v>343</v>
      </c>
      <c r="S186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6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6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6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6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6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6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6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6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6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6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6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6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68" s="12">
        <f ca="1">[1]!Tabel1[[#This Row],[Vægtet Honorar]]*([1]!Tabel1[[#This Row],[Sidst redigeret]]&gt;TODAY()-40)*([1]!Tabel1[[#This Row],[Er i resplan?]]&lt;&gt;"Ja")*([1]!Tabel1[[#This Row],[Status]]="Pågår")</f>
        <v>0</v>
      </c>
      <c r="AG1868" s="12">
        <f ca="1">[1]!Tabel1[[#This Row],[Vægtet Honorar]]*([1]!Tabel1[[#This Row],[Sidst redigeret]]&gt;TODAY()-40)*([1]!Tabel1[[#This Row],[Status]]="Pågår")</f>
        <v>0</v>
      </c>
      <c r="AH1868" s="13"/>
      <c r="AI1868" s="12"/>
      <c r="AJ1868" s="12" t="s">
        <v>6370</v>
      </c>
      <c r="AK1868" s="12" t="s">
        <v>6370</v>
      </c>
      <c r="AL1868" s="12"/>
      <c r="AM1868" s="12"/>
      <c r="AN1868" s="12"/>
      <c r="AO1868" s="12"/>
      <c r="AP1868" s="12"/>
    </row>
    <row r="1869" spans="1:42">
      <c r="A1869" t="s">
        <v>6376</v>
      </c>
      <c r="B1869" s="8"/>
      <c r="C1869" s="8" t="s">
        <v>6377</v>
      </c>
      <c r="D1869" s="8" t="s">
        <v>2886</v>
      </c>
      <c r="E1869" s="8" t="s">
        <v>120</v>
      </c>
      <c r="F1869" s="8" t="s">
        <v>6378</v>
      </c>
      <c r="G1869" s="8" t="s">
        <v>6378</v>
      </c>
      <c r="H1869" s="9">
        <v>100000</v>
      </c>
      <c r="I1869" s="9">
        <f>[1]!Tabel1[[#This Row],[Honorar]]*[1]!Tabel1[[#This Row],[Sandsynlighed]]</f>
        <v>150000</v>
      </c>
      <c r="J1869" s="10" t="s">
        <v>585</v>
      </c>
      <c r="K1869" s="1" t="s">
        <v>1062</v>
      </c>
      <c r="L1869" s="17"/>
      <c r="M1869" s="11">
        <v>0.5</v>
      </c>
      <c r="N1869" s="1" t="s">
        <v>6370</v>
      </c>
      <c r="O1869" s="10">
        <v>46269.62972222222</v>
      </c>
      <c r="P1869" s="10" t="s">
        <v>46</v>
      </c>
      <c r="Q1869" s="1" t="s">
        <v>72</v>
      </c>
      <c r="R1869" s="8" t="s">
        <v>343</v>
      </c>
      <c r="S186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6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6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6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6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6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6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6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6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6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6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6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6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69" s="12">
        <f ca="1">[1]!Tabel1[[#This Row],[Vægtet Honorar]]*([1]!Tabel1[[#This Row],[Sidst redigeret]]&gt;TODAY()-40)*([1]!Tabel1[[#This Row],[Er i resplan?]]&lt;&gt;"Ja")*([1]!Tabel1[[#This Row],[Status]]="Pågår")</f>
        <v>150000</v>
      </c>
      <c r="AG1869" s="12">
        <f ca="1">[1]!Tabel1[[#This Row],[Vægtet Honorar]]*([1]!Tabel1[[#This Row],[Sidst redigeret]]&gt;TODAY()-40)*([1]!Tabel1[[#This Row],[Status]]="Pågår")</f>
        <v>150000</v>
      </c>
      <c r="AH1869" s="13"/>
      <c r="AI1869" s="12"/>
      <c r="AJ1869" s="12" t="s">
        <v>6370</v>
      </c>
      <c r="AK1869" s="12" t="s">
        <v>6370</v>
      </c>
      <c r="AL1869" s="12"/>
      <c r="AM1869" s="12"/>
      <c r="AN1869" s="12"/>
      <c r="AO1869" s="12"/>
      <c r="AP1869" s="12"/>
    </row>
    <row r="1870" spans="1:42">
      <c r="A1870" t="s">
        <v>6379</v>
      </c>
      <c r="B1870" s="8"/>
      <c r="C1870" s="8" t="s">
        <v>6380</v>
      </c>
      <c r="D1870" s="8" t="s">
        <v>896</v>
      </c>
      <c r="E1870" s="8" t="s">
        <v>94</v>
      </c>
      <c r="F1870" s="8" t="s">
        <v>6381</v>
      </c>
      <c r="G1870" s="8" t="s">
        <v>6382</v>
      </c>
      <c r="H1870" s="9">
        <v>100000</v>
      </c>
      <c r="I1870" s="9">
        <f>[1]!Tabel1[[#This Row],[Honorar]]*[1]!Tabel1[[#This Row],[Sandsynlighed]]</f>
        <v>55000</v>
      </c>
      <c r="J1870" s="10" t="s">
        <v>585</v>
      </c>
      <c r="K1870" s="1" t="s">
        <v>1062</v>
      </c>
      <c r="L1870" s="17"/>
      <c r="M1870" s="11">
        <v>0.5</v>
      </c>
      <c r="N1870" s="1" t="s">
        <v>6370</v>
      </c>
      <c r="O1870" s="10">
        <v>46267.364351851851</v>
      </c>
      <c r="P1870" s="10" t="s">
        <v>679</v>
      </c>
      <c r="Q1870" s="1" t="s">
        <v>72</v>
      </c>
      <c r="R1870" s="8" t="s">
        <v>343</v>
      </c>
      <c r="S187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7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7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7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7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7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7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7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7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7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7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7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7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70" s="12">
        <f ca="1">[1]!Tabel1[[#This Row],[Vægtet Honorar]]*([1]!Tabel1[[#This Row],[Sidst redigeret]]&gt;TODAY()-40)*([1]!Tabel1[[#This Row],[Er i resplan?]]&lt;&gt;"Ja")*([1]!Tabel1[[#This Row],[Status]]="Pågår")</f>
        <v>55000</v>
      </c>
      <c r="AG1870" s="12">
        <f ca="1">[1]!Tabel1[[#This Row],[Vægtet Honorar]]*([1]!Tabel1[[#This Row],[Sidst redigeret]]&gt;TODAY()-40)*([1]!Tabel1[[#This Row],[Status]]="Pågår")</f>
        <v>55000</v>
      </c>
      <c r="AH1870" s="13"/>
      <c r="AI1870" s="12"/>
      <c r="AJ1870" s="12" t="s">
        <v>6370</v>
      </c>
      <c r="AK1870" s="12" t="s">
        <v>6370</v>
      </c>
      <c r="AL1870" s="12"/>
      <c r="AM1870" s="12"/>
      <c r="AN1870" s="12"/>
      <c r="AO1870" s="12"/>
      <c r="AP1870" s="12"/>
    </row>
    <row r="1871" spans="1:42">
      <c r="A1871" t="s">
        <v>6383</v>
      </c>
      <c r="B1871" s="8"/>
      <c r="C1871" s="8" t="s">
        <v>6384</v>
      </c>
      <c r="D1871" s="8" t="s">
        <v>896</v>
      </c>
      <c r="E1871" s="8" t="s">
        <v>94</v>
      </c>
      <c r="F1871" s="8" t="s">
        <v>6385</v>
      </c>
      <c r="G1871" s="8" t="s">
        <v>6385</v>
      </c>
      <c r="H1871" s="9">
        <v>100000</v>
      </c>
      <c r="I1871" s="9">
        <f>[1]!Tabel1[[#This Row],[Honorar]]*[1]!Tabel1[[#This Row],[Sandsynlighed]]</f>
        <v>165000</v>
      </c>
      <c r="J1871" s="10" t="s">
        <v>585</v>
      </c>
      <c r="K1871" s="1" t="s">
        <v>1062</v>
      </c>
      <c r="L1871" s="17"/>
      <c r="M1871" s="11">
        <v>0.5</v>
      </c>
      <c r="N1871" s="1" t="s">
        <v>6370</v>
      </c>
      <c r="O1871" s="10">
        <v>46267.380671296298</v>
      </c>
      <c r="P1871" s="10" t="s">
        <v>679</v>
      </c>
      <c r="Q1871" s="1" t="s">
        <v>72</v>
      </c>
      <c r="R1871" s="8" t="s">
        <v>343</v>
      </c>
      <c r="S187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7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7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7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7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7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7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7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7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7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7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7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7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71" s="12">
        <f ca="1">[1]!Tabel1[[#This Row],[Vægtet Honorar]]*([1]!Tabel1[[#This Row],[Sidst redigeret]]&gt;TODAY()-40)*([1]!Tabel1[[#This Row],[Er i resplan?]]&lt;&gt;"Ja")*([1]!Tabel1[[#This Row],[Status]]="Pågår")</f>
        <v>165000</v>
      </c>
      <c r="AG1871" s="12">
        <f ca="1">[1]!Tabel1[[#This Row],[Vægtet Honorar]]*([1]!Tabel1[[#This Row],[Sidst redigeret]]&gt;TODAY()-40)*([1]!Tabel1[[#This Row],[Status]]="Pågår")</f>
        <v>165000</v>
      </c>
      <c r="AH1871" s="13"/>
      <c r="AI1871" s="12"/>
      <c r="AJ1871" s="12" t="s">
        <v>6370</v>
      </c>
      <c r="AK1871" s="12" t="s">
        <v>6370</v>
      </c>
      <c r="AL1871" s="12"/>
      <c r="AM1871" s="12"/>
      <c r="AN1871" s="12"/>
      <c r="AO1871" s="12"/>
      <c r="AP1871" s="12"/>
    </row>
    <row r="1872" spans="1:42">
      <c r="A1872" t="s">
        <v>6386</v>
      </c>
      <c r="B1872" s="8"/>
      <c r="C1872" s="8" t="s">
        <v>6387</v>
      </c>
      <c r="D1872" s="8" t="s">
        <v>4539</v>
      </c>
      <c r="E1872" s="8" t="s">
        <v>94</v>
      </c>
      <c r="F1872" s="8" t="s">
        <v>6388</v>
      </c>
      <c r="G1872" s="8" t="s">
        <v>4082</v>
      </c>
      <c r="H1872" s="9">
        <v>12000000</v>
      </c>
      <c r="I1872" s="9">
        <f>[1]!Tabel1[[#This Row],[Honorar]]*[1]!Tabel1[[#This Row],[Sandsynlighed]]</f>
        <v>0</v>
      </c>
      <c r="J1872" s="10" t="s">
        <v>342</v>
      </c>
      <c r="K1872" s="1" t="s">
        <v>2105</v>
      </c>
      <c r="L1872" s="17" t="s">
        <v>6389</v>
      </c>
      <c r="M1872" s="11">
        <v>0.5</v>
      </c>
      <c r="N1872" s="1" t="s">
        <v>6370</v>
      </c>
      <c r="O1872" s="10">
        <v>46267.393391203703</v>
      </c>
      <c r="P1872" s="10" t="s">
        <v>679</v>
      </c>
      <c r="Q1872" s="1" t="s">
        <v>72</v>
      </c>
      <c r="R1872" s="8" t="s">
        <v>343</v>
      </c>
      <c r="S187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7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7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7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7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7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7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7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7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7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7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7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7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72" s="12">
        <f ca="1">[1]!Tabel1[[#This Row],[Vægtet Honorar]]*([1]!Tabel1[[#This Row],[Sidst redigeret]]&gt;TODAY()-40)*([1]!Tabel1[[#This Row],[Er i resplan?]]&lt;&gt;"Ja")*([1]!Tabel1[[#This Row],[Status]]="Pågår")</f>
        <v>0</v>
      </c>
      <c r="AG1872" s="12">
        <f ca="1">[1]!Tabel1[[#This Row],[Vægtet Honorar]]*([1]!Tabel1[[#This Row],[Sidst redigeret]]&gt;TODAY()-40)*([1]!Tabel1[[#This Row],[Status]]="Pågår")</f>
        <v>0</v>
      </c>
      <c r="AH1872" s="13"/>
      <c r="AI1872" s="12"/>
      <c r="AJ1872" s="12" t="s">
        <v>6370</v>
      </c>
      <c r="AK1872" s="12" t="s">
        <v>6370</v>
      </c>
      <c r="AL1872" s="12"/>
      <c r="AM1872" s="12"/>
      <c r="AN1872" s="12"/>
      <c r="AO1872" s="12"/>
      <c r="AP1872" s="12"/>
    </row>
    <row r="1873" spans="1:42">
      <c r="A1873" t="s">
        <v>6390</v>
      </c>
      <c r="B1873" s="8"/>
      <c r="C1873" s="8" t="s">
        <v>6391</v>
      </c>
      <c r="D1873" s="8" t="s">
        <v>896</v>
      </c>
      <c r="E1873" s="8" t="s">
        <v>94</v>
      </c>
      <c r="F1873" s="8" t="s">
        <v>6392</v>
      </c>
      <c r="G1873" s="8" t="s">
        <v>6392</v>
      </c>
      <c r="H1873" s="9">
        <v>12000000</v>
      </c>
      <c r="I1873" s="9">
        <f>[1]!Tabel1[[#This Row],[Honorar]]*[1]!Tabel1[[#This Row],[Sandsynlighed]]</f>
        <v>250000</v>
      </c>
      <c r="J1873" s="10" t="s">
        <v>342</v>
      </c>
      <c r="K1873" s="1" t="s">
        <v>2105</v>
      </c>
      <c r="L1873" s="17"/>
      <c r="M1873" s="11">
        <v>0.15</v>
      </c>
      <c r="N1873" s="1" t="s">
        <v>6370</v>
      </c>
      <c r="O1873" s="10">
        <v>46267.41033564815</v>
      </c>
      <c r="P1873" s="10" t="s">
        <v>679</v>
      </c>
      <c r="Q1873" s="1" t="s">
        <v>72</v>
      </c>
      <c r="R1873" s="8" t="s">
        <v>343</v>
      </c>
      <c r="S187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7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7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7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7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7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7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7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7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7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7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7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7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73" s="12">
        <f ca="1">[1]!Tabel1[[#This Row],[Vægtet Honorar]]*([1]!Tabel1[[#This Row],[Sidst redigeret]]&gt;TODAY()-40)*([1]!Tabel1[[#This Row],[Er i resplan?]]&lt;&gt;"Ja")*([1]!Tabel1[[#This Row],[Status]]="Pågår")</f>
        <v>250000</v>
      </c>
      <c r="AG1873" s="12">
        <f ca="1">[1]!Tabel1[[#This Row],[Vægtet Honorar]]*([1]!Tabel1[[#This Row],[Sidst redigeret]]&gt;TODAY()-40)*([1]!Tabel1[[#This Row],[Status]]="Pågår")</f>
        <v>250000</v>
      </c>
      <c r="AH1873" s="13"/>
      <c r="AI1873" s="12"/>
      <c r="AJ1873" s="12" t="s">
        <v>6370</v>
      </c>
      <c r="AK1873" s="12" t="s">
        <v>6393</v>
      </c>
      <c r="AL1873" s="12"/>
      <c r="AM1873" s="12"/>
      <c r="AN1873" s="12"/>
      <c r="AO1873" s="12"/>
      <c r="AP1873" s="12"/>
    </row>
    <row r="1874" spans="1:42" ht="75">
      <c r="A1874" t="s">
        <v>6394</v>
      </c>
      <c r="B1874" s="8"/>
      <c r="C1874" s="8" t="s">
        <v>6395</v>
      </c>
      <c r="D1874" s="8" t="s">
        <v>1771</v>
      </c>
      <c r="E1874" s="8" t="s">
        <v>167</v>
      </c>
      <c r="F1874" s="8" t="s">
        <v>5025</v>
      </c>
      <c r="G1874" s="8" t="s">
        <v>5025</v>
      </c>
      <c r="H1874" s="9">
        <v>200000</v>
      </c>
      <c r="I1874" s="9">
        <f>[1]!Tabel1[[#This Row],[Honorar]]*[1]!Tabel1[[#This Row],[Sandsynlighed]]</f>
        <v>50000</v>
      </c>
      <c r="J1874" s="10" t="s">
        <v>342</v>
      </c>
      <c r="K1874" s="1" t="s">
        <v>2105</v>
      </c>
      <c r="L1874" s="17" t="s">
        <v>6396</v>
      </c>
      <c r="M1874" s="11">
        <v>0.2</v>
      </c>
      <c r="N1874" s="1" t="s">
        <v>6370</v>
      </c>
      <c r="O1874" s="10">
        <v>46267.478425925925</v>
      </c>
      <c r="P1874" s="10" t="s">
        <v>679</v>
      </c>
      <c r="Q1874" s="1" t="s">
        <v>72</v>
      </c>
      <c r="R1874" s="8" t="s">
        <v>343</v>
      </c>
      <c r="S187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7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7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7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7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7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7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7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7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7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7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7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7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74" s="12">
        <f ca="1">[1]!Tabel1[[#This Row],[Vægtet Honorar]]*([1]!Tabel1[[#This Row],[Sidst redigeret]]&gt;TODAY()-40)*([1]!Tabel1[[#This Row],[Er i resplan?]]&lt;&gt;"Ja")*([1]!Tabel1[[#This Row],[Status]]="Pågår")</f>
        <v>50000</v>
      </c>
      <c r="AG1874" s="12">
        <f ca="1">[1]!Tabel1[[#This Row],[Vægtet Honorar]]*([1]!Tabel1[[#This Row],[Sidst redigeret]]&gt;TODAY()-40)*([1]!Tabel1[[#This Row],[Status]]="Pågår")</f>
        <v>50000</v>
      </c>
      <c r="AH1874" s="13"/>
      <c r="AI1874" s="12"/>
      <c r="AJ1874" s="12" t="s">
        <v>1330</v>
      </c>
      <c r="AK1874" s="12"/>
      <c r="AL1874" s="12"/>
      <c r="AM1874" s="12"/>
      <c r="AN1874" s="12"/>
      <c r="AO1874" s="12"/>
      <c r="AP1874" s="12"/>
    </row>
    <row r="1875" spans="1:42">
      <c r="A1875" t="s">
        <v>6397</v>
      </c>
      <c r="B1875" s="8"/>
      <c r="C1875" s="8" t="s">
        <v>6398</v>
      </c>
      <c r="D1875" s="8" t="s">
        <v>158</v>
      </c>
      <c r="E1875" s="8" t="s">
        <v>167</v>
      </c>
      <c r="F1875" s="8" t="s">
        <v>1024</v>
      </c>
      <c r="G1875" s="8" t="s">
        <v>1024</v>
      </c>
      <c r="H1875" s="9">
        <v>1</v>
      </c>
      <c r="I1875" s="9">
        <f>[1]!Tabel1[[#This Row],[Honorar]]*[1]!Tabel1[[#This Row],[Sandsynlighed]]</f>
        <v>50000</v>
      </c>
      <c r="J1875" s="10" t="s">
        <v>342</v>
      </c>
      <c r="K1875" s="1" t="s">
        <v>2105</v>
      </c>
      <c r="L1875" s="17"/>
      <c r="M1875" s="11">
        <v>0.05</v>
      </c>
      <c r="N1875" s="1" t="s">
        <v>6370</v>
      </c>
      <c r="O1875" s="10">
        <v>46267.855312500003</v>
      </c>
      <c r="P1875" s="10" t="s">
        <v>679</v>
      </c>
      <c r="Q1875" s="1" t="s">
        <v>72</v>
      </c>
      <c r="R1875" s="8" t="s">
        <v>343</v>
      </c>
      <c r="S187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7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7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7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7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7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7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7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7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7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7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7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7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75" s="12">
        <f ca="1">[1]!Tabel1[[#This Row],[Vægtet Honorar]]*([1]!Tabel1[[#This Row],[Sidst redigeret]]&gt;TODAY()-40)*([1]!Tabel1[[#This Row],[Er i resplan?]]&lt;&gt;"Ja")*([1]!Tabel1[[#This Row],[Status]]="Pågår")</f>
        <v>50000</v>
      </c>
      <c r="AG1875" s="12">
        <f ca="1">[1]!Tabel1[[#This Row],[Vægtet Honorar]]*([1]!Tabel1[[#This Row],[Sidst redigeret]]&gt;TODAY()-40)*([1]!Tabel1[[#This Row],[Status]]="Pågår")</f>
        <v>50000</v>
      </c>
      <c r="AH1875" s="13"/>
      <c r="AI1875" s="12"/>
      <c r="AJ1875" s="12" t="s">
        <v>5134</v>
      </c>
      <c r="AK1875" s="12" t="s">
        <v>6399</v>
      </c>
      <c r="AL1875" s="12"/>
      <c r="AM1875" s="12"/>
      <c r="AN1875" s="12"/>
      <c r="AO1875" s="12"/>
      <c r="AP1875" s="12"/>
    </row>
    <row r="1876" spans="1:42" ht="30">
      <c r="A1876" t="s">
        <v>6400</v>
      </c>
      <c r="B1876" s="8"/>
      <c r="C1876" s="8" t="s">
        <v>6401</v>
      </c>
      <c r="D1876" s="8" t="s">
        <v>134</v>
      </c>
      <c r="E1876" s="8" t="s">
        <v>94</v>
      </c>
      <c r="F1876" s="8" t="s">
        <v>6385</v>
      </c>
      <c r="G1876" s="8" t="s">
        <v>6385</v>
      </c>
      <c r="H1876" s="9">
        <v>75000</v>
      </c>
      <c r="I1876" s="9">
        <f>[1]!Tabel1[[#This Row],[Honorar]]*[1]!Tabel1[[#This Row],[Sandsynlighed]]</f>
        <v>50000</v>
      </c>
      <c r="J1876" s="10" t="s">
        <v>585</v>
      </c>
      <c r="K1876" s="1" t="s">
        <v>2405</v>
      </c>
      <c r="L1876" s="17" t="s">
        <v>6402</v>
      </c>
      <c r="M1876" s="11">
        <v>0.75</v>
      </c>
      <c r="N1876" s="1" t="s">
        <v>3764</v>
      </c>
      <c r="O1876" s="10">
        <v>46268.627083333333</v>
      </c>
      <c r="P1876" s="10" t="s">
        <v>679</v>
      </c>
      <c r="Q1876" s="1" t="s">
        <v>46</v>
      </c>
      <c r="R1876" s="8" t="s">
        <v>343</v>
      </c>
      <c r="S187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7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7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7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7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7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7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7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7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7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7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7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7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76" s="12">
        <f ca="1">[1]!Tabel1[[#This Row],[Vægtet Honorar]]*([1]!Tabel1[[#This Row],[Sidst redigeret]]&gt;TODAY()-40)*([1]!Tabel1[[#This Row],[Er i resplan?]]&lt;&gt;"Ja")*([1]!Tabel1[[#This Row],[Status]]="Pågår")</f>
        <v>50000</v>
      </c>
      <c r="AG1876" s="12">
        <f ca="1">[1]!Tabel1[[#This Row],[Vægtet Honorar]]*([1]!Tabel1[[#This Row],[Sidst redigeret]]&gt;TODAY()-40)*([1]!Tabel1[[#This Row],[Status]]="Pågår")</f>
        <v>50000</v>
      </c>
      <c r="AH1876" s="13"/>
      <c r="AI1876" s="12"/>
      <c r="AJ1876" s="12" t="s">
        <v>5134</v>
      </c>
      <c r="AK1876" s="12" t="s">
        <v>6399</v>
      </c>
      <c r="AL1876" s="12"/>
      <c r="AM1876" s="12"/>
      <c r="AN1876" s="12"/>
      <c r="AO1876" s="12"/>
      <c r="AP1876" s="12"/>
    </row>
    <row r="1877" spans="1:42">
      <c r="A1877" t="s">
        <v>6403</v>
      </c>
      <c r="B1877" s="8"/>
      <c r="C1877" s="8" t="s">
        <v>6404</v>
      </c>
      <c r="D1877" s="8" t="s">
        <v>6405</v>
      </c>
      <c r="E1877" s="8" t="s">
        <v>120</v>
      </c>
      <c r="F1877" s="8" t="s">
        <v>6385</v>
      </c>
      <c r="G1877" s="8" t="s">
        <v>6406</v>
      </c>
      <c r="H1877" s="9">
        <v>100000</v>
      </c>
      <c r="I1877" s="9">
        <f>[1]!Tabel1[[#This Row],[Honorar]]*[1]!Tabel1[[#This Row],[Sandsynlighed]]</f>
        <v>6000000</v>
      </c>
      <c r="J1877" s="10" t="s">
        <v>342</v>
      </c>
      <c r="K1877" s="1" t="s">
        <v>1861</v>
      </c>
      <c r="L1877" s="17"/>
      <c r="M1877" s="11">
        <v>0.5</v>
      </c>
      <c r="N1877" s="1"/>
      <c r="O1877" s="10">
        <v>46269.649687500001</v>
      </c>
      <c r="P1877" s="10" t="s">
        <v>4507</v>
      </c>
      <c r="Q1877" s="1" t="s">
        <v>72</v>
      </c>
      <c r="R1877" s="8" t="s">
        <v>343</v>
      </c>
      <c r="S187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7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7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7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7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7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7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7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7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7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7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7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7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77" s="12">
        <f ca="1">[1]!Tabel1[[#This Row],[Vægtet Honorar]]*([1]!Tabel1[[#This Row],[Sidst redigeret]]&gt;TODAY()-40)*([1]!Tabel1[[#This Row],[Er i resplan?]]&lt;&gt;"Ja")*([1]!Tabel1[[#This Row],[Status]]="Pågår")</f>
        <v>6000000</v>
      </c>
      <c r="AG1877" s="12">
        <f ca="1">[1]!Tabel1[[#This Row],[Vægtet Honorar]]*([1]!Tabel1[[#This Row],[Sidst redigeret]]&gt;TODAY()-40)*([1]!Tabel1[[#This Row],[Status]]="Pågår")</f>
        <v>6000000</v>
      </c>
      <c r="AH1877" s="13"/>
      <c r="AI1877" s="12"/>
      <c r="AJ1877" s="12" t="s">
        <v>5134</v>
      </c>
      <c r="AK1877" s="12" t="s">
        <v>6399</v>
      </c>
      <c r="AL1877" s="12"/>
      <c r="AM1877" s="12"/>
      <c r="AN1877" s="12"/>
      <c r="AO1877" s="12"/>
      <c r="AP1877" s="12"/>
    </row>
    <row r="1878" spans="1:42">
      <c r="A1878" t="s">
        <v>6407</v>
      </c>
      <c r="B1878" s="8"/>
      <c r="C1878" s="8" t="s">
        <v>6408</v>
      </c>
      <c r="D1878" s="8" t="s">
        <v>4099</v>
      </c>
      <c r="E1878" s="8" t="s">
        <v>120</v>
      </c>
      <c r="F1878" s="8" t="s">
        <v>6409</v>
      </c>
      <c r="G1878" s="8" t="s">
        <v>6409</v>
      </c>
      <c r="H1878" s="9">
        <v>200000</v>
      </c>
      <c r="I1878" s="9">
        <f>[1]!Tabel1[[#This Row],[Honorar]]*[1]!Tabel1[[#This Row],[Sandsynlighed]]</f>
        <v>1800000</v>
      </c>
      <c r="J1878" s="10" t="s">
        <v>342</v>
      </c>
      <c r="K1878" s="1" t="s">
        <v>1861</v>
      </c>
      <c r="L1878" s="17"/>
      <c r="M1878" s="11">
        <v>0.5</v>
      </c>
      <c r="N1878" s="1"/>
      <c r="O1878" s="10">
        <v>46269.651898148149</v>
      </c>
      <c r="P1878" s="10" t="s">
        <v>4507</v>
      </c>
      <c r="Q1878" s="1" t="s">
        <v>72</v>
      </c>
      <c r="R1878" s="8" t="s">
        <v>343</v>
      </c>
      <c r="S187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7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7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7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7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7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7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7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7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7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7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7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7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78" s="12">
        <f ca="1">[1]!Tabel1[[#This Row],[Vægtet Honorar]]*([1]!Tabel1[[#This Row],[Sidst redigeret]]&gt;TODAY()-40)*([1]!Tabel1[[#This Row],[Er i resplan?]]&lt;&gt;"Ja")*([1]!Tabel1[[#This Row],[Status]]="Pågår")</f>
        <v>1800000</v>
      </c>
      <c r="AG1878" s="12">
        <f ca="1">[1]!Tabel1[[#This Row],[Vægtet Honorar]]*([1]!Tabel1[[#This Row],[Sidst redigeret]]&gt;TODAY()-40)*([1]!Tabel1[[#This Row],[Status]]="Pågår")</f>
        <v>1800000</v>
      </c>
      <c r="AH1878" s="13"/>
      <c r="AI1878" s="12"/>
      <c r="AJ1878" s="12" t="s">
        <v>5134</v>
      </c>
      <c r="AK1878" s="12" t="s">
        <v>6399</v>
      </c>
      <c r="AL1878" s="12"/>
      <c r="AM1878" s="12"/>
      <c r="AN1878" s="12"/>
      <c r="AO1878" s="12"/>
      <c r="AP1878" s="12"/>
    </row>
    <row r="1879" spans="1:42">
      <c r="A1879" t="s">
        <v>6410</v>
      </c>
      <c r="B1879" s="8"/>
      <c r="C1879" s="8" t="s">
        <v>6411</v>
      </c>
      <c r="D1879" s="8" t="s">
        <v>44</v>
      </c>
      <c r="E1879" s="8" t="s">
        <v>71</v>
      </c>
      <c r="F1879" s="8" t="s">
        <v>6412</v>
      </c>
      <c r="G1879" s="8" t="s">
        <v>6413</v>
      </c>
      <c r="H1879" s="9">
        <v>300000</v>
      </c>
      <c r="I1879" s="9">
        <f>[1]!Tabel1[[#This Row],[Honorar]]*[1]!Tabel1[[#This Row],[Sandsynlighed]]</f>
        <v>40000</v>
      </c>
      <c r="J1879" s="10" t="s">
        <v>585</v>
      </c>
      <c r="K1879" s="1" t="s">
        <v>2405</v>
      </c>
      <c r="L1879" s="17"/>
      <c r="M1879" s="11">
        <v>0.75</v>
      </c>
      <c r="N1879" s="1"/>
      <c r="O1879" s="10">
        <v>46272.339062500003</v>
      </c>
      <c r="P1879" s="10" t="s">
        <v>4507</v>
      </c>
      <c r="Q1879" s="1" t="s">
        <v>46</v>
      </c>
      <c r="R1879" s="8" t="s">
        <v>343</v>
      </c>
      <c r="S187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7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7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7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7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7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7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7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7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7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7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7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7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79" s="12">
        <f ca="1">[1]!Tabel1[[#This Row],[Vægtet Honorar]]*([1]!Tabel1[[#This Row],[Sidst redigeret]]&gt;TODAY()-40)*([1]!Tabel1[[#This Row],[Er i resplan?]]&lt;&gt;"Ja")*([1]!Tabel1[[#This Row],[Status]]="Pågår")</f>
        <v>40000</v>
      </c>
      <c r="AG1879" s="12">
        <f ca="1">[1]!Tabel1[[#This Row],[Vægtet Honorar]]*([1]!Tabel1[[#This Row],[Sidst redigeret]]&gt;TODAY()-40)*([1]!Tabel1[[#This Row],[Status]]="Pågår")</f>
        <v>40000</v>
      </c>
      <c r="AH1879" s="13"/>
      <c r="AI1879" s="12"/>
      <c r="AJ1879" s="12" t="s">
        <v>5134</v>
      </c>
      <c r="AK1879" s="12" t="s">
        <v>6399</v>
      </c>
      <c r="AL1879" s="12"/>
      <c r="AM1879" s="12"/>
      <c r="AN1879" s="12"/>
      <c r="AO1879" s="12"/>
      <c r="AP1879" s="12"/>
    </row>
    <row r="1880" spans="1:42">
      <c r="A1880" t="s">
        <v>6414</v>
      </c>
      <c r="B1880" s="8"/>
      <c r="C1880" s="8" t="s">
        <v>6415</v>
      </c>
      <c r="D1880" s="8" t="s">
        <v>1604</v>
      </c>
      <c r="E1880" s="8" t="s">
        <v>102</v>
      </c>
      <c r="F1880" s="8" t="s">
        <v>6416</v>
      </c>
      <c r="G1880" s="8" t="s">
        <v>3993</v>
      </c>
      <c r="H1880" s="9">
        <v>375000</v>
      </c>
      <c r="I1880" s="9">
        <f>[1]!Tabel1[[#This Row],[Honorar]]*[1]!Tabel1[[#This Row],[Sandsynlighed]]</f>
        <v>0.05</v>
      </c>
      <c r="J1880" s="10" t="s">
        <v>342</v>
      </c>
      <c r="K1880" s="1" t="s">
        <v>2405</v>
      </c>
      <c r="L1880" s="17"/>
      <c r="M1880" s="11">
        <v>0.75</v>
      </c>
      <c r="N1880" s="1">
        <v>1600</v>
      </c>
      <c r="O1880" s="10">
        <v>46272.491006944445</v>
      </c>
      <c r="P1880" s="10" t="s">
        <v>4507</v>
      </c>
      <c r="Q1880" s="1" t="s">
        <v>72</v>
      </c>
      <c r="R1880" s="8" t="s">
        <v>343</v>
      </c>
      <c r="S188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8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8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8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8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8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8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8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8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8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8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8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8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80" s="12">
        <f ca="1">[1]!Tabel1[[#This Row],[Vægtet Honorar]]*([1]!Tabel1[[#This Row],[Sidst redigeret]]&gt;TODAY()-40)*([1]!Tabel1[[#This Row],[Er i resplan?]]&lt;&gt;"Ja")*([1]!Tabel1[[#This Row],[Status]]="Pågår")</f>
        <v>0.05</v>
      </c>
      <c r="AG1880" s="12">
        <f ca="1">[1]!Tabel1[[#This Row],[Vægtet Honorar]]*([1]!Tabel1[[#This Row],[Sidst redigeret]]&gt;TODAY()-40)*([1]!Tabel1[[#This Row],[Status]]="Pågår")</f>
        <v>0.05</v>
      </c>
      <c r="AH1880" s="13"/>
      <c r="AI1880" s="12"/>
      <c r="AJ1880" s="12" t="s">
        <v>5134</v>
      </c>
      <c r="AK1880" s="12" t="s">
        <v>6399</v>
      </c>
      <c r="AL1880" s="12"/>
      <c r="AM1880" s="12"/>
      <c r="AN1880" s="12"/>
      <c r="AO1880" s="12"/>
      <c r="AP1880" s="12"/>
    </row>
    <row r="1881" spans="1:42">
      <c r="A1881" t="s">
        <v>6417</v>
      </c>
      <c r="B1881" s="8"/>
      <c r="C1881" s="8" t="s">
        <v>6418</v>
      </c>
      <c r="D1881" s="8" t="s">
        <v>6405</v>
      </c>
      <c r="E1881" s="8" t="s">
        <v>120</v>
      </c>
      <c r="F1881" s="8" t="s">
        <v>6419</v>
      </c>
      <c r="G1881" s="8" t="s">
        <v>6419</v>
      </c>
      <c r="H1881" s="9">
        <v>100000</v>
      </c>
      <c r="I1881" s="9">
        <f>[1]!Tabel1[[#This Row],[Honorar]]*[1]!Tabel1[[#This Row],[Sandsynlighed]]</f>
        <v>56250</v>
      </c>
      <c r="J1881" s="10" t="s">
        <v>342</v>
      </c>
      <c r="K1881" s="1" t="s">
        <v>2405</v>
      </c>
      <c r="L1881" s="17"/>
      <c r="M1881" s="11">
        <v>0.5</v>
      </c>
      <c r="N1881" s="1">
        <v>500</v>
      </c>
      <c r="O1881" s="10">
        <v>46272.531631944446</v>
      </c>
      <c r="P1881" s="10" t="s">
        <v>4507</v>
      </c>
      <c r="Q1881" s="1" t="s">
        <v>72</v>
      </c>
      <c r="R1881" s="8" t="s">
        <v>343</v>
      </c>
      <c r="S188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8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8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8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8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8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8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8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8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8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8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8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8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81" s="12">
        <f ca="1">[1]!Tabel1[[#This Row],[Vægtet Honorar]]*([1]!Tabel1[[#This Row],[Sidst redigeret]]&gt;TODAY()-40)*([1]!Tabel1[[#This Row],[Er i resplan?]]&lt;&gt;"Ja")*([1]!Tabel1[[#This Row],[Status]]="Pågår")</f>
        <v>0</v>
      </c>
      <c r="AG1881" s="12">
        <f ca="1">[1]!Tabel1[[#This Row],[Vægtet Honorar]]*([1]!Tabel1[[#This Row],[Sidst redigeret]]&gt;TODAY()-40)*([1]!Tabel1[[#This Row],[Status]]="Pågår")</f>
        <v>56250</v>
      </c>
      <c r="AH1881" s="13"/>
      <c r="AI1881" s="12"/>
      <c r="AJ1881" s="12" t="s">
        <v>5134</v>
      </c>
      <c r="AK1881" s="12" t="s">
        <v>6399</v>
      </c>
      <c r="AL1881" s="12"/>
      <c r="AM1881" s="12"/>
      <c r="AN1881" s="12"/>
      <c r="AO1881" s="12"/>
      <c r="AP1881" s="12"/>
    </row>
    <row r="1882" spans="1:42">
      <c r="A1882" t="s">
        <v>6420</v>
      </c>
      <c r="B1882" s="8"/>
      <c r="C1882" s="8" t="s">
        <v>6418</v>
      </c>
      <c r="D1882" s="8" t="s">
        <v>6405</v>
      </c>
      <c r="E1882" s="8" t="s">
        <v>120</v>
      </c>
      <c r="F1882" s="8" t="s">
        <v>6419</v>
      </c>
      <c r="G1882" s="8" t="s">
        <v>6419</v>
      </c>
      <c r="H1882" s="9">
        <v>100000</v>
      </c>
      <c r="I1882" s="9">
        <f>[1]!Tabel1[[#This Row],[Honorar]]*[1]!Tabel1[[#This Row],[Sandsynlighed]]</f>
        <v>50000</v>
      </c>
      <c r="J1882" s="10" t="s">
        <v>342</v>
      </c>
      <c r="K1882" s="1" t="s">
        <v>2405</v>
      </c>
      <c r="L1882" s="17"/>
      <c r="M1882" s="11">
        <v>0.5</v>
      </c>
      <c r="N1882" s="1">
        <v>500</v>
      </c>
      <c r="O1882" s="10">
        <v>46272.540439814817</v>
      </c>
      <c r="P1882" s="10" t="s">
        <v>4507</v>
      </c>
      <c r="Q1882" s="1" t="s">
        <v>72</v>
      </c>
      <c r="R1882" s="8" t="s">
        <v>343</v>
      </c>
      <c r="S188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8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8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8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8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8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8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8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8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8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8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8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8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82" s="12">
        <f ca="1">[1]!Tabel1[[#This Row],[Vægtet Honorar]]*([1]!Tabel1[[#This Row],[Sidst redigeret]]&gt;TODAY()-40)*([1]!Tabel1[[#This Row],[Er i resplan?]]&lt;&gt;"Ja")*([1]!Tabel1[[#This Row],[Status]]="Pågår")</f>
        <v>50000</v>
      </c>
      <c r="AG1882" s="12">
        <f ca="1">[1]!Tabel1[[#This Row],[Vægtet Honorar]]*([1]!Tabel1[[#This Row],[Sidst redigeret]]&gt;TODAY()-40)*([1]!Tabel1[[#This Row],[Status]]="Pågår")</f>
        <v>50000</v>
      </c>
      <c r="AH1882" s="13"/>
      <c r="AI1882" s="12"/>
      <c r="AJ1882" s="12" t="s">
        <v>5134</v>
      </c>
      <c r="AK1882" s="12" t="s">
        <v>6399</v>
      </c>
      <c r="AL1882" s="12"/>
      <c r="AM1882" s="12"/>
      <c r="AN1882" s="12"/>
      <c r="AO1882" s="12"/>
      <c r="AP1882" s="12"/>
    </row>
    <row r="1883" spans="1:42">
      <c r="A1883" t="s">
        <v>6421</v>
      </c>
      <c r="B1883" s="8"/>
      <c r="C1883" s="8" t="s">
        <v>6422</v>
      </c>
      <c r="D1883" s="8" t="s">
        <v>896</v>
      </c>
      <c r="E1883" s="8" t="s">
        <v>94</v>
      </c>
      <c r="F1883" s="8" t="s">
        <v>6423</v>
      </c>
      <c r="G1883" s="8" t="s">
        <v>2005</v>
      </c>
      <c r="H1883" s="9">
        <v>250000</v>
      </c>
      <c r="I1883" s="9">
        <f>[1]!Tabel1[[#This Row],[Honorar]]*[1]!Tabel1[[#This Row],[Sandsynlighed]]</f>
        <v>100000</v>
      </c>
      <c r="J1883" s="10" t="s">
        <v>342</v>
      </c>
      <c r="K1883" s="1" t="s">
        <v>2405</v>
      </c>
      <c r="L1883" s="17"/>
      <c r="M1883" s="11">
        <v>0.5</v>
      </c>
      <c r="N1883" s="1"/>
      <c r="O1883" s="10">
        <v>46273.315023148149</v>
      </c>
      <c r="P1883" s="10" t="s">
        <v>4507</v>
      </c>
      <c r="Q1883" s="1" t="s">
        <v>72</v>
      </c>
      <c r="R1883" s="8" t="s">
        <v>343</v>
      </c>
      <c r="S188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8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8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8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8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8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8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8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8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8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8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8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8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83" s="12">
        <f ca="1">[1]!Tabel1[[#This Row],[Vægtet Honorar]]*([1]!Tabel1[[#This Row],[Sidst redigeret]]&gt;TODAY()-40)*([1]!Tabel1[[#This Row],[Er i resplan?]]&lt;&gt;"Ja")*([1]!Tabel1[[#This Row],[Status]]="Pågår")</f>
        <v>100000</v>
      </c>
      <c r="AG1883" s="12">
        <f ca="1">[1]!Tabel1[[#This Row],[Vægtet Honorar]]*([1]!Tabel1[[#This Row],[Sidst redigeret]]&gt;TODAY()-40)*([1]!Tabel1[[#This Row],[Status]]="Pågår")</f>
        <v>100000</v>
      </c>
      <c r="AH1883" s="13"/>
      <c r="AI1883" s="12"/>
      <c r="AJ1883" s="12" t="s">
        <v>5134</v>
      </c>
      <c r="AK1883" s="12" t="s">
        <v>6399</v>
      </c>
      <c r="AL1883" s="12"/>
      <c r="AM1883" s="12"/>
      <c r="AN1883" s="12"/>
      <c r="AO1883" s="12"/>
      <c r="AP1883" s="12"/>
    </row>
    <row r="1884" spans="1:42">
      <c r="A1884" t="s">
        <v>6424</v>
      </c>
      <c r="B1884" s="8"/>
      <c r="C1884" s="8" t="s">
        <v>6425</v>
      </c>
      <c r="D1884" s="8" t="s">
        <v>896</v>
      </c>
      <c r="E1884" s="8" t="s">
        <v>94</v>
      </c>
      <c r="F1884" s="8" t="s">
        <v>6426</v>
      </c>
      <c r="G1884" s="8" t="s">
        <v>1305</v>
      </c>
      <c r="H1884" s="9">
        <v>50000</v>
      </c>
      <c r="I1884" s="9">
        <f>[1]!Tabel1[[#This Row],[Honorar]]*[1]!Tabel1[[#This Row],[Sandsynlighed]]</f>
        <v>225000</v>
      </c>
      <c r="J1884" s="10" t="s">
        <v>342</v>
      </c>
      <c r="K1884" s="1" t="s">
        <v>2405</v>
      </c>
      <c r="L1884" s="17"/>
      <c r="M1884" s="11">
        <v>0.5</v>
      </c>
      <c r="N1884" s="1"/>
      <c r="O1884" s="10">
        <v>46279.610300925924</v>
      </c>
      <c r="P1884" s="10" t="s">
        <v>4507</v>
      </c>
      <c r="Q1884" s="1" t="s">
        <v>72</v>
      </c>
      <c r="R1884" s="8" t="s">
        <v>343</v>
      </c>
      <c r="S1884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8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8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8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8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8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8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8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8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8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8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8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8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84" s="12">
        <f ca="1">[1]!Tabel1[[#This Row],[Vægtet Honorar]]*([1]!Tabel1[[#This Row],[Sidst redigeret]]&gt;TODAY()-40)*([1]!Tabel1[[#This Row],[Er i resplan?]]&lt;&gt;"Ja")*([1]!Tabel1[[#This Row],[Status]]="Pågår")</f>
        <v>0</v>
      </c>
      <c r="AG1884" s="12">
        <f ca="1">[1]!Tabel1[[#This Row],[Vægtet Honorar]]*([1]!Tabel1[[#This Row],[Sidst redigeret]]&gt;TODAY()-40)*([1]!Tabel1[[#This Row],[Status]]="Pågår")</f>
        <v>225000</v>
      </c>
      <c r="AH1884" s="13"/>
      <c r="AI1884" s="12"/>
      <c r="AJ1884" s="12" t="s">
        <v>5134</v>
      </c>
      <c r="AK1884" s="12" t="s">
        <v>6399</v>
      </c>
      <c r="AL1884" s="12"/>
      <c r="AM1884" s="12"/>
      <c r="AN1884" s="12"/>
      <c r="AO1884" s="12"/>
      <c r="AP1884" s="12"/>
    </row>
    <row r="1885" spans="1:42">
      <c r="A1885" t="s">
        <v>6429</v>
      </c>
      <c r="B1885" s="8"/>
      <c r="C1885" s="8" t="s">
        <v>6430</v>
      </c>
      <c r="D1885" s="8" t="s">
        <v>70</v>
      </c>
      <c r="E1885" s="8" t="s">
        <v>102</v>
      </c>
      <c r="F1885" s="8" t="s">
        <v>6426</v>
      </c>
      <c r="G1885" s="8" t="s">
        <v>6431</v>
      </c>
      <c r="H1885" s="9">
        <v>50000</v>
      </c>
      <c r="I1885" s="9">
        <f>[1]!Tabel1[[#This Row],[Honorar]]*[1]!Tabel1[[#This Row],[Sandsynlighed]]</f>
        <v>281250</v>
      </c>
      <c r="J1885" s="10" t="s">
        <v>342</v>
      </c>
      <c r="K1885" s="1" t="s">
        <v>2405</v>
      </c>
      <c r="L1885" s="17"/>
      <c r="M1885" s="11">
        <v>0.5</v>
      </c>
      <c r="N1885" s="1"/>
      <c r="O1885" s="10">
        <v>46279.610300925924</v>
      </c>
      <c r="P1885" s="10" t="s">
        <v>4507</v>
      </c>
      <c r="Q1885" s="1" t="s">
        <v>72</v>
      </c>
      <c r="R1885" s="8" t="s">
        <v>343</v>
      </c>
      <c r="S188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8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8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8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8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8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8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8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8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8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8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8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8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85" s="12">
        <f ca="1">[1]!Tabel1[[#This Row],[Vægtet Honorar]]*([1]!Tabel1[[#This Row],[Sidst redigeret]]&gt;TODAY()-40)*([1]!Tabel1[[#This Row],[Er i resplan?]]&lt;&gt;"Ja")*([1]!Tabel1[[#This Row],[Status]]="Pågår")</f>
        <v>281250</v>
      </c>
      <c r="AG1885" s="12">
        <f ca="1">[1]!Tabel1[[#This Row],[Vægtet Honorar]]*([1]!Tabel1[[#This Row],[Sidst redigeret]]&gt;TODAY()-40)*([1]!Tabel1[[#This Row],[Status]]="Pågår")</f>
        <v>281250</v>
      </c>
      <c r="AH1885" s="13"/>
      <c r="AI1885" s="12"/>
      <c r="AJ1885" s="12" t="s">
        <v>5134</v>
      </c>
      <c r="AK1885" s="12" t="s">
        <v>6399</v>
      </c>
      <c r="AL1885" s="12"/>
      <c r="AM1885" s="12"/>
      <c r="AN1885" s="12"/>
      <c r="AO1885" s="12"/>
      <c r="AP1885" s="12"/>
    </row>
    <row r="1886" spans="1:42">
      <c r="A1886" t="s">
        <v>6432</v>
      </c>
      <c r="B1886" s="8"/>
      <c r="C1886" s="8" t="s">
        <v>6433</v>
      </c>
      <c r="D1886" s="8" t="s">
        <v>70</v>
      </c>
      <c r="E1886" s="8" t="s">
        <v>102</v>
      </c>
      <c r="F1886" s="8" t="s">
        <v>6434</v>
      </c>
      <c r="G1886" s="8" t="s">
        <v>5553</v>
      </c>
      <c r="H1886" s="9">
        <v>5000000</v>
      </c>
      <c r="I1886" s="9">
        <f>[1]!Tabel1[[#This Row],[Honorar]]*[1]!Tabel1[[#This Row],[Sandsynlighed]]</f>
        <v>50000</v>
      </c>
      <c r="J1886" s="10" t="s">
        <v>1062</v>
      </c>
      <c r="K1886" s="1" t="s">
        <v>1861</v>
      </c>
      <c r="L1886" s="17"/>
      <c r="M1886" s="11">
        <v>0.5</v>
      </c>
      <c r="N1886" s="1">
        <v>5000</v>
      </c>
      <c r="O1886" s="10">
        <v>46279.610300925924</v>
      </c>
      <c r="P1886" s="10" t="s">
        <v>4507</v>
      </c>
      <c r="Q1886" s="1" t="s">
        <v>46</v>
      </c>
      <c r="R1886" s="8" t="s">
        <v>343</v>
      </c>
      <c r="S188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8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8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8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8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8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8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8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8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8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8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8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8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86" s="12">
        <f ca="1">[1]!Tabel1[[#This Row],[Vægtet Honorar]]*([1]!Tabel1[[#This Row],[Sidst redigeret]]&gt;TODAY()-40)*([1]!Tabel1[[#This Row],[Er i resplan?]]&lt;&gt;"Ja")*([1]!Tabel1[[#This Row],[Status]]="Pågår")</f>
        <v>50000</v>
      </c>
      <c r="AG1886" s="12">
        <f ca="1">[1]!Tabel1[[#This Row],[Vægtet Honorar]]*([1]!Tabel1[[#This Row],[Sidst redigeret]]&gt;TODAY()-40)*([1]!Tabel1[[#This Row],[Status]]="Pågår")</f>
        <v>50000</v>
      </c>
      <c r="AH1886" s="13"/>
      <c r="AI1886" s="12"/>
      <c r="AJ1886" s="12" t="s">
        <v>5134</v>
      </c>
      <c r="AK1886" s="12" t="s">
        <v>6399</v>
      </c>
      <c r="AL1886" s="12"/>
      <c r="AM1886" s="12"/>
      <c r="AN1886" s="12"/>
      <c r="AO1886" s="12"/>
      <c r="AP1886" s="12"/>
    </row>
    <row r="1887" spans="1:42" ht="45">
      <c r="A1887" t="s">
        <v>6435</v>
      </c>
      <c r="B1887" s="8"/>
      <c r="C1887" s="8" t="s">
        <v>6436</v>
      </c>
      <c r="D1887" s="8" t="s">
        <v>70</v>
      </c>
      <c r="E1887" s="8" t="s">
        <v>102</v>
      </c>
      <c r="F1887" s="8" t="s">
        <v>6434</v>
      </c>
      <c r="G1887" s="8" t="s">
        <v>5553</v>
      </c>
      <c r="H1887" s="9">
        <v>500000</v>
      </c>
      <c r="I1887" s="9">
        <f>[1]!Tabel1[[#This Row],[Honorar]]*[1]!Tabel1[[#This Row],[Sandsynlighed]]</f>
        <v>50000</v>
      </c>
      <c r="J1887" s="10" t="s">
        <v>1062</v>
      </c>
      <c r="K1887" s="1" t="s">
        <v>1861</v>
      </c>
      <c r="L1887" s="17" t="s">
        <v>252</v>
      </c>
      <c r="M1887" s="11">
        <v>0.95</v>
      </c>
      <c r="N1887" s="1"/>
      <c r="O1887" s="10">
        <v>46279.610300925924</v>
      </c>
      <c r="P1887" s="10" t="s">
        <v>4507</v>
      </c>
      <c r="Q1887" s="1" t="s">
        <v>46</v>
      </c>
      <c r="R1887" s="8" t="s">
        <v>343</v>
      </c>
      <c r="S188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8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8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8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8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8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8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8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8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8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8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8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8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87" s="12">
        <f ca="1">[1]!Tabel1[[#This Row],[Vægtet Honorar]]*([1]!Tabel1[[#This Row],[Sidst redigeret]]&gt;TODAY()-40)*([1]!Tabel1[[#This Row],[Er i resplan?]]&lt;&gt;"Ja")*([1]!Tabel1[[#This Row],[Status]]="Pågår")</f>
        <v>50000</v>
      </c>
      <c r="AG1887" s="12">
        <f ca="1">[1]!Tabel1[[#This Row],[Vægtet Honorar]]*([1]!Tabel1[[#This Row],[Sidst redigeret]]&gt;TODAY()-40)*([1]!Tabel1[[#This Row],[Status]]="Pågår")</f>
        <v>50000</v>
      </c>
      <c r="AH1887" s="13"/>
      <c r="AI1887" s="12"/>
      <c r="AJ1887" s="12" t="s">
        <v>5134</v>
      </c>
      <c r="AK1887" s="12" t="s">
        <v>6399</v>
      </c>
      <c r="AL1887" s="12"/>
      <c r="AM1887" s="12"/>
      <c r="AN1887" s="12"/>
      <c r="AO1887" s="12"/>
      <c r="AP1887" s="12"/>
    </row>
    <row r="1888" spans="1:42">
      <c r="A1888" t="s">
        <v>6437</v>
      </c>
      <c r="B1888" s="8"/>
      <c r="C1888" s="8" t="s">
        <v>6438</v>
      </c>
      <c r="D1888" s="8" t="s">
        <v>70</v>
      </c>
      <c r="E1888" s="8" t="s">
        <v>102</v>
      </c>
      <c r="F1888" s="8" t="s">
        <v>1538</v>
      </c>
      <c r="G1888" s="8" t="s">
        <v>1538</v>
      </c>
      <c r="H1888" s="9">
        <v>350000</v>
      </c>
      <c r="I1888" s="9">
        <f>[1]!Tabel1[[#This Row],[Honorar]]*[1]!Tabel1[[#This Row],[Sandsynlighed]]</f>
        <v>125000</v>
      </c>
      <c r="J1888" s="10" t="s">
        <v>342</v>
      </c>
      <c r="K1888" s="1" t="s">
        <v>1861</v>
      </c>
      <c r="L1888" s="17"/>
      <c r="M1888" s="11">
        <v>0.95</v>
      </c>
      <c r="N1888" s="1"/>
      <c r="O1888" s="10">
        <v>46279.610300925924</v>
      </c>
      <c r="P1888" s="10" t="s">
        <v>4507</v>
      </c>
      <c r="Q1888" s="1" t="s">
        <v>46</v>
      </c>
      <c r="R1888" s="8" t="s">
        <v>343</v>
      </c>
      <c r="S188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8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8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8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8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8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8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8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8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8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8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8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8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88" s="12">
        <f ca="1">[1]!Tabel1[[#This Row],[Vægtet Honorar]]*([1]!Tabel1[[#This Row],[Sidst redigeret]]&gt;TODAY()-40)*([1]!Tabel1[[#This Row],[Er i resplan?]]&lt;&gt;"Ja")*([1]!Tabel1[[#This Row],[Status]]="Pågår")</f>
        <v>125000</v>
      </c>
      <c r="AG1888" s="12">
        <f ca="1">[1]!Tabel1[[#This Row],[Vægtet Honorar]]*([1]!Tabel1[[#This Row],[Sidst redigeret]]&gt;TODAY()-40)*([1]!Tabel1[[#This Row],[Status]]="Pågår")</f>
        <v>125000</v>
      </c>
      <c r="AH1888" s="13"/>
      <c r="AI1888" s="12"/>
      <c r="AJ1888" s="12" t="s">
        <v>5134</v>
      </c>
      <c r="AK1888" s="12" t="s">
        <v>6399</v>
      </c>
      <c r="AL1888" s="12"/>
      <c r="AM1888" s="12"/>
      <c r="AN1888" s="12"/>
      <c r="AO1888" s="12"/>
      <c r="AP1888" s="12"/>
    </row>
    <row r="1889" spans="1:42" ht="60">
      <c r="A1889" t="s">
        <v>6439</v>
      </c>
      <c r="B1889" s="8"/>
      <c r="C1889" s="8" t="s">
        <v>6440</v>
      </c>
      <c r="D1889" s="8" t="s">
        <v>1771</v>
      </c>
      <c r="E1889" s="8" t="s">
        <v>167</v>
      </c>
      <c r="F1889" s="8" t="s">
        <v>671</v>
      </c>
      <c r="G1889" s="8" t="s">
        <v>671</v>
      </c>
      <c r="H1889" s="9">
        <v>8000000</v>
      </c>
      <c r="I1889" s="9">
        <f>[1]!Tabel1[[#This Row],[Honorar]]*[1]!Tabel1[[#This Row],[Sandsynlighed]]</f>
        <v>25000</v>
      </c>
      <c r="J1889" s="10" t="s">
        <v>2580</v>
      </c>
      <c r="K1889" s="1" t="s">
        <v>2093</v>
      </c>
      <c r="L1889" s="17" t="s">
        <v>6441</v>
      </c>
      <c r="M1889" s="11">
        <v>0.01</v>
      </c>
      <c r="N1889" s="1" t="s">
        <v>6442</v>
      </c>
      <c r="O1889" s="10">
        <v>46279.610300925924</v>
      </c>
      <c r="P1889" s="10"/>
      <c r="Q1889" s="1" t="s">
        <v>72</v>
      </c>
      <c r="R1889" s="8" t="s">
        <v>343</v>
      </c>
      <c r="S188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8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8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8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8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8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8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8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8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8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8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8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8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89" s="12">
        <f ca="1">[1]!Tabel1[[#This Row],[Vægtet Honorar]]*([1]!Tabel1[[#This Row],[Sidst redigeret]]&gt;TODAY()-40)*([1]!Tabel1[[#This Row],[Er i resplan?]]&lt;&gt;"Ja")*([1]!Tabel1[[#This Row],[Status]]="Pågår")</f>
        <v>25000</v>
      </c>
      <c r="AG1889" s="12">
        <f ca="1">[1]!Tabel1[[#This Row],[Vægtet Honorar]]*([1]!Tabel1[[#This Row],[Sidst redigeret]]&gt;TODAY()-40)*([1]!Tabel1[[#This Row],[Status]]="Pågår")</f>
        <v>25000</v>
      </c>
      <c r="AH1889" s="13"/>
      <c r="AI1889" s="12"/>
      <c r="AJ1889" s="12" t="s">
        <v>600</v>
      </c>
      <c r="AK1889" s="12" t="s">
        <v>1100</v>
      </c>
      <c r="AL1889" s="12"/>
      <c r="AM1889" s="12"/>
      <c r="AN1889" s="12"/>
      <c r="AO1889" s="12"/>
      <c r="AP1889" s="12"/>
    </row>
    <row r="1890" spans="1:42" ht="30">
      <c r="A1890" t="s">
        <v>6443</v>
      </c>
      <c r="B1890" s="8"/>
      <c r="C1890" s="8" t="s">
        <v>6444</v>
      </c>
      <c r="D1890" s="8" t="s">
        <v>70</v>
      </c>
      <c r="E1890" s="8" t="s">
        <v>102</v>
      </c>
      <c r="F1890" s="8" t="s">
        <v>6445</v>
      </c>
      <c r="G1890" s="8" t="s">
        <v>6445</v>
      </c>
      <c r="H1890" s="9">
        <v>25000</v>
      </c>
      <c r="I1890" s="9">
        <f>[1]!Tabel1[[#This Row],[Honorar]]*[1]!Tabel1[[#This Row],[Sandsynlighed]]</f>
        <v>25000</v>
      </c>
      <c r="J1890" s="10" t="s">
        <v>585</v>
      </c>
      <c r="K1890" s="1" t="s">
        <v>342</v>
      </c>
      <c r="L1890" s="17" t="s">
        <v>6446</v>
      </c>
      <c r="M1890" s="11">
        <v>0.5</v>
      </c>
      <c r="N1890" s="1"/>
      <c r="O1890" s="10">
        <v>46279.610312500001</v>
      </c>
      <c r="P1890" s="10"/>
      <c r="Q1890" s="1" t="s">
        <v>72</v>
      </c>
      <c r="R1890" s="8" t="s">
        <v>343</v>
      </c>
      <c r="S189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9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9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9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9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9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9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9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9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9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9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9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9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90" s="12">
        <f ca="1">[1]!Tabel1[[#This Row],[Vægtet Honorar]]*([1]!Tabel1[[#This Row],[Sidst redigeret]]&gt;TODAY()-40)*([1]!Tabel1[[#This Row],[Er i resplan?]]&lt;&gt;"Ja")*([1]!Tabel1[[#This Row],[Status]]="Pågår")</f>
        <v>25000</v>
      </c>
      <c r="AG1890" s="12">
        <f ca="1">[1]!Tabel1[[#This Row],[Vægtet Honorar]]*([1]!Tabel1[[#This Row],[Sidst redigeret]]&gt;TODAY()-40)*([1]!Tabel1[[#This Row],[Status]]="Pågår")</f>
        <v>25000</v>
      </c>
      <c r="AH1890" s="13"/>
      <c r="AI1890" s="12"/>
      <c r="AJ1890" s="12" t="s">
        <v>600</v>
      </c>
      <c r="AK1890" s="12" t="s">
        <v>1100</v>
      </c>
      <c r="AL1890" s="12"/>
      <c r="AM1890" s="12"/>
      <c r="AN1890" s="12"/>
      <c r="AO1890" s="12"/>
      <c r="AP1890" s="12"/>
    </row>
    <row r="1891" spans="1:42">
      <c r="A1891" t="s">
        <v>6447</v>
      </c>
      <c r="B1891" s="8"/>
      <c r="C1891" s="8" t="s">
        <v>6448</v>
      </c>
      <c r="D1891" s="8" t="s">
        <v>4254</v>
      </c>
      <c r="E1891" s="8" t="s">
        <v>167</v>
      </c>
      <c r="F1891" s="8" t="s">
        <v>478</v>
      </c>
      <c r="G1891" s="8" t="s">
        <v>478</v>
      </c>
      <c r="H1891" s="9">
        <v>300000</v>
      </c>
      <c r="I1891" s="9">
        <f>[1]!Tabel1[[#This Row],[Honorar]]*[1]!Tabel1[[#This Row],[Sandsynlighed]]</f>
        <v>2500000</v>
      </c>
      <c r="J1891" s="10" t="s">
        <v>585</v>
      </c>
      <c r="K1891" s="1" t="s">
        <v>1323</v>
      </c>
      <c r="L1891" s="17"/>
      <c r="M1891" s="11">
        <v>0.5</v>
      </c>
      <c r="N1891" s="1"/>
      <c r="O1891" s="10">
        <v>46279.610312500001</v>
      </c>
      <c r="P1891" s="10" t="s">
        <v>87</v>
      </c>
      <c r="Q1891" s="1" t="s">
        <v>72</v>
      </c>
      <c r="R1891" s="8" t="s">
        <v>343</v>
      </c>
      <c r="S1891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9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9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9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9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9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9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9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9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9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9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9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9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91" s="12">
        <f ca="1">[1]!Tabel1[[#This Row],[Vægtet Honorar]]*([1]!Tabel1[[#This Row],[Sidst redigeret]]&gt;TODAY()-40)*([1]!Tabel1[[#This Row],[Er i resplan?]]&lt;&gt;"Ja")*([1]!Tabel1[[#This Row],[Status]]="Pågår")</f>
        <v>0</v>
      </c>
      <c r="AG1891" s="12">
        <f ca="1">[1]!Tabel1[[#This Row],[Vægtet Honorar]]*([1]!Tabel1[[#This Row],[Sidst redigeret]]&gt;TODAY()-40)*([1]!Tabel1[[#This Row],[Status]]="Pågår")</f>
        <v>2500000</v>
      </c>
      <c r="AH1891" s="13"/>
      <c r="AI1891" s="12"/>
      <c r="AJ1891" s="12" t="s">
        <v>600</v>
      </c>
      <c r="AK1891" s="12" t="s">
        <v>1100</v>
      </c>
      <c r="AL1891" s="12"/>
      <c r="AM1891" s="12"/>
      <c r="AN1891" s="12"/>
      <c r="AO1891" s="12"/>
      <c r="AP1891" s="12"/>
    </row>
    <row r="1892" spans="1:42">
      <c r="A1892" t="s">
        <v>6449</v>
      </c>
      <c r="B1892" s="8"/>
      <c r="C1892" s="8" t="s">
        <v>6450</v>
      </c>
      <c r="D1892" s="8" t="s">
        <v>158</v>
      </c>
      <c r="E1892" s="8" t="s">
        <v>167</v>
      </c>
      <c r="F1892" s="8" t="s">
        <v>4941</v>
      </c>
      <c r="G1892" s="8" t="s">
        <v>4941</v>
      </c>
      <c r="H1892" s="9">
        <v>1</v>
      </c>
      <c r="I1892" s="9">
        <f>[1]!Tabel1[[#This Row],[Honorar]]*[1]!Tabel1[[#This Row],[Sandsynlighed]]</f>
        <v>475000</v>
      </c>
      <c r="J1892" s="10" t="s">
        <v>342</v>
      </c>
      <c r="K1892" s="1" t="s">
        <v>4300</v>
      </c>
      <c r="L1892" s="17"/>
      <c r="M1892" s="11">
        <v>0.5</v>
      </c>
      <c r="N1892" s="1"/>
      <c r="O1892" s="10">
        <v>46279.610312500001</v>
      </c>
      <c r="P1892" s="10" t="s">
        <v>87</v>
      </c>
      <c r="Q1892" s="1" t="s">
        <v>72</v>
      </c>
      <c r="R1892" s="8" t="s">
        <v>343</v>
      </c>
      <c r="S1892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9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9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9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9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9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9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9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9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9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9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9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9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92" s="12">
        <f ca="1">[1]!Tabel1[[#This Row],[Vægtet Honorar]]*([1]!Tabel1[[#This Row],[Sidst redigeret]]&gt;TODAY()-40)*([1]!Tabel1[[#This Row],[Er i resplan?]]&lt;&gt;"Ja")*([1]!Tabel1[[#This Row],[Status]]="Pågår")</f>
        <v>0</v>
      </c>
      <c r="AG1892" s="12">
        <f ca="1">[1]!Tabel1[[#This Row],[Vægtet Honorar]]*([1]!Tabel1[[#This Row],[Sidst redigeret]]&gt;TODAY()-40)*([1]!Tabel1[[#This Row],[Status]]="Pågår")</f>
        <v>475000</v>
      </c>
      <c r="AH1892" s="13"/>
      <c r="AI1892" s="12"/>
      <c r="AJ1892" s="12" t="s">
        <v>600</v>
      </c>
      <c r="AK1892" s="12" t="s">
        <v>1100</v>
      </c>
      <c r="AL1892" s="12"/>
      <c r="AM1892" s="12"/>
      <c r="AN1892" s="12"/>
      <c r="AO1892" s="12"/>
      <c r="AP1892" s="12"/>
    </row>
    <row r="1893" spans="1:42">
      <c r="A1893" t="s">
        <v>6451</v>
      </c>
      <c r="B1893" s="8"/>
      <c r="C1893" s="8" t="s">
        <v>6452</v>
      </c>
      <c r="D1893" s="8" t="s">
        <v>896</v>
      </c>
      <c r="E1893" s="8" t="s">
        <v>94</v>
      </c>
      <c r="F1893" s="8" t="s">
        <v>3071</v>
      </c>
      <c r="G1893" s="8" t="s">
        <v>1305</v>
      </c>
      <c r="H1893" s="9">
        <v>500000</v>
      </c>
      <c r="I1893" s="9">
        <f>[1]!Tabel1[[#This Row],[Honorar]]*[1]!Tabel1[[#This Row],[Sandsynlighed]]</f>
        <v>332500</v>
      </c>
      <c r="J1893" s="10" t="s">
        <v>1062</v>
      </c>
      <c r="K1893" s="1" t="s">
        <v>4300</v>
      </c>
      <c r="L1893" s="17"/>
      <c r="M1893" s="11">
        <v>0.01</v>
      </c>
      <c r="N1893" s="1"/>
      <c r="O1893" s="10">
        <v>46279.610312500001</v>
      </c>
      <c r="P1893" s="10"/>
      <c r="Q1893" s="1" t="s">
        <v>72</v>
      </c>
      <c r="R1893" s="8" t="s">
        <v>343</v>
      </c>
      <c r="S1893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9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9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9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9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9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9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9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9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9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9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9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9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93" s="12">
        <f ca="1">[1]!Tabel1[[#This Row],[Vægtet Honorar]]*([1]!Tabel1[[#This Row],[Sidst redigeret]]&gt;TODAY()-40)*([1]!Tabel1[[#This Row],[Er i resplan?]]&lt;&gt;"Ja")*([1]!Tabel1[[#This Row],[Status]]="Pågår")</f>
        <v>0</v>
      </c>
      <c r="AG1893" s="12">
        <f ca="1">[1]!Tabel1[[#This Row],[Vægtet Honorar]]*([1]!Tabel1[[#This Row],[Sidst redigeret]]&gt;TODAY()-40)*([1]!Tabel1[[#This Row],[Status]]="Pågår")</f>
        <v>332500</v>
      </c>
      <c r="AH1893" s="13"/>
      <c r="AI1893" s="12"/>
      <c r="AJ1893" s="12" t="s">
        <v>1305</v>
      </c>
      <c r="AK1893" s="12"/>
      <c r="AL1893" s="12"/>
      <c r="AM1893" s="12"/>
      <c r="AN1893" s="12"/>
      <c r="AO1893" s="12"/>
      <c r="AP1893" s="12"/>
    </row>
    <row r="1894" spans="1:42">
      <c r="A1894" t="s">
        <v>6453</v>
      </c>
      <c r="B1894" s="8"/>
      <c r="C1894" s="8" t="s">
        <v>6454</v>
      </c>
      <c r="D1894" s="8" t="s">
        <v>896</v>
      </c>
      <c r="E1894" s="8" t="s">
        <v>94</v>
      </c>
      <c r="F1894" s="8" t="s">
        <v>4055</v>
      </c>
      <c r="G1894" s="8" t="s">
        <v>6455</v>
      </c>
      <c r="H1894" s="9">
        <v>5000000</v>
      </c>
      <c r="I1894" s="9">
        <f>[1]!Tabel1[[#This Row],[Honorar]]*[1]!Tabel1[[#This Row],[Sandsynlighed]]</f>
        <v>80000</v>
      </c>
      <c r="J1894" s="10" t="s">
        <v>1062</v>
      </c>
      <c r="K1894" s="1" t="s">
        <v>4300</v>
      </c>
      <c r="L1894" s="17"/>
      <c r="M1894" s="11">
        <v>0.01</v>
      </c>
      <c r="N1894" s="1"/>
      <c r="O1894" s="10">
        <v>46279.489687499998</v>
      </c>
      <c r="P1894" s="10"/>
      <c r="Q1894" s="1" t="s">
        <v>72</v>
      </c>
      <c r="R1894" s="8" t="s">
        <v>343</v>
      </c>
      <c r="S189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9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9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9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9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9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9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9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9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9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9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9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9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94" s="12">
        <f ca="1">[1]!Tabel1[[#This Row],[Vægtet Honorar]]*([1]!Tabel1[[#This Row],[Sidst redigeret]]&gt;TODAY()-40)*([1]!Tabel1[[#This Row],[Er i resplan?]]&lt;&gt;"Ja")*([1]!Tabel1[[#This Row],[Status]]="Pågår")</f>
        <v>80000</v>
      </c>
      <c r="AG1894" s="12">
        <f ca="1">[1]!Tabel1[[#This Row],[Vægtet Honorar]]*([1]!Tabel1[[#This Row],[Sidst redigeret]]&gt;TODAY()-40)*([1]!Tabel1[[#This Row],[Status]]="Pågår")</f>
        <v>80000</v>
      </c>
      <c r="AH1894" s="13"/>
      <c r="AI1894" s="12"/>
      <c r="AJ1894" s="12" t="s">
        <v>2005</v>
      </c>
      <c r="AK1894" s="12" t="s">
        <v>6455</v>
      </c>
      <c r="AL1894" s="12"/>
      <c r="AM1894" s="12"/>
      <c r="AN1894" s="12"/>
      <c r="AO1894" s="12"/>
      <c r="AP1894" s="12"/>
    </row>
    <row r="1895" spans="1:42">
      <c r="A1895" t="s">
        <v>6456</v>
      </c>
      <c r="B1895" s="8"/>
      <c r="C1895" s="8" t="s">
        <v>6457</v>
      </c>
      <c r="D1895" s="8" t="s">
        <v>896</v>
      </c>
      <c r="E1895" s="8" t="s">
        <v>94</v>
      </c>
      <c r="F1895" s="8" t="s">
        <v>3071</v>
      </c>
      <c r="G1895" s="8" t="s">
        <v>6458</v>
      </c>
      <c r="H1895" s="9">
        <v>2000000</v>
      </c>
      <c r="I1895" s="9">
        <f>[1]!Tabel1[[#This Row],[Honorar]]*[1]!Tabel1[[#This Row],[Sandsynlighed]]</f>
        <v>12500</v>
      </c>
      <c r="J1895" s="10" t="s">
        <v>1062</v>
      </c>
      <c r="K1895" s="1" t="s">
        <v>4300</v>
      </c>
      <c r="L1895" s="17"/>
      <c r="M1895" s="11">
        <v>0.01</v>
      </c>
      <c r="N1895" s="1"/>
      <c r="O1895" s="10">
        <v>46279.500659722224</v>
      </c>
      <c r="P1895" s="10"/>
      <c r="Q1895" s="1" t="s">
        <v>72</v>
      </c>
      <c r="R1895" s="8" t="s">
        <v>343</v>
      </c>
      <c r="S1895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9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9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9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9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9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9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9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9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9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9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9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9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95" s="12">
        <f ca="1">[1]!Tabel1[[#This Row],[Vægtet Honorar]]*([1]!Tabel1[[#This Row],[Sidst redigeret]]&gt;TODAY()-40)*([1]!Tabel1[[#This Row],[Er i resplan?]]&lt;&gt;"Ja")*([1]!Tabel1[[#This Row],[Status]]="Pågår")</f>
        <v>12500</v>
      </c>
      <c r="AG1895" s="12">
        <f ca="1">[1]!Tabel1[[#This Row],[Vægtet Honorar]]*([1]!Tabel1[[#This Row],[Sidst redigeret]]&gt;TODAY()-40)*([1]!Tabel1[[#This Row],[Status]]="Pågår")</f>
        <v>12500</v>
      </c>
      <c r="AH1895" s="13"/>
      <c r="AI1895" s="12"/>
      <c r="AJ1895" s="12" t="s">
        <v>6458</v>
      </c>
      <c r="AK1895" s="12"/>
      <c r="AL1895" s="12"/>
      <c r="AM1895" s="12"/>
      <c r="AN1895" s="12"/>
      <c r="AO1895" s="12"/>
      <c r="AP1895" s="12"/>
    </row>
    <row r="1896" spans="1:42" ht="30">
      <c r="A1896" t="s">
        <v>6459</v>
      </c>
      <c r="B1896" s="8"/>
      <c r="C1896" s="8" t="s">
        <v>6460</v>
      </c>
      <c r="D1896" s="8" t="s">
        <v>57</v>
      </c>
      <c r="E1896" s="8" t="s">
        <v>167</v>
      </c>
      <c r="F1896" s="8" t="s">
        <v>6461</v>
      </c>
      <c r="G1896" s="8" t="s">
        <v>6461</v>
      </c>
      <c r="H1896" s="9">
        <v>5000000</v>
      </c>
      <c r="I1896" s="9">
        <f>[1]!Tabel1[[#This Row],[Honorar]]*[1]!Tabel1[[#This Row],[Sandsynlighed]]</f>
        <v>150000</v>
      </c>
      <c r="J1896" s="10" t="s">
        <v>1062</v>
      </c>
      <c r="K1896" s="1" t="s">
        <v>4300</v>
      </c>
      <c r="L1896" s="17" t="s">
        <v>6462</v>
      </c>
      <c r="M1896" s="11">
        <v>0.01</v>
      </c>
      <c r="N1896" s="1">
        <v>35000</v>
      </c>
      <c r="O1896" s="10">
        <v>46281.507847222223</v>
      </c>
      <c r="P1896" s="10"/>
      <c r="Q1896" s="1" t="s">
        <v>72</v>
      </c>
      <c r="R1896" s="8" t="s">
        <v>343</v>
      </c>
      <c r="S189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9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9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9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9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9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9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9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9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9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9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9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9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96" s="12">
        <f ca="1">[1]!Tabel1[[#This Row],[Vægtet Honorar]]*([1]!Tabel1[[#This Row],[Sidst redigeret]]&gt;TODAY()-40)*([1]!Tabel1[[#This Row],[Er i resplan?]]&lt;&gt;"Ja")*([1]!Tabel1[[#This Row],[Status]]="Pågår")</f>
        <v>150000</v>
      </c>
      <c r="AG1896" s="12">
        <f ca="1">[1]!Tabel1[[#This Row],[Vægtet Honorar]]*([1]!Tabel1[[#This Row],[Sidst redigeret]]&gt;TODAY()-40)*([1]!Tabel1[[#This Row],[Status]]="Pågår")</f>
        <v>150000</v>
      </c>
      <c r="AH1896" s="13"/>
      <c r="AI1896" s="12"/>
      <c r="AJ1896" s="12" t="s">
        <v>6463</v>
      </c>
      <c r="AK1896" s="12" t="s">
        <v>442</v>
      </c>
      <c r="AL1896" s="12"/>
      <c r="AM1896" s="12"/>
      <c r="AN1896" s="12"/>
      <c r="AO1896" s="12"/>
      <c r="AP1896" s="12"/>
    </row>
    <row r="1897" spans="1:42" ht="90">
      <c r="A1897" t="s">
        <v>6464</v>
      </c>
      <c r="B1897" s="8"/>
      <c r="C1897" s="8" t="s">
        <v>6465</v>
      </c>
      <c r="D1897" s="8" t="s">
        <v>720</v>
      </c>
      <c r="E1897" s="8" t="s">
        <v>167</v>
      </c>
      <c r="F1897" s="8" t="s">
        <v>671</v>
      </c>
      <c r="G1897" s="8" t="s">
        <v>671</v>
      </c>
      <c r="H1897" s="9">
        <v>1600000</v>
      </c>
      <c r="I1897" s="9">
        <f>[1]!Tabel1[[#This Row],[Honorar]]*[1]!Tabel1[[#This Row],[Sandsynlighed]]</f>
        <v>0.5</v>
      </c>
      <c r="J1897" s="10" t="s">
        <v>2105</v>
      </c>
      <c r="K1897" s="1" t="s">
        <v>4300</v>
      </c>
      <c r="L1897" s="17" t="s">
        <v>6466</v>
      </c>
      <c r="M1897" s="11">
        <v>0.01</v>
      </c>
      <c r="N1897" s="1">
        <v>1700</v>
      </c>
      <c r="O1897" s="10">
        <v>46280.412048611113</v>
      </c>
      <c r="P1897" s="10"/>
      <c r="Q1897" s="1" t="s">
        <v>72</v>
      </c>
      <c r="R1897" s="8" t="s">
        <v>343</v>
      </c>
      <c r="S189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9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9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9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9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9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9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9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9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9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9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9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9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97" s="12">
        <f ca="1">[1]!Tabel1[[#This Row],[Vægtet Honorar]]*([1]!Tabel1[[#This Row],[Sidst redigeret]]&gt;TODAY()-40)*([1]!Tabel1[[#This Row],[Er i resplan?]]&lt;&gt;"Ja")*([1]!Tabel1[[#This Row],[Status]]="Pågår")</f>
        <v>0.5</v>
      </c>
      <c r="AG1897" s="12">
        <f ca="1">[1]!Tabel1[[#This Row],[Vægtet Honorar]]*([1]!Tabel1[[#This Row],[Sidst redigeret]]&gt;TODAY()-40)*([1]!Tabel1[[#This Row],[Status]]="Pågår")</f>
        <v>0.5</v>
      </c>
      <c r="AH1897" s="13"/>
      <c r="AI1897" s="12"/>
      <c r="AJ1897" s="12" t="s">
        <v>6467</v>
      </c>
      <c r="AK1897" s="12"/>
      <c r="AL1897" s="12"/>
      <c r="AM1897" s="12"/>
      <c r="AN1897" s="12"/>
      <c r="AO1897" s="12"/>
      <c r="AP1897" s="12"/>
    </row>
    <row r="1898" spans="1:42">
      <c r="A1898" t="s">
        <v>6468</v>
      </c>
      <c r="B1898" s="8"/>
      <c r="C1898" s="8" t="s">
        <v>6469</v>
      </c>
      <c r="D1898" s="8" t="s">
        <v>6470</v>
      </c>
      <c r="E1898" s="8" t="s">
        <v>120</v>
      </c>
      <c r="F1898" s="8" t="s">
        <v>6471</v>
      </c>
      <c r="G1898" s="8" t="s">
        <v>6471</v>
      </c>
      <c r="H1898" s="9">
        <v>1000000</v>
      </c>
      <c r="I1898" s="9">
        <f>[1]!Tabel1[[#This Row],[Honorar]]*[1]!Tabel1[[#This Row],[Sandsynlighed]]</f>
        <v>5000</v>
      </c>
      <c r="J1898" s="10" t="s">
        <v>1062</v>
      </c>
      <c r="K1898" s="1" t="s">
        <v>1861</v>
      </c>
      <c r="L1898" s="17"/>
      <c r="M1898" s="11">
        <v>0.5</v>
      </c>
      <c r="N1898" s="1"/>
      <c r="O1898" s="10">
        <v>46280.725729166668</v>
      </c>
      <c r="P1898" s="10" t="s">
        <v>4507</v>
      </c>
      <c r="Q1898" s="1" t="s">
        <v>72</v>
      </c>
      <c r="R1898" s="8" t="s">
        <v>343</v>
      </c>
      <c r="S1898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98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98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98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98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98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98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98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98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98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98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98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98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98" s="12">
        <f ca="1">[1]!Tabel1[[#This Row],[Vægtet Honorar]]*([1]!Tabel1[[#This Row],[Sidst redigeret]]&gt;TODAY()-40)*([1]!Tabel1[[#This Row],[Er i resplan?]]&lt;&gt;"Ja")*([1]!Tabel1[[#This Row],[Status]]="Pågår")</f>
        <v>5000</v>
      </c>
      <c r="AG1898" s="12">
        <f ca="1">[1]!Tabel1[[#This Row],[Vægtet Honorar]]*([1]!Tabel1[[#This Row],[Sidst redigeret]]&gt;TODAY()-40)*([1]!Tabel1[[#This Row],[Status]]="Pågår")</f>
        <v>5000</v>
      </c>
      <c r="AH1898" s="13"/>
      <c r="AI1898" s="12"/>
      <c r="AJ1898" s="12"/>
      <c r="AK1898" s="12"/>
      <c r="AL1898" s="12"/>
      <c r="AM1898" s="12"/>
      <c r="AN1898" s="12"/>
      <c r="AO1898" s="12"/>
      <c r="AP1898" s="12"/>
    </row>
    <row r="1899" spans="1:42">
      <c r="A1899" t="s">
        <v>6472</v>
      </c>
      <c r="B1899" s="8"/>
      <c r="C1899" s="8" t="s">
        <v>6473</v>
      </c>
      <c r="D1899" s="8" t="s">
        <v>4254</v>
      </c>
      <c r="E1899" s="8" t="s">
        <v>167</v>
      </c>
      <c r="F1899" s="8" t="s">
        <v>1127</v>
      </c>
      <c r="G1899" s="8" t="s">
        <v>5836</v>
      </c>
      <c r="H1899" s="9">
        <v>750000</v>
      </c>
      <c r="I1899" s="9">
        <f>[1]!Tabel1[[#This Row],[Honorar]]*[1]!Tabel1[[#This Row],[Sandsynlighed]]</f>
        <v>50000</v>
      </c>
      <c r="J1899" s="10" t="s">
        <v>585</v>
      </c>
      <c r="K1899" s="1" t="s">
        <v>1709</v>
      </c>
      <c r="L1899" s="17"/>
      <c r="M1899" s="11">
        <v>0.5</v>
      </c>
      <c r="N1899" s="1"/>
      <c r="O1899" s="10">
        <v>46280.919571759259</v>
      </c>
      <c r="P1899" s="10" t="s">
        <v>4507</v>
      </c>
      <c r="Q1899" s="1" t="s">
        <v>72</v>
      </c>
      <c r="R1899" s="8" t="s">
        <v>343</v>
      </c>
      <c r="S1899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899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899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899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899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899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899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899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899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899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899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899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899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899" s="12">
        <f ca="1">[1]!Tabel1[[#This Row],[Vægtet Honorar]]*([1]!Tabel1[[#This Row],[Sidst redigeret]]&gt;TODAY()-40)*([1]!Tabel1[[#This Row],[Er i resplan?]]&lt;&gt;"Ja")*([1]!Tabel1[[#This Row],[Status]]="Pågår")</f>
        <v>50000</v>
      </c>
      <c r="AG1899" s="12">
        <f ca="1">[1]!Tabel1[[#This Row],[Vægtet Honorar]]*([1]!Tabel1[[#This Row],[Sidst redigeret]]&gt;TODAY()-40)*([1]!Tabel1[[#This Row],[Status]]="Pågår")</f>
        <v>50000</v>
      </c>
      <c r="AH1899" s="13"/>
      <c r="AI1899" s="12"/>
      <c r="AJ1899" s="12"/>
      <c r="AK1899" s="12"/>
      <c r="AL1899" s="12"/>
      <c r="AM1899" s="12"/>
      <c r="AN1899" s="12"/>
      <c r="AO1899" s="12"/>
      <c r="AP1899" s="12"/>
    </row>
    <row r="1900" spans="1:42">
      <c r="A1900" t="s">
        <v>6474</v>
      </c>
      <c r="B1900" s="8"/>
      <c r="C1900" s="8" t="s">
        <v>6475</v>
      </c>
      <c r="D1900" s="8" t="s">
        <v>6476</v>
      </c>
      <c r="E1900" s="8" t="s">
        <v>71</v>
      </c>
      <c r="F1900" s="8" t="s">
        <v>888</v>
      </c>
      <c r="G1900" s="8" t="s">
        <v>888</v>
      </c>
      <c r="H1900" s="9">
        <v>100000</v>
      </c>
      <c r="I1900" s="9">
        <f>[1]!Tabel1[[#This Row],[Honorar]]*[1]!Tabel1[[#This Row],[Sandsynlighed]]</f>
        <v>20000</v>
      </c>
      <c r="J1900" s="10" t="s">
        <v>585</v>
      </c>
      <c r="K1900" s="1" t="s">
        <v>2405</v>
      </c>
      <c r="L1900" s="17"/>
      <c r="M1900" s="11">
        <v>0.5</v>
      </c>
      <c r="N1900" s="1"/>
      <c r="O1900" s="10">
        <v>46281.363506944443</v>
      </c>
      <c r="P1900" s="10" t="s">
        <v>4507</v>
      </c>
      <c r="Q1900" s="1" t="s">
        <v>46</v>
      </c>
      <c r="R1900" s="8" t="s">
        <v>343</v>
      </c>
      <c r="S1900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900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900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900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900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900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900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900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900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900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900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900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900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900" s="12">
        <f ca="1">[1]!Tabel1[[#This Row],[Vægtet Honorar]]*([1]!Tabel1[[#This Row],[Sidst redigeret]]&gt;TODAY()-40)*([1]!Tabel1[[#This Row],[Er i resplan?]]&lt;&gt;"Ja")*([1]!Tabel1[[#This Row],[Status]]="Pågår")</f>
        <v>20000</v>
      </c>
      <c r="AG1900" s="12">
        <f ca="1">[1]!Tabel1[[#This Row],[Vægtet Honorar]]*([1]!Tabel1[[#This Row],[Sidst redigeret]]&gt;TODAY()-40)*([1]!Tabel1[[#This Row],[Status]]="Pågår")</f>
        <v>20000</v>
      </c>
      <c r="AH1900" s="13"/>
      <c r="AI1900" s="12"/>
      <c r="AJ1900" s="12"/>
      <c r="AK1900" s="12"/>
      <c r="AL1900" s="12"/>
      <c r="AM1900" s="12"/>
      <c r="AN1900" s="12"/>
      <c r="AO1900" s="12"/>
      <c r="AP1900" s="12"/>
    </row>
    <row r="1901" spans="1:42" ht="45">
      <c r="A1901" t="s">
        <v>6477</v>
      </c>
      <c r="B1901" s="8"/>
      <c r="C1901" s="8" t="s">
        <v>6478</v>
      </c>
      <c r="D1901" s="8" t="s">
        <v>1771</v>
      </c>
      <c r="E1901" s="8" t="s">
        <v>167</v>
      </c>
      <c r="F1901" s="8" t="s">
        <v>6479</v>
      </c>
      <c r="G1901" s="8" t="s">
        <v>6480</v>
      </c>
      <c r="H1901" s="9">
        <v>900000</v>
      </c>
      <c r="I1901" s="9">
        <f>[1]!Tabel1[[#This Row],[Honorar]]*[1]!Tabel1[[#This Row],[Sandsynlighed]]</f>
        <v>50000</v>
      </c>
      <c r="J1901" s="10" t="s">
        <v>1430</v>
      </c>
      <c r="K1901" s="1" t="s">
        <v>2624</v>
      </c>
      <c r="L1901" s="17" t="s">
        <v>6481</v>
      </c>
      <c r="M1901" s="11">
        <v>0.01</v>
      </c>
      <c r="N1901" s="1" t="s">
        <v>6482</v>
      </c>
      <c r="O1901" s="10">
        <v>46281.381053240744</v>
      </c>
      <c r="P1901" s="10"/>
      <c r="Q1901" s="1" t="s">
        <v>72</v>
      </c>
      <c r="R1901" s="8" t="s">
        <v>343</v>
      </c>
      <c r="S1901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901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901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901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901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901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901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901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901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901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901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901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901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901" s="12">
        <f ca="1">[1]!Tabel1[[#This Row],[Vægtet Honorar]]*([1]!Tabel1[[#This Row],[Sidst redigeret]]&gt;TODAY()-40)*([1]!Tabel1[[#This Row],[Er i resplan?]]&lt;&gt;"Ja")*([1]!Tabel1[[#This Row],[Status]]="Pågår")</f>
        <v>50000</v>
      </c>
      <c r="AG1901" s="12">
        <f ca="1">[1]!Tabel1[[#This Row],[Vægtet Honorar]]*([1]!Tabel1[[#This Row],[Sidst redigeret]]&gt;TODAY()-40)*([1]!Tabel1[[#This Row],[Status]]="Pågår")</f>
        <v>50000</v>
      </c>
      <c r="AH1901" s="13"/>
      <c r="AI1901" s="12"/>
      <c r="AJ1901" s="12"/>
      <c r="AK1901" s="12" t="s">
        <v>6483</v>
      </c>
      <c r="AL1901" s="12"/>
      <c r="AM1901" s="12"/>
      <c r="AN1901" s="12"/>
      <c r="AO1901" s="12"/>
      <c r="AP1901" s="12"/>
    </row>
    <row r="1902" spans="1:42">
      <c r="A1902" t="s">
        <v>6484</v>
      </c>
      <c r="B1902" s="8"/>
      <c r="C1902" s="8" t="s">
        <v>6485</v>
      </c>
      <c r="D1902" s="8" t="s">
        <v>720</v>
      </c>
      <c r="E1902" s="8" t="s">
        <v>71</v>
      </c>
      <c r="F1902" s="8" t="s">
        <v>721</v>
      </c>
      <c r="G1902" s="8" t="s">
        <v>6486</v>
      </c>
      <c r="H1902" s="9">
        <v>1500000</v>
      </c>
      <c r="I1902" s="9">
        <f>[1]!Tabel1[[#This Row],[Honorar]]*[1]!Tabel1[[#This Row],[Sandsynlighed]]</f>
        <v>16000</v>
      </c>
      <c r="J1902" s="10" t="s">
        <v>1062</v>
      </c>
      <c r="K1902" s="1" t="s">
        <v>1430</v>
      </c>
      <c r="L1902" s="17"/>
      <c r="M1902" s="11">
        <v>0.01</v>
      </c>
      <c r="N1902" s="1">
        <v>2200</v>
      </c>
      <c r="O1902" s="10">
        <v>46281.422835648147</v>
      </c>
      <c r="P1902" s="10"/>
      <c r="Q1902" s="1" t="s">
        <v>72</v>
      </c>
      <c r="R1902" s="8" t="s">
        <v>343</v>
      </c>
      <c r="S1902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902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902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902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902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902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902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902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902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902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902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902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902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902" s="12">
        <f ca="1">[1]!Tabel1[[#This Row],[Vægtet Honorar]]*([1]!Tabel1[[#This Row],[Sidst redigeret]]&gt;TODAY()-40)*([1]!Tabel1[[#This Row],[Er i resplan?]]&lt;&gt;"Ja")*([1]!Tabel1[[#This Row],[Status]]="Pågår")</f>
        <v>16000</v>
      </c>
      <c r="AG1902" s="12">
        <f ca="1">[1]!Tabel1[[#This Row],[Vægtet Honorar]]*([1]!Tabel1[[#This Row],[Sidst redigeret]]&gt;TODAY()-40)*([1]!Tabel1[[#This Row],[Status]]="Pågår")</f>
        <v>16000</v>
      </c>
      <c r="AH1902" s="13"/>
      <c r="AI1902" s="12"/>
      <c r="AJ1902" s="12" t="s">
        <v>1864</v>
      </c>
      <c r="AK1902" s="12"/>
      <c r="AL1902" s="12"/>
      <c r="AM1902" s="12"/>
      <c r="AN1902" s="12"/>
      <c r="AO1902" s="12"/>
      <c r="AP1902" s="12"/>
    </row>
    <row r="1903" spans="1:42">
      <c r="A1903" t="s">
        <v>6487</v>
      </c>
      <c r="B1903" s="8"/>
      <c r="C1903" s="8" t="s">
        <v>6488</v>
      </c>
      <c r="D1903" s="8" t="s">
        <v>1771</v>
      </c>
      <c r="E1903" s="8" t="s">
        <v>167</v>
      </c>
      <c r="F1903" s="8" t="s">
        <v>4589</v>
      </c>
      <c r="G1903" s="8" t="s">
        <v>4589</v>
      </c>
      <c r="H1903" s="9">
        <v>500000</v>
      </c>
      <c r="I1903" s="9">
        <f>[1]!Tabel1[[#This Row],[Honorar]]*[1]!Tabel1[[#This Row],[Sandsynlighed]]</f>
        <v>500000</v>
      </c>
      <c r="J1903" s="10" t="s">
        <v>342</v>
      </c>
      <c r="K1903" s="1" t="s">
        <v>1861</v>
      </c>
      <c r="L1903" s="17"/>
      <c r="M1903" s="11">
        <v>0.33</v>
      </c>
      <c r="N1903" s="1" t="s">
        <v>6489</v>
      </c>
      <c r="O1903" s="10">
        <v>46281.619016203702</v>
      </c>
      <c r="P1903" s="10" t="s">
        <v>46</v>
      </c>
      <c r="Q1903" s="1" t="s">
        <v>72</v>
      </c>
      <c r="R1903" s="8" t="s">
        <v>343</v>
      </c>
      <c r="S1903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903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903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903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903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903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903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903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903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903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903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903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903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903" s="12">
        <f ca="1">[1]!Tabel1[[#This Row],[Vægtet Honorar]]*([1]!Tabel1[[#This Row],[Sidst redigeret]]&gt;TODAY()-40)*([1]!Tabel1[[#This Row],[Er i resplan?]]&lt;&gt;"Ja")*([1]!Tabel1[[#This Row],[Status]]="Pågår")</f>
        <v>500000</v>
      </c>
      <c r="AG1903" s="12">
        <f ca="1">[1]!Tabel1[[#This Row],[Vægtet Honorar]]*([1]!Tabel1[[#This Row],[Sidst redigeret]]&gt;TODAY()-40)*([1]!Tabel1[[#This Row],[Status]]="Pågår")</f>
        <v>500000</v>
      </c>
      <c r="AH1903" s="13"/>
      <c r="AI1903" s="12"/>
      <c r="AJ1903" s="12"/>
      <c r="AK1903" s="12"/>
      <c r="AL1903" s="12"/>
      <c r="AM1903" s="12"/>
      <c r="AN1903" s="12"/>
      <c r="AO1903" s="12"/>
      <c r="AP1903" s="12"/>
    </row>
    <row r="1904" spans="1:42">
      <c r="A1904" t="s">
        <v>6490</v>
      </c>
      <c r="B1904" s="8"/>
      <c r="C1904" s="8" t="s">
        <v>6491</v>
      </c>
      <c r="D1904" s="8" t="s">
        <v>1604</v>
      </c>
      <c r="E1904" s="8" t="s">
        <v>102</v>
      </c>
      <c r="F1904" s="8" t="s">
        <v>6492</v>
      </c>
      <c r="G1904" s="8" t="s">
        <v>3993</v>
      </c>
      <c r="H1904" s="9">
        <v>314000</v>
      </c>
      <c r="I1904" s="9">
        <f>[1]!Tabel1[[#This Row],[Honorar]]*[1]!Tabel1[[#This Row],[Sandsynlighed]]</f>
        <v>375000</v>
      </c>
      <c r="J1904" s="10" t="s">
        <v>342</v>
      </c>
      <c r="K1904" s="1" t="s">
        <v>1323</v>
      </c>
      <c r="L1904" s="17"/>
      <c r="M1904" s="11">
        <v>0.9</v>
      </c>
      <c r="N1904" s="1" t="s">
        <v>6493</v>
      </c>
      <c r="O1904" s="10">
        <v>46282.323495370372</v>
      </c>
      <c r="P1904" s="10" t="s">
        <v>46</v>
      </c>
      <c r="Q1904" s="1" t="s">
        <v>72</v>
      </c>
      <c r="R1904" s="8" t="s">
        <v>343</v>
      </c>
      <c r="S1904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904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904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904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904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904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904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904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904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904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904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904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904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904" s="12">
        <f ca="1">[1]!Tabel1[[#This Row],[Vægtet Honorar]]*([1]!Tabel1[[#This Row],[Sidst redigeret]]&gt;TODAY()-40)*([1]!Tabel1[[#This Row],[Er i resplan?]]&lt;&gt;"Ja")*([1]!Tabel1[[#This Row],[Status]]="Pågår")</f>
        <v>375000</v>
      </c>
      <c r="AG1904" s="12">
        <f ca="1">[1]!Tabel1[[#This Row],[Vægtet Honorar]]*([1]!Tabel1[[#This Row],[Sidst redigeret]]&gt;TODAY()-40)*([1]!Tabel1[[#This Row],[Status]]="Pågår")</f>
        <v>375000</v>
      </c>
      <c r="AH1904" s="13"/>
      <c r="AI1904" s="12"/>
      <c r="AJ1904" s="12"/>
      <c r="AK1904" s="12"/>
      <c r="AL1904" s="12"/>
      <c r="AM1904" s="12"/>
      <c r="AN1904" s="12"/>
      <c r="AO1904" s="12"/>
      <c r="AP1904" s="12"/>
    </row>
    <row r="1905" spans="1:42">
      <c r="A1905" t="s">
        <v>6494</v>
      </c>
      <c r="B1905" s="8"/>
      <c r="C1905" s="8" t="s">
        <v>6495</v>
      </c>
      <c r="D1905" s="8" t="s">
        <v>1604</v>
      </c>
      <c r="E1905" s="8" t="s">
        <v>102</v>
      </c>
      <c r="F1905" s="8" t="s">
        <v>6492</v>
      </c>
      <c r="G1905" s="8" t="s">
        <v>3993</v>
      </c>
      <c r="H1905" s="9">
        <v>314000</v>
      </c>
      <c r="I1905" s="9">
        <f>[1]!Tabel1[[#This Row],[Honorar]]*[1]!Tabel1[[#This Row],[Sandsynlighed]]</f>
        <v>50000</v>
      </c>
      <c r="J1905" s="10" t="s">
        <v>2405</v>
      </c>
      <c r="K1905" s="1" t="s">
        <v>2105</v>
      </c>
      <c r="L1905" s="17"/>
      <c r="M1905" s="11">
        <v>0.6</v>
      </c>
      <c r="N1905" s="1" t="s">
        <v>6493</v>
      </c>
      <c r="O1905" s="10">
        <v>46282.325277777774</v>
      </c>
      <c r="P1905" s="10" t="s">
        <v>46</v>
      </c>
      <c r="Q1905" s="1" t="s">
        <v>72</v>
      </c>
      <c r="R1905" s="8" t="s">
        <v>343</v>
      </c>
      <c r="S1905" s="12">
        <f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905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905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905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905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905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905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905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905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905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905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905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905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905" s="12">
        <f ca="1">[1]!Tabel1[[#This Row],[Vægtet Honorar]]*([1]!Tabel1[[#This Row],[Sidst redigeret]]&gt;TODAY()-40)*([1]!Tabel1[[#This Row],[Er i resplan?]]&lt;&gt;"Ja")*([1]!Tabel1[[#This Row],[Status]]="Pågår")</f>
        <v>0</v>
      </c>
      <c r="AG1905" s="12">
        <f ca="1">[1]!Tabel1[[#This Row],[Vægtet Honorar]]*([1]!Tabel1[[#This Row],[Sidst redigeret]]&gt;TODAY()-40)*([1]!Tabel1[[#This Row],[Status]]="Pågår")</f>
        <v>50000</v>
      </c>
      <c r="AH1905" s="13"/>
      <c r="AI1905" s="12"/>
      <c r="AJ1905" s="12"/>
      <c r="AK1905" s="12"/>
      <c r="AL1905" s="12"/>
      <c r="AM1905" s="12"/>
      <c r="AN1905" s="12"/>
      <c r="AO1905" s="12"/>
      <c r="AP1905" s="12"/>
    </row>
    <row r="1906" spans="1:42">
      <c r="A1906" t="s">
        <v>6496</v>
      </c>
      <c r="B1906" s="8"/>
      <c r="C1906" s="8" t="s">
        <v>6497</v>
      </c>
      <c r="D1906" s="8" t="s">
        <v>57</v>
      </c>
      <c r="E1906" s="8" t="s">
        <v>167</v>
      </c>
      <c r="F1906" s="8" t="s">
        <v>2734</v>
      </c>
      <c r="G1906" s="8" t="s">
        <v>2051</v>
      </c>
      <c r="H1906" s="9">
        <v>500000</v>
      </c>
      <c r="I1906" s="9">
        <f>[1]!Tabel1[[#This Row],[Honorar]]*[1]!Tabel1[[#This Row],[Sandsynlighed]]</f>
        <v>9000</v>
      </c>
      <c r="J1906" s="10" t="s">
        <v>342</v>
      </c>
      <c r="K1906" s="1" t="s">
        <v>2105</v>
      </c>
      <c r="L1906" s="17"/>
      <c r="M1906" s="11">
        <v>0.05</v>
      </c>
      <c r="N1906" s="1"/>
      <c r="O1906" s="10">
        <v>46282.403263888889</v>
      </c>
      <c r="P1906" s="10" t="s">
        <v>46</v>
      </c>
      <c r="Q1906" s="1" t="s">
        <v>72</v>
      </c>
      <c r="R1906" s="8" t="s">
        <v>343</v>
      </c>
      <c r="S1906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906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906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906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906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906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906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906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906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906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906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906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906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906" s="12">
        <f ca="1">[1]!Tabel1[[#This Row],[Vægtet Honorar]]*([1]!Tabel1[[#This Row],[Sidst redigeret]]&gt;TODAY()-40)*([1]!Tabel1[[#This Row],[Er i resplan?]]&lt;&gt;"Ja")*([1]!Tabel1[[#This Row],[Status]]="Pågår")</f>
        <v>9000</v>
      </c>
      <c r="AG1906" s="12">
        <f ca="1">[1]!Tabel1[[#This Row],[Vægtet Honorar]]*([1]!Tabel1[[#This Row],[Sidst redigeret]]&gt;TODAY()-40)*([1]!Tabel1[[#This Row],[Status]]="Pågår")</f>
        <v>9000</v>
      </c>
      <c r="AH1906" s="13"/>
      <c r="AI1906" s="12"/>
      <c r="AJ1906" s="12" t="s">
        <v>2107</v>
      </c>
      <c r="AK1906" s="12"/>
      <c r="AL1906" s="12"/>
      <c r="AM1906" s="12"/>
      <c r="AN1906" s="12"/>
      <c r="AO1906" s="12"/>
      <c r="AP1906" s="12"/>
    </row>
    <row r="1907" spans="1:42">
      <c r="A1907" t="s">
        <v>6498</v>
      </c>
      <c r="B1907" s="8"/>
      <c r="C1907" s="8" t="s">
        <v>6499</v>
      </c>
      <c r="D1907" s="8" t="s">
        <v>57</v>
      </c>
      <c r="E1907" s="8" t="s">
        <v>167</v>
      </c>
      <c r="F1907" s="8" t="s">
        <v>6499</v>
      </c>
      <c r="G1907" s="8" t="s">
        <v>6499</v>
      </c>
      <c r="H1907" s="9">
        <v>500000</v>
      </c>
      <c r="I1907" s="9">
        <f>[1]!Tabel1[[#This Row],[Honorar]]*[1]!Tabel1[[#This Row],[Sandsynlighed]]</f>
        <v>15000</v>
      </c>
      <c r="J1907" s="10" t="s">
        <v>342</v>
      </c>
      <c r="K1907" s="1" t="s">
        <v>2105</v>
      </c>
      <c r="L1907" s="17"/>
      <c r="M1907" s="11">
        <v>0.01</v>
      </c>
      <c r="N1907" s="1"/>
      <c r="O1907" s="10">
        <v>46282.419328703705</v>
      </c>
      <c r="P1907" s="10" t="s">
        <v>46</v>
      </c>
      <c r="Q1907" s="1" t="s">
        <v>72</v>
      </c>
      <c r="R1907" s="8" t="s">
        <v>343</v>
      </c>
      <c r="S1907" s="12">
        <f ca="1">IFERROR(IF(AND([1]!Tabel1[[#This Row],[Status]]&lt;&gt;"Tabt",[1]!Tabel1[[#This Row],[Er i resplan?]]&lt;&gt;"Ja"),[1]!Tabel1[[#This Row],[Vægtet Honorar]]/([1]!Brugere[#Data]([1]!tbQ[Slutdato],MATCH([1]!Tabel1[[#This Row],[Forventet slut]],[1]!tbQ[Kode],0))-[1]!Brugere[#Data]([1]!tbQ[Startdato],MATCH([1]!Tabel1[[#This Row],[Forventet start]],[1]!tbQ[Kode],0)))*365/12,0),0)</f>
        <v>0</v>
      </c>
      <c r="T1907" s="12">
        <f ca="1">IF([1]!Tabel1[[#This Row],[Vægtet honorar pr. måned til forecast]]=0,0,AND(DATE(YEAR(TODAY()),MONTH(TODAY())+1,1)&gt;=[1]!Brugere[#Data]([1]!tbQ[Startdato],MATCH([1]!Tabel1[[#This Row],[Forventet start]],[1]!tbQ[Kode],0)),DATE(YEAR(TODAY()),MONTH(TODAY())+1,1)&lt;=[1]!Brugere[#Data]([1]!tbQ[Slutdato],MATCH([1]!Tabel1[[#This Row],[Forventet slut]],[1]!tbQ[Kode],0)))*[1]!Tabel1[[#This Row],[Vægtet honorar pr. måned til forecast]])</f>
        <v>0</v>
      </c>
      <c r="U1907" s="12">
        <f ca="1">IF([1]!Tabel1[[#This Row],[Vægtet honorar pr. måned til forecast]]=0,0,AND(DATE(YEAR(TODAY()),MONTH(TODAY())+2,1)&gt;=[1]!Brugere[#Data]([1]!tbQ[Startdato],MATCH([1]!Tabel1[[#This Row],[Forventet start]],[1]!tbQ[Kode],0)),DATE(YEAR(TODAY()),MONTH(TODAY())+2,1)&lt;=[1]!Brugere[#Data]([1]!tbQ[Slutdato],MATCH([1]!Tabel1[[#This Row],[Forventet slut]],[1]!tbQ[Kode],0)))*[1]!Tabel1[[#This Row],[Vægtet honorar pr. måned til forecast]])</f>
        <v>0</v>
      </c>
      <c r="V1907" s="12">
        <f ca="1">IF([1]!Tabel1[[#This Row],[Vægtet honorar pr. måned til forecast]]=0,0,AND(DATE(YEAR(TODAY()),MONTH(TODAY())+3,1)&gt;=[1]!Brugere[#Data]([1]!tbQ[Startdato],MATCH([1]!Tabel1[[#This Row],[Forventet start]],[1]!tbQ[Kode],0)),DATE(YEAR(TODAY()),MONTH(TODAY())+3,1)&lt;=[1]!Brugere[#Data]([1]!tbQ[Slutdato],MATCH([1]!Tabel1[[#This Row],[Forventet slut]],[1]!tbQ[Kode],0)))*[1]!Tabel1[[#This Row],[Vægtet honorar pr. måned til forecast]])</f>
        <v>0</v>
      </c>
      <c r="W1907" s="12">
        <f ca="1">IF([1]!Tabel1[[#This Row],[Vægtet honorar pr. måned til forecast]]=0,0,AND(DATE(YEAR(TODAY()),MONTH(TODAY())+4,1)&gt;=[1]!Brugere[#Data]([1]!tbQ[Startdato],MATCH([1]!Tabel1[[#This Row],[Forventet start]],[1]!tbQ[Kode],0)),DATE(YEAR(TODAY()),MONTH(TODAY())+4,1)&lt;=[1]!Brugere[#Data]([1]!tbQ[Slutdato],MATCH([1]!Tabel1[[#This Row],[Forventet slut]],[1]!tbQ[Kode],0)))*[1]!Tabel1[[#This Row],[Vægtet honorar pr. måned til forecast]])</f>
        <v>0</v>
      </c>
      <c r="X1907" s="12">
        <f ca="1">IF([1]!Tabel1[[#This Row],[Vægtet honorar pr. måned til forecast]]=0,0,AND(DATE(YEAR(TODAY()),MONTH(TODAY())+5,1)&gt;=[1]!Brugere[#Data]([1]!tbQ[Startdato],MATCH([1]!Tabel1[[#This Row],[Forventet start]],[1]!tbQ[Kode],0)),DATE(YEAR(TODAY()),MONTH(TODAY())+5,1)&lt;=[1]!Brugere[#Data]([1]!tbQ[Slutdato],MATCH([1]!Tabel1[[#This Row],[Forventet slut]],[1]!tbQ[Kode],0)))*[1]!Tabel1[[#This Row],[Vægtet honorar pr. måned til forecast]])</f>
        <v>0</v>
      </c>
      <c r="Y1907" s="12">
        <f ca="1">IF([1]!Tabel1[[#This Row],[Vægtet honorar pr. måned til forecast]]=0,0,AND(DATE(YEAR(TODAY()),MONTH(TODAY())+6,1)&gt;=[1]!Brugere[#Data]([1]!tbQ[Startdato],MATCH([1]!Tabel1[[#This Row],[Forventet start]],[1]!tbQ[Kode],0)),DATE(YEAR(TODAY()),MONTH(TODAY())+6,1)&lt;=[1]!Brugere[#Data]([1]!tbQ[Slutdato],MATCH([1]!Tabel1[[#This Row],[Forventet slut]],[1]!tbQ[Kode],0)))*[1]!Tabel1[[#This Row],[Vægtet honorar pr. måned til forecast]])</f>
        <v>0</v>
      </c>
      <c r="Z1907" s="12">
        <f ca="1">IF([1]!Tabel1[[#This Row],[Vægtet honorar pr. måned til forecast]]=0,0,AND(DATE(YEAR(TODAY()),MONTH(TODAY())+7,1)&gt;=[1]!Brugere[#Data]([1]!tbQ[Startdato],MATCH([1]!Tabel1[[#This Row],[Forventet start]],[1]!tbQ[Kode],0)),DATE(YEAR(TODAY()),MONTH(TODAY())+7,1)&lt;=[1]!Brugere[#Data]([1]!tbQ[Slutdato],MATCH([1]!Tabel1[[#This Row],[Forventet slut]],[1]!tbQ[Kode],0)))*[1]!Tabel1[[#This Row],[Vægtet honorar pr. måned til forecast]])</f>
        <v>0</v>
      </c>
      <c r="AA1907" s="12">
        <f ca="1">IF([1]!Tabel1[[#This Row],[Vægtet honorar pr. måned til forecast]]=0,0,AND(DATE(YEAR(TODAY()),MONTH(TODAY())+8,1)&gt;=[1]!Brugere[#Data]([1]!tbQ[Startdato],MATCH([1]!Tabel1[[#This Row],[Forventet start]],[1]!tbQ[Kode],0)),DATE(YEAR(TODAY()),MONTH(TODAY())+8,1)&lt;=[1]!Brugere[#Data]([1]!tbQ[Slutdato],MATCH([1]!Tabel1[[#This Row],[Forventet slut]],[1]!tbQ[Kode],0)))*[1]!Tabel1[[#This Row],[Vægtet honorar pr. måned til forecast]])</f>
        <v>0</v>
      </c>
      <c r="AB1907" s="12">
        <f ca="1">IF([1]!Tabel1[[#This Row],[Vægtet honorar pr. måned til forecast]]=0,0,AND(DATE(YEAR(TODAY()),MONTH(TODAY())+9,1)&gt;=[1]!Brugere[#Data]([1]!tbQ[Startdato],MATCH([1]!Tabel1[[#This Row],[Forventet start]],[1]!tbQ[Kode],0)),DATE(YEAR(TODAY()),MONTH(TODAY())+9,1)&lt;=[1]!Brugere[#Data]([1]!tbQ[Slutdato],MATCH([1]!Tabel1[[#This Row],[Forventet slut]],[1]!tbQ[Kode],0)))*[1]!Tabel1[[#This Row],[Vægtet honorar pr. måned til forecast]])</f>
        <v>0</v>
      </c>
      <c r="AC1907" s="12">
        <f ca="1">IF([1]!Tabel1[[#This Row],[Vægtet honorar pr. måned til forecast]]=0,0,AND(DATE(YEAR(TODAY()),MONTH(TODAY())+10,1)&gt;=[1]!Brugere[#Data]([1]!tbQ[Startdato],MATCH([1]!Tabel1[[#This Row],[Forventet start]],[1]!tbQ[Kode],0)),DATE(YEAR(TODAY()),MONTH(TODAY())+10,1)&lt;=[1]!Brugere[#Data]([1]!tbQ[Slutdato],MATCH([1]!Tabel1[[#This Row],[Forventet slut]],[1]!tbQ[Kode],0)))*[1]!Tabel1[[#This Row],[Vægtet honorar pr. måned til forecast]])</f>
        <v>0</v>
      </c>
      <c r="AD1907" s="12">
        <f ca="1">IF([1]!Tabel1[[#This Row],[Vægtet honorar pr. måned til forecast]]=0,0,AND(DATE(YEAR(TODAY()),MONTH(TODAY())+11,1)&gt;=[1]!Brugere[#Data]([1]!tbQ[Startdato],MATCH([1]!Tabel1[[#This Row],[Forventet start]],[1]!tbQ[Kode],0)),DATE(YEAR(TODAY()),MONTH(TODAY())+11,1)&lt;=[1]!Brugere[#Data]([1]!tbQ[Slutdato],MATCH([1]!Tabel1[[#This Row],[Forventet slut]],[1]!tbQ[Kode],0)))*[1]!Tabel1[[#This Row],[Vægtet honorar pr. måned til forecast]])</f>
        <v>0</v>
      </c>
      <c r="AE1907" s="12">
        <f ca="1">IF([1]!Tabel1[[#This Row],[Vægtet honorar pr. måned til forecast]]=0,0,AND(DATE(YEAR(TODAY()),MONTH(TODAY())+12,1)&gt;=[1]!Brugere[#Data]([1]!tbQ[Startdato],MATCH([1]!Tabel1[[#This Row],[Forventet start]],[1]!tbQ[Kode],0)),DATE(YEAR(TODAY()),MONTH(TODAY())+12,1)&lt;=[1]!Brugere[#Data]([1]!tbQ[Slutdato],MATCH([1]!Tabel1[[#This Row],[Forventet slut]],[1]!tbQ[Kode],0)))*[1]!Tabel1[[#This Row],[Vægtet honorar pr. måned til forecast]])</f>
        <v>0</v>
      </c>
      <c r="AF1907" s="12">
        <f ca="1">[1]!Tabel1[[#This Row],[Vægtet Honorar]]*([1]!Tabel1[[#This Row],[Sidst redigeret]]&gt;TODAY()-40)*([1]!Tabel1[[#This Row],[Er i resplan?]]&lt;&gt;"Ja")*([1]!Tabel1[[#This Row],[Status]]="Pågår")</f>
        <v>15000</v>
      </c>
      <c r="AG1907" s="12">
        <f ca="1">[1]!Tabel1[[#This Row],[Vægtet Honorar]]*([1]!Tabel1[[#This Row],[Sidst redigeret]]&gt;TODAY()-40)*([1]!Tabel1[[#This Row],[Status]]="Pågår")</f>
        <v>15000</v>
      </c>
      <c r="AH1907" s="13"/>
      <c r="AI1907" s="12"/>
      <c r="AJ1907" s="12" t="s">
        <v>2107</v>
      </c>
      <c r="AK1907" s="12"/>
      <c r="AL1907" s="12"/>
      <c r="AM1907" s="12"/>
      <c r="AN1907" s="12"/>
      <c r="AO1907" s="12"/>
      <c r="AP1907" s="12"/>
    </row>
  </sheetData>
  <dataValidations count="2">
    <dataValidation type="list" showInputMessage="1" showErrorMessage="1" sqref="R2:R1269 R1285 R1309 R1338:R1392 R1318:R1320 R1323:R1325 R1394:R1456" xr:uid="{A090E36C-45B6-4E56-BDF1-5D60594EEEE4}">
      <formula1>"Tabt,Vundet,Pågår,Udgået"</formula1>
    </dataValidation>
    <dataValidation type="list" allowBlank="1" showInputMessage="1" showErrorMessage="1" sqref="Q2:Q1269 Q1280 Q1288 Q1292 Q1284:Q1286 P2:P1907" xr:uid="{BC6E3C96-D9B8-4C3A-AB15-DC86E3C6586C}">
      <formula1>"Ja,Nej"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Jensen - VITA</dc:creator>
  <cp:lastModifiedBy>Martin Jensen - VITA</cp:lastModifiedBy>
  <dcterms:created xsi:type="dcterms:W3CDTF">2026-09-08T06:16:26Z</dcterms:created>
  <dcterms:modified xsi:type="dcterms:W3CDTF">2026-09-17T09:57:21Z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8d6166-df01-4b38-9331-0cb8a3405f20_Enabled">
    <vt:lpwstr>true</vt:lpwstr>
  </property>
  <property fmtid="{D5CDD505-2E9C-101B-9397-08002B2CF9AE}" pid="3" name="MSIP_Label_b38d6166-df01-4b38-9331-0cb8a3405f20_SetDate">
    <vt:lpwstr>2026-09-08T06:16:27Z</vt:lpwstr>
  </property>
  <property fmtid="{D5CDD505-2E9C-101B-9397-08002B2CF9AE}" pid="4" name="MSIP_Label_b38d6166-df01-4b38-9331-0cb8a3405f20_Method">
    <vt:lpwstr>Standard</vt:lpwstr>
  </property>
  <property fmtid="{D5CDD505-2E9C-101B-9397-08002B2CF9AE}" pid="5" name="MSIP_Label_b38d6166-df01-4b38-9331-0cb8a3405f20_Name">
    <vt:lpwstr>General</vt:lpwstr>
  </property>
  <property fmtid="{D5CDD505-2E9C-101B-9397-08002B2CF9AE}" pid="6" name="MSIP_Label_b38d6166-df01-4b38-9331-0cb8a3405f20_SiteId">
    <vt:lpwstr>26115a1a-a357-4a85-910a-1dde4db2a914</vt:lpwstr>
  </property>
  <property fmtid="{D5CDD505-2E9C-101B-9397-08002B2CF9AE}" pid="7" name="MSIP_Label_b38d6166-df01-4b38-9331-0cb8a3405f20_ActionId">
    <vt:lpwstr>189947af-1c71-4998-b1b6-4156c705d6d7</vt:lpwstr>
  </property>
  <property fmtid="{D5CDD505-2E9C-101B-9397-08002B2CF9AE}" pid="8" name="MSIP_Label_b38d6166-df01-4b38-9331-0cb8a3405f20_ContentBits">
    <vt:lpwstr>0</vt:lpwstr>
  </property>
  <property fmtid="{D5CDD505-2E9C-101B-9397-08002B2CF9AE}" pid="9" name="MSIP_Label_b38d6166-df01-4b38-9331-0cb8a3405f20_Tag">
    <vt:lpwstr>10, 3, 0, 1</vt:lpwstr>
  </property>
</Properties>
</file>